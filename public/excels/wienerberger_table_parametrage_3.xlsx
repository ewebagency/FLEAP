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rthu\Documents\1StartUp\FLEAP\RepoGithub\fleap-app\public\excels\"/>
    </mc:Choice>
  </mc:AlternateContent>
  <xr:revisionPtr revIDLastSave="0" documentId="13_ncr:1_{32832145-63F8-43BA-A748-5176B9BB34C8}" xr6:coauthVersionLast="47" xr6:coauthVersionMax="47" xr10:uidLastSave="{00000000-0000-0000-0000-000000000000}"/>
  <bookViews>
    <workbookView xWindow="-110" yWindow="-110" windowWidth="19420" windowHeight="10420" activeTab="2" xr2:uid="{00000000-000D-0000-FFFF-FFFF00000000}"/>
  </bookViews>
  <sheets>
    <sheet name="Utilisateurs" sheetId="1" r:id="rId1"/>
    <sheet name="dénomination_ced" sheetId="3" r:id="rId2"/>
    <sheet name="template_code" sheetId="2" r:id="rId3"/>
    <sheet name="Site N°1" sheetId="4" r:id="rId4"/>
    <sheet name="Site N°2" sheetId="5" r:id="rId5"/>
    <sheet name="Modèle demail"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da4PNP351bp6bJE568mcMaJzmg/fMxasn9MR05vZdM="/>
    </ext>
  </extLst>
</workbook>
</file>

<file path=xl/calcChain.xml><?xml version="1.0" encoding="utf-8"?>
<calcChain xmlns="http://schemas.openxmlformats.org/spreadsheetml/2006/main">
  <c r="A1103" i="3" l="1"/>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 i="3"/>
  <c r="H41" i="2" a="1"/>
  <c r="H41" i="2" s="1"/>
  <c r="H40" i="2" a="1"/>
  <c r="H40" i="2" s="1"/>
  <c r="H39" i="2" a="1"/>
  <c r="H39" i="2" s="1"/>
  <c r="H38" i="2" a="1"/>
  <c r="H38" i="2" s="1"/>
  <c r="H37" i="2" a="1"/>
  <c r="H37" i="2" s="1"/>
  <c r="H36" i="2" a="1"/>
  <c r="H36" i="2" s="1"/>
  <c r="H35" i="2" a="1"/>
  <c r="H35" i="2" s="1"/>
  <c r="H34" i="2" a="1"/>
  <c r="H34" i="2" s="1"/>
  <c r="H33" i="2" a="1"/>
  <c r="H33" i="2" s="1"/>
  <c r="H32" i="2" a="1"/>
  <c r="H32" i="2" s="1"/>
  <c r="H31" i="2" a="1"/>
  <c r="H31" i="2" s="1"/>
  <c r="H30" i="2" a="1"/>
  <c r="H30" i="2" s="1"/>
  <c r="H29" i="2" a="1"/>
  <c r="H29" i="2" s="1"/>
  <c r="H28" i="2" a="1"/>
  <c r="H28" i="2" s="1"/>
  <c r="H27" i="2" a="1"/>
  <c r="H27" i="2" s="1"/>
  <c r="H26" i="2" a="1"/>
  <c r="H26" i="2" s="1"/>
  <c r="H25" i="2" a="1"/>
  <c r="H25" i="2" s="1"/>
  <c r="H24" i="2" a="1"/>
  <c r="H24" i="2" s="1"/>
  <c r="H23" i="2" a="1"/>
  <c r="H23" i="2" s="1"/>
  <c r="H22" i="2" a="1"/>
  <c r="H22" i="2" s="1"/>
  <c r="H21" i="2" a="1"/>
  <c r="H21" i="2" s="1"/>
  <c r="H20" i="2" a="1"/>
  <c r="H20" i="2" s="1"/>
  <c r="H19" i="2" a="1"/>
  <c r="H19" i="2" s="1"/>
  <c r="H18" i="2" a="1"/>
  <c r="H18" i="2" s="1"/>
  <c r="H17" i="2" a="1"/>
  <c r="H17" i="2" s="1"/>
  <c r="H16" i="2" a="1"/>
  <c r="H16" i="2" s="1"/>
  <c r="H15" i="2" a="1"/>
  <c r="H15" i="2" s="1"/>
  <c r="H14" i="2" a="1"/>
  <c r="H14" i="2" s="1"/>
  <c r="H13" i="2" a="1"/>
  <c r="H13" i="2" s="1"/>
  <c r="H12" i="2" a="1"/>
  <c r="H12" i="2" s="1"/>
  <c r="H11" i="2" a="1"/>
  <c r="H11" i="2" s="1"/>
  <c r="H10" i="2" a="1"/>
  <c r="H10" i="2" s="1"/>
  <c r="H9" i="2" a="1"/>
  <c r="H9" i="2" s="1"/>
  <c r="H8" i="2" a="1"/>
  <c r="H8" i="2" s="1"/>
  <c r="H7" i="2" a="1"/>
  <c r="H7" i="2" s="1"/>
  <c r="H6" i="2" a="1"/>
  <c r="H6" i="2" s="1"/>
  <c r="H5" i="2" a="1"/>
  <c r="H5" i="2" s="1"/>
  <c r="H4" i="2" a="1"/>
  <c r="H4" i="2" s="1"/>
  <c r="H3" i="2" a="1"/>
  <c r="H3" i="2" s="1"/>
  <c r="H2" i="2" a="1"/>
  <c r="H2" i="2" s="1"/>
</calcChain>
</file>

<file path=xl/sharedStrings.xml><?xml version="1.0" encoding="utf-8"?>
<sst xmlns="http://schemas.openxmlformats.org/spreadsheetml/2006/main" count="9250" uniqueCount="2438">
  <si>
    <t>FLEAP</t>
  </si>
  <si>
    <t>Wienerberger - Utilisateurs</t>
  </si>
  <si>
    <t>Utilisateurs</t>
  </si>
  <si>
    <t>Autorisation</t>
  </si>
  <si>
    <t>Civilité</t>
  </si>
  <si>
    <t>Nom</t>
  </si>
  <si>
    <t>Prénom</t>
  </si>
  <si>
    <t>Email</t>
  </si>
  <si>
    <t>Site N°1</t>
  </si>
  <si>
    <t>Site N°2</t>
  </si>
  <si>
    <t>Madame</t>
  </si>
  <si>
    <t>Baumert</t>
  </si>
  <si>
    <t>Laura</t>
  </si>
  <si>
    <t>laura.baumert@wienerberger.com</t>
  </si>
  <si>
    <t>Oui</t>
  </si>
  <si>
    <t>Wienerberger - Filières par site</t>
  </si>
  <si>
    <t>SIRET:</t>
  </si>
  <si>
    <t>Adresse:</t>
  </si>
  <si>
    <t>5 rue du Canal 67204 Achenheim</t>
  </si>
  <si>
    <t>Identifiant GEREP :</t>
  </si>
  <si>
    <t>Filières de déchets</t>
  </si>
  <si>
    <t>(déchets dangereux)</t>
  </si>
  <si>
    <t>Contenants</t>
  </si>
  <si>
    <t>Éco-organisme associé</t>
  </si>
  <si>
    <t>Personne de référence (Demande de collecte)</t>
  </si>
  <si>
    <t>Transporteur</t>
  </si>
  <si>
    <t>Installation intermediaire</t>
  </si>
  <si>
    <t>Prestataire final</t>
  </si>
  <si>
    <t>Adresse</t>
  </si>
  <si>
    <t>Nom usuel de la filière</t>
  </si>
  <si>
    <t>Code CED inclus dans la filières</t>
  </si>
  <si>
    <t>Description déchet</t>
  </si>
  <si>
    <t>Numéro de CAP</t>
  </si>
  <si>
    <t>Mention ADR</t>
  </si>
  <si>
    <t>Code ONU</t>
  </si>
  <si>
    <t>Classe de danger</t>
  </si>
  <si>
    <t>Groupe d’emballage</t>
  </si>
  <si>
    <t>Numéro de téléphone</t>
  </si>
  <si>
    <t>Nom usuel du contenant</t>
  </si>
  <si>
    <t>Code identifiant du contenant</t>
  </si>
  <si>
    <t>Description du contenant</t>
  </si>
  <si>
    <t>Volume unitaire du contenant</t>
  </si>
  <si>
    <t>Nombre de contenants (information indicative)</t>
  </si>
  <si>
    <t>Propriétaire / Sous contrat de location</t>
  </si>
  <si>
    <t>Nom usuel de l'éco-organisme</t>
  </si>
  <si>
    <t>Nom usuel du prestataire</t>
  </si>
  <si>
    <t>N° de récipissé</t>
  </si>
  <si>
    <t>Code de traitement</t>
  </si>
  <si>
    <t>Qualification du traitement final</t>
  </si>
  <si>
    <t>site_nom</t>
  </si>
  <si>
    <t>site_siret</t>
  </si>
  <si>
    <t>site_adresse</t>
  </si>
  <si>
    <t>site_gerep</t>
  </si>
  <si>
    <t>filiere_nom</t>
  </si>
  <si>
    <t>ced</t>
  </si>
  <si>
    <t>description_ced</t>
  </si>
  <si>
    <t>denomination_ced</t>
  </si>
  <si>
    <t>consistance</t>
  </si>
  <si>
    <t>cap</t>
  </si>
  <si>
    <t>adr</t>
  </si>
  <si>
    <t>onu</t>
  </si>
  <si>
    <t>onu_denomination</t>
  </si>
  <si>
    <t>classe_de_danger</t>
  </si>
  <si>
    <t>groupe_emballage</t>
  </si>
  <si>
    <t>adresse_collecte</t>
  </si>
  <si>
    <t>producteur_personne_tel</t>
  </si>
  <si>
    <t>producteur_personne_email</t>
  </si>
  <si>
    <t>operationelle_personne_tel</t>
  </si>
  <si>
    <t>operationelle_personne_email</t>
  </si>
  <si>
    <t>contenant_nom</t>
  </si>
  <si>
    <t>contenant_code</t>
  </si>
  <si>
    <t>contenant_identifiant</t>
  </si>
  <si>
    <t>contenant_description</t>
  </si>
  <si>
    <t>contenant_volume_unitaire</t>
  </si>
  <si>
    <t>contenant_nombre_indicatif</t>
  </si>
  <si>
    <t>contenant_proprio_ou_location</t>
  </si>
  <si>
    <t>contenant_prestataire_nom</t>
  </si>
  <si>
    <t>contenant_prestataire_siret</t>
  </si>
  <si>
    <t>eco_organisme_nom</t>
  </si>
  <si>
    <t>eco_organisme_siret</t>
  </si>
  <si>
    <t>negociant_nom</t>
  </si>
  <si>
    <t>negociant_siret</t>
  </si>
  <si>
    <t>negociant_adresse</t>
  </si>
  <si>
    <t>negociant_recipisse_numero</t>
  </si>
  <si>
    <t>negociant_personne_tel</t>
  </si>
  <si>
    <t>negociant_personne_email</t>
  </si>
  <si>
    <t>negociant_personne_collecte_tel</t>
  </si>
  <si>
    <t>negociant_personne_collecte_email</t>
  </si>
  <si>
    <t>transporteur_nom</t>
  </si>
  <si>
    <t>transporteur_siret</t>
  </si>
  <si>
    <t>transporteur_adresse</t>
  </si>
  <si>
    <t>transporteur_recipisse_numero</t>
  </si>
  <si>
    <t>transporteur_personne_tel</t>
  </si>
  <si>
    <t>transporteur_personne_email</t>
  </si>
  <si>
    <t>transporteur_personne_collecte_tel</t>
  </si>
  <si>
    <t>transporteur_personne_collecte_email</t>
  </si>
  <si>
    <t>Usine Achenheim</t>
  </si>
  <si>
    <t>Aérosols</t>
  </si>
  <si>
    <t>16 05 04*</t>
  </si>
  <si>
    <t>WEE2838942</t>
  </si>
  <si>
    <t>UN 1789, acide chlorhydrique, 8, II, (E)</t>
  </si>
  <si>
    <t>acide chlorhydrique</t>
  </si>
  <si>
    <t>II</t>
  </si>
  <si>
    <t>06 12 33 76 40</t>
  </si>
  <si>
    <t>Bauvier</t>
  </si>
  <si>
    <t>Carinne</t>
  </si>
  <si>
    <t>06 44 44 44 44</t>
  </si>
  <si>
    <t>carinne.bauvier@wienerberger.com</t>
  </si>
  <si>
    <t>GRV</t>
  </si>
  <si>
    <t>Grand Récipient Pour Vrac</t>
  </si>
  <si>
    <t>1000L</t>
  </si>
  <si>
    <t>Propriétaire</t>
  </si>
  <si>
    <t>non concerné</t>
  </si>
  <si>
    <t>Chimirec Est</t>
  </si>
  <si>
    <t>ZI La Haie Sorette 54450 Domjevin</t>
  </si>
  <si>
    <t>TR547592024</t>
  </si>
  <si>
    <t>Camion</t>
  </si>
  <si>
    <t>Luc</t>
  </si>
  <si>
    <t>05 44 44 44 44</t>
  </si>
  <si>
    <t>l.c@transpo.fr</t>
  </si>
  <si>
    <t>lechateau</t>
  </si>
  <si>
    <t>Laurent</t>
  </si>
  <si>
    <t>09 09 09 09 09</t>
  </si>
  <si>
    <t>lefifi@lemail.fr</t>
  </si>
  <si>
    <t>#############</t>
  </si>
  <si>
    <t>R12</t>
  </si>
  <si>
    <t>Legrand</t>
  </si>
  <si>
    <t>Marcel</t>
  </si>
  <si>
    <t>33 33 33 33 33</t>
  </si>
  <si>
    <t>legrand@marcel.fr</t>
  </si>
  <si>
    <t>Autorisation par arrêté préfectoral, à une rupture de traçabilité pour ce déchet</t>
  </si>
  <si>
    <t>R4</t>
  </si>
  <si>
    <t>Recyclage</t>
  </si>
  <si>
    <t>Lepoint</t>
  </si>
  <si>
    <t>Martin</t>
  </si>
  <si>
    <t>87 56 76 87 98</t>
  </si>
  <si>
    <t>lepoint@outlook.fr</t>
  </si>
  <si>
    <t>Bois</t>
  </si>
  <si>
    <t>15 01 03</t>
  </si>
  <si>
    <t>WEE2838943</t>
  </si>
  <si>
    <t>Suez</t>
  </si>
  <si>
    <t>50 472 678 700 030</t>
  </si>
  <si>
    <t>13 route de Rohrshollen 67100 Strasbourg</t>
  </si>
  <si>
    <t>SARDI</t>
  </si>
  <si>
    <t>35 238 105 700 038</t>
  </si>
  <si>
    <t>15 route du Rohrschollen 67000 Strasbourg</t>
  </si>
  <si>
    <t>R5</t>
  </si>
  <si>
    <t>Boues séparateurs</t>
  </si>
  <si>
    <t>13 05 02*</t>
  </si>
  <si>
    <t>Boues de séparateurs - eaux/hydrocarbures</t>
  </si>
  <si>
    <t>WEE2838944</t>
  </si>
  <si>
    <t>UN 1742, acide chlorhydrique, 8, II, (E)</t>
  </si>
  <si>
    <t>15 01 06</t>
  </si>
  <si>
    <t>Bouteilles plastiques et canettes</t>
  </si>
  <si>
    <t>WEE2838945</t>
  </si>
  <si>
    <t>Schroll</t>
  </si>
  <si>
    <t>32 519 337 300 017</t>
  </si>
  <si>
    <t>6 rue de Cherbourg 67100 Strasbourg</t>
  </si>
  <si>
    <t>Cartouches d'encres</t>
  </si>
  <si>
    <t>15 01 10*</t>
  </si>
  <si>
    <t>(salle archives garage)</t>
  </si>
  <si>
    <t>WEE2838946</t>
  </si>
  <si>
    <t>UN 1777, acide chlorhydrique, 8, II, (E)</t>
  </si>
  <si>
    <t>EDIB</t>
  </si>
  <si>
    <t>QUAI DU CANAL 67270 HOCHFELDEN</t>
  </si>
  <si>
    <t>R13</t>
  </si>
  <si>
    <t>R1</t>
  </si>
  <si>
    <t>Valorisation</t>
  </si>
  <si>
    <t>Condensat de fumées</t>
  </si>
  <si>
    <t>10 01 18*</t>
  </si>
  <si>
    <t>(poudres non chlorées)</t>
  </si>
  <si>
    <t>WEE2838947</t>
  </si>
  <si>
    <t>UN 1774, acide chlorhydrique, 8, II, (E)</t>
  </si>
  <si>
    <t>Déblais terreux</t>
  </si>
  <si>
    <t>17 05 04</t>
  </si>
  <si>
    <t>WEE2838948</t>
  </si>
  <si>
    <t>Lingenheld</t>
  </si>
  <si>
    <t>38 535 103 600 053</t>
  </si>
  <si>
    <t>Carrefour Bellevue, Chemin du Hitzthal 67203 Oberschaeffolsheim</t>
  </si>
  <si>
    <t>non soumis</t>
  </si>
  <si>
    <t>R5/D1</t>
  </si>
  <si>
    <t>Valorisation (briques) + élimination (terre+DIB)</t>
  </si>
  <si>
    <t>Déchets hydrocarburés</t>
  </si>
  <si>
    <t>16 07 08*</t>
  </si>
  <si>
    <t>provenant de la fosse élévateur manutention produit vert (intervention du 13/11/2023)</t>
  </si>
  <si>
    <t>WEE2838949</t>
  </si>
  <si>
    <t>UN 1734, acide chlorhydrique, 8, II, (E)</t>
  </si>
  <si>
    <t>Transports Geissel</t>
  </si>
  <si>
    <t>18 rue de l'Energie 67870 Griesheim-Près-Molsheim</t>
  </si>
  <si>
    <t>Evapur</t>
  </si>
  <si>
    <t>1 boucle du Carreau de la Mine 57100 Thionville</t>
  </si>
  <si>
    <t>R3</t>
  </si>
  <si>
    <t>provenant des fosses élévateurs et de 4 bacs de rétention (intervention du 19/12/2023)</t>
  </si>
  <si>
    <t>WEE2838950</t>
  </si>
  <si>
    <t>DEEE</t>
  </si>
  <si>
    <t>16 02 13*</t>
  </si>
  <si>
    <t>WEE2838951</t>
  </si>
  <si>
    <t>DIB</t>
  </si>
  <si>
    <t>20 03 01</t>
  </si>
  <si>
    <t>WEE2838952</t>
  </si>
  <si>
    <t>5 rue des fous 65500 Lille</t>
  </si>
  <si>
    <t>Fûts 200L</t>
  </si>
  <si>
    <t>Fût acier 200L</t>
  </si>
  <si>
    <t>200L</t>
  </si>
  <si>
    <t>30 223 694 800 048</t>
  </si>
  <si>
    <t>Route de Krautergersheim 67870 Bischoffsheim</t>
  </si>
  <si>
    <t>R12/D1-D10</t>
  </si>
  <si>
    <t>Recyclage + élimination (selon déchets soit incinération soit mise en décharge)</t>
  </si>
  <si>
    <t>WEE2838953</t>
  </si>
  <si>
    <t>R1 R5</t>
  </si>
  <si>
    <t>Valorisation énergétique + recyclage</t>
  </si>
  <si>
    <t>Eaux de lavage</t>
  </si>
  <si>
    <t>12 03 01*</t>
  </si>
  <si>
    <t>pièces mécaniques - fontaine dégraissage</t>
  </si>
  <si>
    <t>WEE2838954</t>
  </si>
  <si>
    <t>D13</t>
  </si>
  <si>
    <t>D5</t>
  </si>
  <si>
    <t>Elimination (décharge)</t>
  </si>
  <si>
    <t>Papier/carton</t>
  </si>
  <si>
    <t>15 01 01</t>
  </si>
  <si>
    <t>Emballages en papier/carton</t>
  </si>
  <si>
    <t>WEE2838955</t>
  </si>
  <si>
    <t>Emballages vides souillés métalliques (fûts 200L)</t>
  </si>
  <si>
    <t>WEE2838956</t>
  </si>
  <si>
    <t>Ferrailles</t>
  </si>
  <si>
    <t>17 04 07</t>
  </si>
  <si>
    <t>WEE2838957</t>
  </si>
  <si>
    <t>Eska (Derichebourg)</t>
  </si>
  <si>
    <t>55 850 281 100 182</t>
  </si>
  <si>
    <t>56 rue de Metz 57130 Jouy-Aux-Arches</t>
  </si>
  <si>
    <t>2018-57-1098</t>
  </si>
  <si>
    <t>Derichebourg</t>
  </si>
  <si>
    <t>55 850 281 100 091</t>
  </si>
  <si>
    <t>12 rue de la Minoterie 67000 Strasbourg</t>
  </si>
  <si>
    <t>(baraque chantier)</t>
  </si>
  <si>
    <t>WEE2838958</t>
  </si>
  <si>
    <t>Transports Steinmetz</t>
  </si>
  <si>
    <t>32 561 507 800 020</t>
  </si>
  <si>
    <t>12 rue de l'Artisanat 67 Niedermodern</t>
  </si>
  <si>
    <t>Eska Derichebourg</t>
  </si>
  <si>
    <t>4 route du Rohrschollen 67000 Strasbourg</t>
  </si>
  <si>
    <t>Fibres céramiques réfractaires</t>
  </si>
  <si>
    <t>17 06 03*</t>
  </si>
  <si>
    <t>WEE2838959</t>
  </si>
  <si>
    <t>UN 1776, acide chlorhydrique, 8, II, (E)</t>
  </si>
  <si>
    <t>Kimmel Transports</t>
  </si>
  <si>
    <t>5 rue de la Logistique 67320 Thal-Drulingen</t>
  </si>
  <si>
    <t>2022-57-1396</t>
  </si>
  <si>
    <t>Suez RR Iws Minerals France</t>
  </si>
  <si>
    <t>14 route de Moivrons 54114 Jeandelaincourt</t>
  </si>
  <si>
    <t>WEE2838960</t>
  </si>
  <si>
    <t>Housses plastiques</t>
  </si>
  <si>
    <t>15 01 02</t>
  </si>
  <si>
    <t>WEE2838961</t>
  </si>
  <si>
    <t>Huiles usagées</t>
  </si>
  <si>
    <t>13 02 08*</t>
  </si>
  <si>
    <t>WEE2838962</t>
  </si>
  <si>
    <t>UN 1326, acide chlorhydrique, 8, II, (E)</t>
  </si>
  <si>
    <t>TR545642019</t>
  </si>
  <si>
    <t>DE814574464</t>
  </si>
  <si>
    <t>Matériels souillés</t>
  </si>
  <si>
    <t>15 02 02*</t>
  </si>
  <si>
    <t>WEE2838963</t>
  </si>
  <si>
    <t>Matières peintures</t>
  </si>
  <si>
    <t>08 01 11*</t>
  </si>
  <si>
    <t>Matières apparentées aux peintures</t>
  </si>
  <si>
    <t>WEE2838964</t>
  </si>
  <si>
    <t>Benne 5m3</t>
  </si>
  <si>
    <t>BENNE</t>
  </si>
  <si>
    <t>Benne ouverte haute acier 5m3</t>
  </si>
  <si>
    <t>5m3</t>
  </si>
  <si>
    <t>Piles</t>
  </si>
  <si>
    <t>16 06 03*</t>
  </si>
  <si>
    <t>WEE2838965</t>
  </si>
  <si>
    <t>Location</t>
  </si>
  <si>
    <t>Veolia</t>
  </si>
  <si>
    <t>4534434536433453</t>
  </si>
  <si>
    <t>Platinage</t>
  </si>
  <si>
    <t>17 04 05</t>
  </si>
  <si>
    <t>WEE2838966</t>
  </si>
  <si>
    <t>Produits en briques</t>
  </si>
  <si>
    <t>(après cuisson)</t>
  </si>
  <si>
    <t>WEE2838967</t>
  </si>
  <si>
    <t>Corthum Nordschwarzwald GmbH</t>
  </si>
  <si>
    <t>DE292008034 (n° TVA intracommunautaire)</t>
  </si>
  <si>
    <t>Im Schwarzenbusch 8 D-76359 Marxzell - Pfaffenrot</t>
  </si>
  <si>
    <t>WEE2838968</t>
  </si>
  <si>
    <t>Corthum Breisgau GmbH</t>
  </si>
  <si>
    <t>Breisgauallee 24, D-79336 Herbolzheim</t>
  </si>
  <si>
    <t>Produits périmés</t>
  </si>
  <si>
    <t>16 05 07*</t>
  </si>
  <si>
    <t>(DDQD spéciaux)</t>
  </si>
  <si>
    <t>WEE2838969</t>
  </si>
  <si>
    <t>D9</t>
  </si>
  <si>
    <t>Elimination</t>
  </si>
  <si>
    <t>(avant cuisson)</t>
  </si>
  <si>
    <t>WEE2838970</t>
  </si>
  <si>
    <t>SAS Eta Sattler Materne et Fils</t>
  </si>
  <si>
    <t>82 rue du Moulin 67520 Kirchheim</t>
  </si>
  <si>
    <t>Carrière Wienerberger</t>
  </si>
  <si>
    <t>Lieu-dit « Bossenroth » 67204 Achenheim</t>
  </si>
  <si>
    <t>Résidus de broyage</t>
  </si>
  <si>
    <t>19 10 04</t>
  </si>
  <si>
    <t>Résidus de broyage et poussières</t>
  </si>
  <si>
    <t>WEE2838971</t>
  </si>
  <si>
    <t>Benne 15m3</t>
  </si>
  <si>
    <t>Benne double acier 15m3</t>
  </si>
  <si>
    <t>15m3</t>
  </si>
  <si>
    <t>R1/D1</t>
  </si>
  <si>
    <t>Valorisation énergétique / élimination</t>
  </si>
  <si>
    <t>Usine Seltz</t>
  </si>
  <si>
    <t>25 rue de la Gare 67470 Seltz</t>
  </si>
  <si>
    <t>WEE2838972</t>
  </si>
  <si>
    <t>39 933 934 000 016</t>
  </si>
  <si>
    <t>Aluminium</t>
  </si>
  <si>
    <t>17 04 02</t>
  </si>
  <si>
    <t>WEE2838973</t>
  </si>
  <si>
    <t>SAS Transenvironnement</t>
  </si>
  <si>
    <t>50 390 796 600 017</t>
  </si>
  <si>
    <t>La Guerre 14540 Castine En Plaine</t>
  </si>
  <si>
    <t>2020/24</t>
  </si>
  <si>
    <t>ESKA Derichebourg</t>
  </si>
  <si>
    <t>Rue de Riedseltz Altenstadt 67160 Wissembourg</t>
  </si>
  <si>
    <t>65 382 053 001 073</t>
  </si>
  <si>
    <t>WEE2838974</t>
  </si>
  <si>
    <t>SUEZ RV Nord Est</t>
  </si>
  <si>
    <t>13 Route de Rohrshollen 67100 Strasbourg</t>
  </si>
  <si>
    <t>Sardi</t>
  </si>
  <si>
    <t>Rue des Frères Lumières 67170 Brumath</t>
  </si>
  <si>
    <t>WEE2838975</t>
  </si>
  <si>
    <t>Quai du Canal 67270 Hochfelden</t>
  </si>
  <si>
    <t>30 223 694 800 030</t>
  </si>
  <si>
    <t>Bouteilles en plastiques</t>
  </si>
  <si>
    <t>WEE2838976</t>
  </si>
  <si>
    <t>Savoir et Compétences emploi/ELISE</t>
  </si>
  <si>
    <t>47 897 787 900 012</t>
  </si>
  <si>
    <t>5 Rue Denis Papin 67400 ILLKIRCH</t>
  </si>
  <si>
    <t>VEOLIA</t>
  </si>
  <si>
    <t>30 321 551 100 161</t>
  </si>
  <si>
    <t>ZI Sandrgube 67560 ROSHEIM</t>
  </si>
  <si>
    <t>Câbles cuivre</t>
  </si>
  <si>
    <t>17 04 01</t>
  </si>
  <si>
    <t>WEE2838977</t>
  </si>
  <si>
    <t>Canettes en aluminum</t>
  </si>
  <si>
    <t>15 01 04</t>
  </si>
  <si>
    <t>WEE2838978</t>
  </si>
  <si>
    <t>Cartouches encre vides</t>
  </si>
  <si>
    <t>WEE2838979</t>
  </si>
  <si>
    <t>Lyreco France</t>
  </si>
  <si>
    <t>57 172 266 900 355</t>
  </si>
  <si>
    <t>9 rue de Bayonne 67100 Strasbourg</t>
  </si>
  <si>
    <t>2020/CTD/026</t>
  </si>
  <si>
    <t>Route de la Plaine 71660 Digoin</t>
  </si>
  <si>
    <t>Les ateliers du bocage</t>
  </si>
  <si>
    <t>38 525 318 200 013</t>
  </si>
  <si>
    <t>La Boujalière 79140 Le Pin</t>
  </si>
  <si>
    <t>R12/R5</t>
  </si>
  <si>
    <t>Casse de tuiles</t>
  </si>
  <si>
    <t>WEE2838980</t>
  </si>
  <si>
    <t>Flösch Transporte</t>
  </si>
  <si>
    <t>Bahnhofsrtasse 18 D-79268 Bötzingen</t>
  </si>
  <si>
    <t>Hans G. Hauri KG</t>
  </si>
  <si>
    <t>Ust-ID-Nr: DE274659366</t>
  </si>
  <si>
    <t>Bergstraße 114 D - 79268 Bötzingen</t>
  </si>
  <si>
    <t>WEE2838981</t>
  </si>
  <si>
    <t>Gunther Lehnhardt Transporte</t>
  </si>
  <si>
    <t>DE226510046</t>
  </si>
  <si>
    <t>Im Leierhans 31 D-64404 Bickenbach</t>
  </si>
  <si>
    <t>Tennis Klenert Ziegelmühle Karlsruhe</t>
  </si>
  <si>
    <t>Am Baufeld 9 D-76149 Karlsruhe</t>
  </si>
  <si>
    <t>WEE2838982</t>
  </si>
  <si>
    <t>Tennis Nohe</t>
  </si>
  <si>
    <t>Carl-Boschstr.13 D-68799 Reilingen</t>
  </si>
  <si>
    <t>Déchets briques H</t>
  </si>
  <si>
    <t>16 11 06</t>
  </si>
  <si>
    <t>WEE2838983</t>
  </si>
  <si>
    <t>Walter Ott Rohstoff-Recycling GmbH</t>
  </si>
  <si>
    <t>FR02548500982</t>
  </si>
  <si>
    <t>Schuckerstrasse 24 D-71277 Rutesheim</t>
  </si>
  <si>
    <t>Déchets de réasorb</t>
  </si>
  <si>
    <t>WEE2838984</t>
  </si>
  <si>
    <t>D-Carbone</t>
  </si>
  <si>
    <t>84 130 639 200 017</t>
  </si>
  <si>
    <t>NC541452018</t>
  </si>
  <si>
    <t>Jean</t>
  </si>
  <si>
    <t>Moulin</t>
  </si>
  <si>
    <t>06 77 77 77 77</t>
  </si>
  <si>
    <t>jean.moulin@email.fr</t>
  </si>
  <si>
    <t>Pascal</t>
  </si>
  <si>
    <t>Gentil</t>
  </si>
  <si>
    <t>06 55 55 55 55</t>
  </si>
  <si>
    <t>pg@lemail.fr</t>
  </si>
  <si>
    <t>Bourgey Montreuil Alsace (Geodis BM)</t>
  </si>
  <si>
    <t>#################</t>
  </si>
  <si>
    <t>Savoie Hexapôle 73420 Mery</t>
  </si>
  <si>
    <t>Dt-20-01-04</t>
  </si>
  <si>
    <t>Sarl Raison</t>
  </si>
  <si>
    <t>38 086 361 300 036</t>
  </si>
  <si>
    <t>Ferme de Grangeotte 70160 Amance</t>
  </si>
  <si>
    <t>R10</t>
  </si>
  <si>
    <t>Recyclage via méthanisation</t>
  </si>
  <si>
    <t>WEE2838985</t>
  </si>
  <si>
    <t>78 417 353 600 094</t>
  </si>
  <si>
    <t>WEE2838986</t>
  </si>
  <si>
    <t>Transports ATB</t>
  </si>
  <si>
    <t>18 rue d'Alsace 67140 BARR</t>
  </si>
  <si>
    <t>WEE2838987</t>
  </si>
  <si>
    <t>MAUFFREY</t>
  </si>
  <si>
    <t>Zone industrielle du Bois Joli, Route de la Plaine d'Eloyes 88200 Saint-Nabord</t>
  </si>
  <si>
    <t>88/2023/15</t>
  </si>
  <si>
    <t>WEE2838988</t>
  </si>
  <si>
    <t>BOOM EXPRESS</t>
  </si>
  <si>
    <t>7 rue du girlenhirsch 67400 illkirch-graffenstaden</t>
  </si>
  <si>
    <t>WEE2838989</t>
  </si>
  <si>
    <t>Go-Time</t>
  </si>
  <si>
    <t>4 rue Louis Ampère 67400 Illkirch-Graffenstaden</t>
  </si>
  <si>
    <t>WEE2838990</t>
  </si>
  <si>
    <t>Alsafirtrans</t>
  </si>
  <si>
    <t>4 rue des Primeveres 67460 SOUFFELWEYERSHEIM</t>
  </si>
  <si>
    <t>WEE2838991</t>
  </si>
  <si>
    <t>T.B.L</t>
  </si>
  <si>
    <t>WEE2838992</t>
  </si>
  <si>
    <t>Develotte</t>
  </si>
  <si>
    <t>ZAC EX BA 902 88140 CONTREXEVILLE</t>
  </si>
  <si>
    <t>88/2023/32</t>
  </si>
  <si>
    <t>WEE2838993</t>
  </si>
  <si>
    <t>Transport Prabel</t>
  </si>
  <si>
    <t>95 rue Perry 748000 Saint-Pierre-En-Faucigny</t>
  </si>
  <si>
    <t>T 2023 10 24 A</t>
  </si>
  <si>
    <t>WEE2838994</t>
  </si>
  <si>
    <t>Transport Clauss</t>
  </si>
  <si>
    <t>44 294 966 500 024</t>
  </si>
  <si>
    <t>4a rue de Soufflenheim 67660 Betschdorf</t>
  </si>
  <si>
    <t>WEE2838995</t>
  </si>
  <si>
    <t>TRANSPORTES TRINIDAD ROS,SA</t>
  </si>
  <si>
    <t>TVA ESA17041757</t>
  </si>
  <si>
    <t>APARTAT DE CORREUS APARTAT CORREUS 103 17820 - BANYOLES</t>
  </si>
  <si>
    <t>1700084631 / T-5411</t>
  </si>
  <si>
    <t>WEE2838996</t>
  </si>
  <si>
    <t>Bergelin</t>
  </si>
  <si>
    <t>BP69 70103 Arc Les Gray</t>
  </si>
  <si>
    <t>WEE2838997</t>
  </si>
  <si>
    <t>Transports Frappier</t>
  </si>
  <si>
    <t>33 774 265 400 029</t>
  </si>
  <si>
    <t>9 allée de l'Europe 85670 St christophe du ligneron</t>
  </si>
  <si>
    <t>2019-22</t>
  </si>
  <si>
    <t>WEE2838998</t>
  </si>
  <si>
    <t>Transports Morille</t>
  </si>
  <si>
    <t>40 219 384 100 028</t>
  </si>
  <si>
    <t>23 rue de la Croix Renaudeau 49120 Chemillé En Anjou</t>
  </si>
  <si>
    <t>49.2024.60</t>
  </si>
  <si>
    <t>WEE2838999</t>
  </si>
  <si>
    <t>6 rue du Rheinfeld 67020 Strasbourg</t>
  </si>
  <si>
    <t>WEE2839000</t>
  </si>
  <si>
    <t>47 961 343 200 059</t>
  </si>
  <si>
    <t>WEE2839001</t>
  </si>
  <si>
    <t>6 rue du Rheinfeld 67000 Strasbourg</t>
  </si>
  <si>
    <t>Déchets fontaine dégraissage (liquides aqueux de nettoyage)</t>
  </si>
  <si>
    <t>WEE2839002</t>
  </si>
  <si>
    <t>Safety-Kleen France Services</t>
  </si>
  <si>
    <t>33 381 325 100 027</t>
  </si>
  <si>
    <t>65 avenue Jean Mermoz 93126 LaCourneuve Cedex</t>
  </si>
  <si>
    <t>1999-014</t>
  </si>
  <si>
    <t>Safety-Kleen Strasbourg</t>
  </si>
  <si>
    <t>ZA du Hairy 67230 Huttenheim</t>
  </si>
  <si>
    <t>Seteo</t>
  </si>
  <si>
    <t>30 832 792 300 022</t>
  </si>
  <si>
    <t>Rue en Clairvot 21850 Saint Apollinaire</t>
  </si>
  <si>
    <t>R12/D10</t>
  </si>
  <si>
    <t>Elimination (prétraitement au préalable)</t>
  </si>
  <si>
    <t>DEEE en mélange</t>
  </si>
  <si>
    <t>WEE2839003</t>
  </si>
  <si>
    <t>WEE2839004</t>
  </si>
  <si>
    <t>R5 R1</t>
  </si>
  <si>
    <t>WEE2839005</t>
  </si>
  <si>
    <t>R12-2</t>
  </si>
  <si>
    <t>Eaux souillées</t>
  </si>
  <si>
    <t>Eaux de nettoyage du convoyeur UBA</t>
  </si>
  <si>
    <t>WEE2839006</t>
  </si>
  <si>
    <t>ATIC SA</t>
  </si>
  <si>
    <t>30 002 217 500 107</t>
  </si>
  <si>
    <t>3 rue de l'Uranium 67802 Bischheim</t>
  </si>
  <si>
    <t>Suez RR IWS Chemicals</t>
  </si>
  <si>
    <t>16 rue du Ried 67850 Herrlisheim</t>
  </si>
  <si>
    <t>Opération aboutissant à un déchet dont la provenance n'est plus identifiable</t>
  </si>
  <si>
    <t>16 03 05*</t>
  </si>
  <si>
    <t>Eaux de trempage des palettes (fosse siloxane UB2)</t>
  </si>
  <si>
    <t>WEE2839007</t>
  </si>
  <si>
    <t>Tredi</t>
  </si>
  <si>
    <t>33 818 576 200 048</t>
  </si>
  <si>
    <t>74 quai Jacoutot 67000 Strasbourg</t>
  </si>
  <si>
    <t>D10</t>
  </si>
  <si>
    <t>Eaux de trempage des palettes (fosse siloxane UBA + UB3)</t>
  </si>
  <si>
    <t>WEE2839008</t>
  </si>
  <si>
    <t>10 13 99 / 16 10 02</t>
  </si>
  <si>
    <t>Eaux fosses à plâtres</t>
  </si>
  <si>
    <t>WEE2839009</t>
  </si>
  <si>
    <t>Ritleng Revalorisations</t>
  </si>
  <si>
    <t>53 457 434 800 015</t>
  </si>
  <si>
    <t>Lieu dit Gaensweid 67270 Rohr</t>
  </si>
  <si>
    <t>13 05 07*</t>
  </si>
  <si>
    <t>Eaux souillées de séparateur d'hydrocarbures</t>
  </si>
  <si>
    <t>WEE2839010</t>
  </si>
  <si>
    <t>16 07 09*</t>
  </si>
  <si>
    <t>Eaux souillées non chlorées</t>
  </si>
  <si>
    <t>WEE2839011</t>
  </si>
  <si>
    <t>Emballages souillés vides métalliques (fûts)</t>
  </si>
  <si>
    <t>WEE2839012</t>
  </si>
  <si>
    <t>Emballages souillés vides plastiques (fûts)</t>
  </si>
  <si>
    <t>WEE2839013</t>
  </si>
  <si>
    <t>Emballages souillés vides plastiques (petits contenants)</t>
  </si>
  <si>
    <t>WEE2839014</t>
  </si>
  <si>
    <t>Emballages souillés vides spéciaux (corrosifs…)</t>
  </si>
  <si>
    <t>WEE2839015</t>
  </si>
  <si>
    <t>WEE2839016</t>
  </si>
  <si>
    <t>Fibres céramiques réfractaires (chantier wagons UB2)</t>
  </si>
  <si>
    <t>WEE2839017</t>
  </si>
  <si>
    <t>D15</t>
  </si>
  <si>
    <t>Suez RR IWS Minerals France</t>
  </si>
  <si>
    <t>14 rte de Moivrons 54114 Jeandelaincourt</t>
  </si>
  <si>
    <t>Fosse septique</t>
  </si>
  <si>
    <t>20 03 04</t>
  </si>
  <si>
    <t>WEE2839018</t>
  </si>
  <si>
    <t>Sovees</t>
  </si>
  <si>
    <t>81 750 259 400 036</t>
  </si>
  <si>
    <t>Route du Glaserwoerth 67000 Strasbourg</t>
  </si>
  <si>
    <t>D8</t>
  </si>
  <si>
    <t>Elimination (incinération)</t>
  </si>
  <si>
    <t>WEE2839019</t>
  </si>
  <si>
    <t>Station d'épuration</t>
  </si>
  <si>
    <t>20 006 787 400 079</t>
  </si>
  <si>
    <t>Rue du Château Fiat 67470 Haguenau</t>
  </si>
  <si>
    <t>D8/R10</t>
  </si>
  <si>
    <t>Elimination / sous-produits compostage</t>
  </si>
  <si>
    <t>WEE2839020</t>
  </si>
  <si>
    <t>Matériels souillés standards</t>
  </si>
  <si>
    <t>Matériels souillés standards (fûts)</t>
  </si>
  <si>
    <t>WEE2839021</t>
  </si>
  <si>
    <t>Fûts</t>
  </si>
  <si>
    <t>WEE2839022</t>
  </si>
  <si>
    <t>Matériels souillés standards (GRV)</t>
  </si>
  <si>
    <t>WEE2839023</t>
  </si>
  <si>
    <t>WEE2839024</t>
  </si>
  <si>
    <t>Matières peinture</t>
  </si>
  <si>
    <t>Matières apparentées à la peinture (fût)</t>
  </si>
  <si>
    <t>WEE2839025</t>
  </si>
  <si>
    <t>Matières apparentées à la peinture (GRV)</t>
  </si>
  <si>
    <t>WEE2839026</t>
  </si>
  <si>
    <t>Moteurs électriques</t>
  </si>
  <si>
    <t>20 01 36</t>
  </si>
  <si>
    <t>WEE2839027</t>
  </si>
  <si>
    <t>Papier &amp; carton</t>
  </si>
  <si>
    <t>Papier, carton (benne 15m3)</t>
  </si>
  <si>
    <t>WEE2839028</t>
  </si>
  <si>
    <t>Papier, carton (borne 5m3)</t>
  </si>
  <si>
    <t>WEE2839029</t>
  </si>
  <si>
    <t>Plâtres</t>
  </si>
  <si>
    <t>10 12 06 / 10 13 99</t>
  </si>
  <si>
    <t>WEE2839030</t>
  </si>
  <si>
    <t>Résidus du nettoyage cuve d'engobes</t>
  </si>
  <si>
    <t>16 07 99</t>
  </si>
  <si>
    <t>WEE2839031</t>
  </si>
  <si>
    <t>Lingenheld Environnement</t>
  </si>
  <si>
    <t>38 535 103 600 012</t>
  </si>
  <si>
    <t>Chemin du Hitzthal 67203 Oberschaeffolsheim</t>
  </si>
  <si>
    <t>Sables de curage (nettoyage avaloirs et caniveaux)</t>
  </si>
  <si>
    <t>20 03 06</t>
  </si>
  <si>
    <t>WEE2839032</t>
  </si>
  <si>
    <t>01 01</t>
  </si>
  <si>
    <t>Déchets provenant de l'extraction des minéraux :</t>
  </si>
  <si>
    <t>01 01 01</t>
  </si>
  <si>
    <t>déchets provenant de l'extraction des minéraux métallifères ;</t>
  </si>
  <si>
    <t xml:space="preserve">01 01 02 </t>
  </si>
  <si>
    <t>déchets provenant de l'extraction des minéraux non métallifères.</t>
  </si>
  <si>
    <t>01 03</t>
  </si>
  <si>
    <t>Déchets provenant de la transformation physique et chimique des minéraux métallifères</t>
  </si>
  <si>
    <t>01 03 04*</t>
  </si>
  <si>
    <t>stériles acidogènes provenant de la transformation du sulfure</t>
  </si>
  <si>
    <t>01 03 05*</t>
  </si>
  <si>
    <t>autres stériles contenant des substances dangereuses</t>
  </si>
  <si>
    <t>01 03 06</t>
  </si>
  <si>
    <t>stériles autres que ceux visés aux rubriques 01 03 04 et 01 03 05</t>
  </si>
  <si>
    <t>01 03 07*</t>
  </si>
  <si>
    <t>autres déchets contenant des substances dangereuses provenant de la transformation physique et chimique des minéraux métallifères</t>
  </si>
  <si>
    <t>01 03 08</t>
  </si>
  <si>
    <t>déchets de poussières et de poudres autres que ceux visés à la rubrique 01 03 07</t>
  </si>
  <si>
    <t>01 03 09</t>
  </si>
  <si>
    <t>boues rouges issues de la production d'alumine autres que celles visées à la rubrique 01 03 10</t>
  </si>
  <si>
    <t>01 03 10*</t>
  </si>
  <si>
    <t>boues rouges issues de la production d'alumine contenant des substances dangereuses, autres que les déchets visés à la rubrique 01 03 07</t>
  </si>
  <si>
    <t>01 03 99</t>
  </si>
  <si>
    <t>déchets non spécifiés ailleurs</t>
  </si>
  <si>
    <t>01 04</t>
  </si>
  <si>
    <t>Déchets provenant de la transformation physique et chimique des minéraux non métallifères :</t>
  </si>
  <si>
    <t>01 04 07*</t>
  </si>
  <si>
    <t>déchets contenant des substances dangereuses provenant de la transformation physique et chimique des minéraux non métallifères ;</t>
  </si>
  <si>
    <t>01 04 08</t>
  </si>
  <si>
    <t>déchets de graviers et débris de pierres autres que ceux visés à la rubrique 01 04 07 ;</t>
  </si>
  <si>
    <t xml:space="preserve">01 04 09 </t>
  </si>
  <si>
    <t>déchets de sable et d'argile ;</t>
  </si>
  <si>
    <t>01 04 10</t>
  </si>
  <si>
    <t>déchets de poussières et de poudres autres que ceux visés à la rubrique 01 04 07 ;</t>
  </si>
  <si>
    <t>01 04 11</t>
  </si>
  <si>
    <t>déchets de la transformation de la potasse et des sels minéraux autres que ceux visés à la rubrique 01 04 07 ;</t>
  </si>
  <si>
    <t>01 04 12</t>
  </si>
  <si>
    <t>stériles et autres déchets, provenant du lavage et du nettoyage des minéraux, autres que ceux visés aux rubriques 01 04 07 et 01 04 11 ;</t>
  </si>
  <si>
    <t>01 04 13</t>
  </si>
  <si>
    <t>déchets provenant de la taille et du sciage des pierres autres que ceux visés à la rubrique 01 04 07 ;</t>
  </si>
  <si>
    <t>01 04 99</t>
  </si>
  <si>
    <t>déchets non spécifiés ailleurs.</t>
  </si>
  <si>
    <t>01 05</t>
  </si>
  <si>
    <t>Boues de forage et autres déchets de forage :</t>
  </si>
  <si>
    <t>01 05 04</t>
  </si>
  <si>
    <t>boues et autres déchets de forage à l'eau douce</t>
  </si>
  <si>
    <t>01 05 05*</t>
  </si>
  <si>
    <t>boues et autres déchets de forage contenant des hydrocarbures</t>
  </si>
  <si>
    <t>01 05 06*</t>
  </si>
  <si>
    <t>boues de forage et autres déchets de forage contenant des substances dangereuses</t>
  </si>
  <si>
    <t>01 05 07</t>
  </si>
  <si>
    <t>boues et autres déchets de forage contenant des sels de baryum, autres que ceux visés aux rubriques 01 05 05 et 01 05 06</t>
  </si>
  <si>
    <t>01 05 08</t>
  </si>
  <si>
    <t>boues et autres déchets de forage contenant des chlorures, autres que ceux visés aux rubriques 01 05 05 et 01 05 06</t>
  </si>
  <si>
    <t>01 05 99</t>
  </si>
  <si>
    <t>02 Déchets provenant de l'agriculture, de l'horticulture, de l'aquaculture, de la sylviculture, de la chasse et de la pêche ainsi que de la préparation et de la transformation des aliments ;</t>
  </si>
  <si>
    <t>02 01</t>
  </si>
  <si>
    <t>Déchets provenant de l'agriculture, de l'horticulture, de l'aquaculture, de la sylviculture, de la chasse et de la pêche :</t>
  </si>
  <si>
    <t>02 01 01</t>
  </si>
  <si>
    <t>boues provenant du lavage et du nettoyage</t>
  </si>
  <si>
    <t>02 01 02</t>
  </si>
  <si>
    <t>déchets de tissus animaux</t>
  </si>
  <si>
    <t>02 01 03</t>
  </si>
  <si>
    <t>déchets de tissus végétaux</t>
  </si>
  <si>
    <t>02 01 04</t>
  </si>
  <si>
    <t>déchets de matières plastiques (à l'exclusion des emballages)</t>
  </si>
  <si>
    <t>02 01 06</t>
  </si>
  <si>
    <t>fèces, urine et fumier (y compris paille souillée), effluents, collectés séparément et traités hors site</t>
  </si>
  <si>
    <t>02 01 07</t>
  </si>
  <si>
    <t>déchets provenant de la sylviculture</t>
  </si>
  <si>
    <t>02 01 08*</t>
  </si>
  <si>
    <t>déchets agrochimiques contenant des substances dangereuses</t>
  </si>
  <si>
    <t>02 01 09</t>
  </si>
  <si>
    <t>déchets agrochimiques autres que ceux visés à la rubrique 02 01 08</t>
  </si>
  <si>
    <t>02 01 10</t>
  </si>
  <si>
    <t>déchets métalliques</t>
  </si>
  <si>
    <t>02 01 99</t>
  </si>
  <si>
    <t>02 02</t>
  </si>
  <si>
    <t>Déchets provenant de la préparation et de la transformation de la viande, des poissons et autres aliments d'origine animale :</t>
  </si>
  <si>
    <t>02 02 01</t>
  </si>
  <si>
    <t>02 02 02</t>
  </si>
  <si>
    <t>02 02 03</t>
  </si>
  <si>
    <t>matières impropres à la consommation ou à la transformation</t>
  </si>
  <si>
    <t>02 02 04</t>
  </si>
  <si>
    <t>boues provenant du traitement in situ des effluents</t>
  </si>
  <si>
    <t>02 02 99</t>
  </si>
  <si>
    <t xml:space="preserve">02 03 </t>
  </si>
  <si>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 :</t>
  </si>
  <si>
    <t>02 03 01</t>
  </si>
  <si>
    <t>boues provenant du lavage, du nettoyage, de l'épluchage, de la centrifugation et de la séparation</t>
  </si>
  <si>
    <t>02 03 02</t>
  </si>
  <si>
    <t>déchets d'agents de conservation</t>
  </si>
  <si>
    <t>02 03 03</t>
  </si>
  <si>
    <t>déchets de l'extraction aux solvants</t>
  </si>
  <si>
    <t>02 03 04</t>
  </si>
  <si>
    <t>02 03 05</t>
  </si>
  <si>
    <t>02 03 99</t>
  </si>
  <si>
    <t>02 04</t>
  </si>
  <si>
    <t>Déchets de la transformation du sucre</t>
  </si>
  <si>
    <t>02 04 01</t>
  </si>
  <si>
    <t>terre provenant du lavage et du nettoyage des betteraves</t>
  </si>
  <si>
    <t>02 04 02</t>
  </si>
  <si>
    <t>carbonate de calcium déclassé</t>
  </si>
  <si>
    <t>02 04 03</t>
  </si>
  <si>
    <t>02 04 99</t>
  </si>
  <si>
    <t>02 05</t>
  </si>
  <si>
    <t>Déchets provenant de l'industrie des produits laitiers :</t>
  </si>
  <si>
    <t>02 05 01</t>
  </si>
  <si>
    <t>02 05 02</t>
  </si>
  <si>
    <t>02 05 99</t>
  </si>
  <si>
    <t>02 06</t>
  </si>
  <si>
    <t>Déchets de boulangerie, pâtisserie, confiserie ;</t>
  </si>
  <si>
    <t>02 06 01</t>
  </si>
  <si>
    <t>02 06 02</t>
  </si>
  <si>
    <t>02 06 03</t>
  </si>
  <si>
    <t>02 06 99</t>
  </si>
  <si>
    <t>02 07</t>
  </si>
  <si>
    <t>Déchets provenant de la production de boissons alcooliques et non alcooliques (sauf café, thé et cacao) :</t>
  </si>
  <si>
    <t>02 07 01</t>
  </si>
  <si>
    <t>déchets provenant du lavage, du nettoyage et de la réduction mécanique des matières premières</t>
  </si>
  <si>
    <t>02 07 02</t>
  </si>
  <si>
    <t>déchets de la distillation de l'alcool</t>
  </si>
  <si>
    <t>02 07 03</t>
  </si>
  <si>
    <t>déchets de traitements chimiques</t>
  </si>
  <si>
    <t>02 07 04</t>
  </si>
  <si>
    <t>02 07 05</t>
  </si>
  <si>
    <t>02 07 99</t>
  </si>
  <si>
    <t>03 Déchets provenant de la transformation du bois et de la production de panneaux et de meubles, de pâte à papier, de papier et de carton :</t>
  </si>
  <si>
    <t>03 01</t>
  </si>
  <si>
    <t>Déchets provenant de la transformation du bois et de la fabrication de panneaux et de meubles :</t>
  </si>
  <si>
    <t>03 01 01</t>
  </si>
  <si>
    <t>déchets d'écorce et de liège</t>
  </si>
  <si>
    <t>03 01 04*</t>
  </si>
  <si>
    <t>sciure de bois, copeaux, chutes, bois, panneaux de particules et placages contenant des substances dangereuses</t>
  </si>
  <si>
    <t>03 01 05</t>
  </si>
  <si>
    <t>sciure de bois, copeaux, chutes, bois, panneaux de particules et placages autres que ceux visés à la rubrique 03 01 04</t>
  </si>
  <si>
    <t>03 01 99</t>
  </si>
  <si>
    <t>03 02</t>
  </si>
  <si>
    <t>Déchets des produits de protection du bois :</t>
  </si>
  <si>
    <t>03 02 01*</t>
  </si>
  <si>
    <t>composés organiques non halogénés de protection du bois</t>
  </si>
  <si>
    <t>03 02 02*</t>
  </si>
  <si>
    <t>composés organochlorés de protection du bois</t>
  </si>
  <si>
    <t>03 02 03*</t>
  </si>
  <si>
    <t>composés organométalliques de protection du bois</t>
  </si>
  <si>
    <t>03 02 04*</t>
  </si>
  <si>
    <t>composés inorganiques de protection du bois</t>
  </si>
  <si>
    <t>03 02 05*</t>
  </si>
  <si>
    <t>autres produits de protection du bois contenant des substances dangereuses</t>
  </si>
  <si>
    <t>03 02 99</t>
  </si>
  <si>
    <t>produits de protection du bois non spécifiés ailleurs</t>
  </si>
  <si>
    <t>03 03</t>
  </si>
  <si>
    <t>Déchets provenant de la production et de la transformation de papier, de carton et de pâte à papier :</t>
  </si>
  <si>
    <t>03 03 01</t>
  </si>
  <si>
    <t>déchets d'écorce et de bois</t>
  </si>
  <si>
    <t>03 03 02</t>
  </si>
  <si>
    <t>liqueurs vertes (provenant de la récupération de liqueur de cuisson)</t>
  </si>
  <si>
    <t>03 03 05</t>
  </si>
  <si>
    <t>boues de désencrage provenant du recyclage du papier</t>
  </si>
  <si>
    <t>03 03 07</t>
  </si>
  <si>
    <t>refus séparés mécaniquement provenant du broyage de déchets de papier et de carton</t>
  </si>
  <si>
    <t>03 03 08</t>
  </si>
  <si>
    <t>déchets provenant du tri de papier et de carton destinés au recyclage</t>
  </si>
  <si>
    <t>03 03 09</t>
  </si>
  <si>
    <t>déchets de boues résiduaires de chaux</t>
  </si>
  <si>
    <t>03 03 10</t>
  </si>
  <si>
    <t>refus fibreux, boues de fibres, de charge et de couchage provenant d'une séparation mécanique</t>
  </si>
  <si>
    <t>03 03 11</t>
  </si>
  <si>
    <t>boues provenant du traitement in situ des effluents autres que celles visées à la rubrique 03 03 10</t>
  </si>
  <si>
    <t>03 03 99</t>
  </si>
  <si>
    <t>04 Déchets provenant des industries du cuir, de la fourrure et du textile :</t>
  </si>
  <si>
    <t>04 01</t>
  </si>
  <si>
    <t>Déchets provenant de l'industrie du cuir et de la fourrure :</t>
  </si>
  <si>
    <t>04 01 01</t>
  </si>
  <si>
    <t>déchets d'écharnage et refentes</t>
  </si>
  <si>
    <t>04 01 02</t>
  </si>
  <si>
    <t>résidus de pelanage</t>
  </si>
  <si>
    <t>04 01 03*</t>
  </si>
  <si>
    <t>déchets de dégraissage contenant des solvants sans phase liquide</t>
  </si>
  <si>
    <t>04 01 04</t>
  </si>
  <si>
    <t>liqueur de tannage contenant du chrome</t>
  </si>
  <si>
    <t>04 01 05</t>
  </si>
  <si>
    <t>liqueur de tannage sans chrome</t>
  </si>
  <si>
    <t>04 01 06</t>
  </si>
  <si>
    <t>boues, notamment provenant du traitement in situ des effluents, contenant du chrome</t>
  </si>
  <si>
    <t>04 01 07</t>
  </si>
  <si>
    <t>boues, notamment provenant du traitement in situ des effluents, sans chrome</t>
  </si>
  <si>
    <t>04 01 08</t>
  </si>
  <si>
    <t>déchets de cuir tanné (refentes sur bleu, dérayures, échantillonnages, poussières de ponçage), contenant du chrome</t>
  </si>
  <si>
    <t>04 01 09</t>
  </si>
  <si>
    <t>déchets provenant de l'habillage et des finitions</t>
  </si>
  <si>
    <t>04 01 99</t>
  </si>
  <si>
    <t>04 02</t>
  </si>
  <si>
    <t>Déchets de l'industrie textile ;</t>
  </si>
  <si>
    <t>04 02 09</t>
  </si>
  <si>
    <t>matériaux composites (textile imprégné, élastomère, plastomère)</t>
  </si>
  <si>
    <t>04 02 10</t>
  </si>
  <si>
    <t>matières organiques issues de produits naturels (par exemple graisse, cire)</t>
  </si>
  <si>
    <t>04 02 14*</t>
  </si>
  <si>
    <t>déchets provenant des finitions contenant des solvants organiques</t>
  </si>
  <si>
    <t>04 02 15</t>
  </si>
  <si>
    <t>déchets provenant des finitions autres que ceux visés à la rubrique 04 02 14</t>
  </si>
  <si>
    <t>04 02 16*</t>
  </si>
  <si>
    <t>teintures et pigments contenant des substances dangereuses</t>
  </si>
  <si>
    <t>04 02 17</t>
  </si>
  <si>
    <t>teintures et pigments autres que ceux visés à la rubrique 04 02 16</t>
  </si>
  <si>
    <t>04 02 19*</t>
  </si>
  <si>
    <t>boues provenant du traitement in situ des effluents contenant des substances dangereuses</t>
  </si>
  <si>
    <t>04 02 20</t>
  </si>
  <si>
    <t>boues provenant du traitement in situ des effluents autres que celles visées à la rubrique 04 02 19</t>
  </si>
  <si>
    <t>04 02 21</t>
  </si>
  <si>
    <t>fibres textiles non ouvrées</t>
  </si>
  <si>
    <t>04 02 22</t>
  </si>
  <si>
    <t>fibres textiles ouvrées</t>
  </si>
  <si>
    <t>04 02 99</t>
  </si>
  <si>
    <t>05 Déchets provenant du raffinage du pétrole, de la purification du gaz naturel et du traitement pyrolytique du charbon :</t>
  </si>
  <si>
    <t>05 01</t>
  </si>
  <si>
    <t>Déchets provenant du raffinage du pétrole ;</t>
  </si>
  <si>
    <t>05 01 02*</t>
  </si>
  <si>
    <t>boues de dessalage</t>
  </si>
  <si>
    <t>05 01 03*</t>
  </si>
  <si>
    <t>boues de fond de cuves</t>
  </si>
  <si>
    <t>05 01 04*</t>
  </si>
  <si>
    <t>boues d'alkyles acides</t>
  </si>
  <si>
    <t>05 01 05*</t>
  </si>
  <si>
    <t>hydrocarbures accidentellement répandus</t>
  </si>
  <si>
    <t>05 01 06*</t>
  </si>
  <si>
    <t>boues contenant des hydrocarbures provenant des opérations de maintenance de l'installation ou des équipements</t>
  </si>
  <si>
    <t>05 01 07*</t>
  </si>
  <si>
    <t>goudrons acides</t>
  </si>
  <si>
    <t>05 01 08*</t>
  </si>
  <si>
    <t>autres goudrons</t>
  </si>
  <si>
    <t>05 01 09*</t>
  </si>
  <si>
    <t>05 01 10</t>
  </si>
  <si>
    <t>boues provenant du traitement in situ des effluents autres que celles visées à la rubrique 05 01 09</t>
  </si>
  <si>
    <t>05 01 11*</t>
  </si>
  <si>
    <t>déchets provenant du nettoyage d'hydrocarbures avec des bases</t>
  </si>
  <si>
    <t>05 01 12*</t>
  </si>
  <si>
    <t>hydrocarbures contenant des acides</t>
  </si>
  <si>
    <t>05 01 13</t>
  </si>
  <si>
    <t>boues du traitement de l'eau d'alimentation des chaudières</t>
  </si>
  <si>
    <t>05 01 14</t>
  </si>
  <si>
    <t>déchets provenant des colonnes de refroidissement</t>
  </si>
  <si>
    <t>05 01 15*</t>
  </si>
  <si>
    <t>argiles de filtration usées</t>
  </si>
  <si>
    <t>05 01 16</t>
  </si>
  <si>
    <t>déchets contenant du soufre provenant de la désulfuration du pétrole</t>
  </si>
  <si>
    <t>05 01 17</t>
  </si>
  <si>
    <t>mélanges bitumineux</t>
  </si>
  <si>
    <t>05 01 99</t>
  </si>
  <si>
    <t>05 06</t>
  </si>
  <si>
    <t>Déchets provenant du traitement pyrolytique du charbon :</t>
  </si>
  <si>
    <t>05 06 01*</t>
  </si>
  <si>
    <t>05 06 03*</t>
  </si>
  <si>
    <t>05 06 04</t>
  </si>
  <si>
    <t>05 06 99</t>
  </si>
  <si>
    <t>05 07</t>
  </si>
  <si>
    <t xml:space="preserve">Déchets provenant de la purification et du transport du gaz naturel : </t>
  </si>
  <si>
    <t>05 07 01*</t>
  </si>
  <si>
    <t>déchets contenant du mercure</t>
  </si>
  <si>
    <t>05 07 02</t>
  </si>
  <si>
    <t>déchets contenant du soufre</t>
  </si>
  <si>
    <t>05 07 99</t>
  </si>
  <si>
    <t>06 Déchets des procédés de la chimie minérale :</t>
  </si>
  <si>
    <t>06 01</t>
  </si>
  <si>
    <t>Déchets provenant de la fabrication, formulation, distribution et utilisation (FFDU) d'acides :</t>
  </si>
  <si>
    <t>06 01 01*</t>
  </si>
  <si>
    <t>acide sulfurique et acide sulfureux</t>
  </si>
  <si>
    <t>06 01 02*</t>
  </si>
  <si>
    <t>06 01 03*</t>
  </si>
  <si>
    <t>acide fluorhydrique</t>
  </si>
  <si>
    <t>06 01 04*</t>
  </si>
  <si>
    <t>acide phosphorique et acide phosphoreux</t>
  </si>
  <si>
    <t>06 01 05*</t>
  </si>
  <si>
    <t>acide nitrique et acide nitreux</t>
  </si>
  <si>
    <t>06 01 06*</t>
  </si>
  <si>
    <t>autres acides</t>
  </si>
  <si>
    <t>06 01 99</t>
  </si>
  <si>
    <t>06 02</t>
  </si>
  <si>
    <t>Déchets provenant de la FFDU de bases :</t>
  </si>
  <si>
    <t>06 02 01*</t>
  </si>
  <si>
    <t>hydroxyde de calcium</t>
  </si>
  <si>
    <t>06 02 03*</t>
  </si>
  <si>
    <t>hydroxyde d'ammonium</t>
  </si>
  <si>
    <t>06 02 04*</t>
  </si>
  <si>
    <t>hydroxyde de sodium et hydroxyde de potassium</t>
  </si>
  <si>
    <t>06 02 05*</t>
  </si>
  <si>
    <t>autres bases</t>
  </si>
  <si>
    <t>06 02 99</t>
  </si>
  <si>
    <t>06 03</t>
  </si>
  <si>
    <t>Déchets provenant de la FFDU de sels et leurs solutions et d'oxydes métalliques ;</t>
  </si>
  <si>
    <t>06 03 11*</t>
  </si>
  <si>
    <t>sels et solutions contenant des cyanures</t>
  </si>
  <si>
    <t>06 03 13*</t>
  </si>
  <si>
    <t>sels et solutions contenant des métaux lourds</t>
  </si>
  <si>
    <t>06 03 14</t>
  </si>
  <si>
    <t>sels solides et solutions autres que ceux visés aux rubriques 06 03 11 et 06 03 13</t>
  </si>
  <si>
    <t>06 03 15*</t>
  </si>
  <si>
    <t>oxydes métalliques contenant des métaux lourds</t>
  </si>
  <si>
    <t>06 03 16</t>
  </si>
  <si>
    <t>oxydes métalliques autres que ceux visés à la rubrique 06 03 15</t>
  </si>
  <si>
    <t>06 03 99</t>
  </si>
  <si>
    <t>06 04</t>
  </si>
  <si>
    <t>Déchets contenant des métaux autres que ceux visés à la section 06 03 :</t>
  </si>
  <si>
    <t>06 04 03*</t>
  </si>
  <si>
    <t>déchets contenant de l'arsenic</t>
  </si>
  <si>
    <t>06 04 04*</t>
  </si>
  <si>
    <t>06 04 05*</t>
  </si>
  <si>
    <t>déchets contenant d'autres métaux lourds</t>
  </si>
  <si>
    <t>06 04 99</t>
  </si>
  <si>
    <t>06 05</t>
  </si>
  <si>
    <t>Boues provenant du traitement in situ des effluents :</t>
  </si>
  <si>
    <t>06 05 02*</t>
  </si>
  <si>
    <t>06 05 03</t>
  </si>
  <si>
    <t>boues provenant du traitement in situ des effluents autres que celles visées à la rubrique 06 05 02</t>
  </si>
  <si>
    <t>06 06</t>
  </si>
  <si>
    <t>Déchets provenant de la FFDU de produits chimiques contenant du soufre, de la chimie du soufre et des procédés de désulfuration ;</t>
  </si>
  <si>
    <t>06 06 02*</t>
  </si>
  <si>
    <t>déchets contenant des sulfures dangereux</t>
  </si>
  <si>
    <t>06 06 03</t>
  </si>
  <si>
    <t>déchets contenant des sulfures autres que ceux visés à la rubrique 06 06 02</t>
  </si>
  <si>
    <t>06 06 99</t>
  </si>
  <si>
    <t xml:space="preserve">06 07 </t>
  </si>
  <si>
    <t>Déchets provenant de la FFDU des halogènes et de la chimie des halogènes :</t>
  </si>
  <si>
    <t>06 07 01*</t>
  </si>
  <si>
    <t>déchets contenant de l'amiante provenant de l'électrolyse</t>
  </si>
  <si>
    <t>06 07 02*</t>
  </si>
  <si>
    <t>déchets de charbon actif utilisé pour la production du chlore</t>
  </si>
  <si>
    <t>06 07 03*</t>
  </si>
  <si>
    <t>boues de sulfate de baryum contenant du mercure</t>
  </si>
  <si>
    <t>06 07 04*</t>
  </si>
  <si>
    <t>solutions et acides, par exemple acide de contact</t>
  </si>
  <si>
    <t>06 07 99</t>
  </si>
  <si>
    <t>06 08</t>
  </si>
  <si>
    <t>Déchets provenant de la FFDU du silicium et des dérivés du silicium ;</t>
  </si>
  <si>
    <t>06 08 02*</t>
  </si>
  <si>
    <t>déchets contenant des chlorosilanes dangereux</t>
  </si>
  <si>
    <t>06 08 99</t>
  </si>
  <si>
    <t>06 09</t>
  </si>
  <si>
    <t>Déchets provenant de la FFDU des produits chimiques contenant du phosphore et de la chimie du phosphore ;</t>
  </si>
  <si>
    <t>06 09 02</t>
  </si>
  <si>
    <t>scories phosphoriques</t>
  </si>
  <si>
    <t>06 09 03*</t>
  </si>
  <si>
    <t>déchets de réactions basées sur le calcium contenant des substances dangereuses ou contaminées par de telles substances</t>
  </si>
  <si>
    <t>06 09 04</t>
  </si>
  <si>
    <t>déchets de réactions basées sur le calcium autres que ceux visés à la rubrique 06 09 03</t>
  </si>
  <si>
    <t>06 09 99</t>
  </si>
  <si>
    <t>06 10</t>
  </si>
  <si>
    <t>Déchets provenant de la FFDU de produits chimiques contenant de l'azote, de la chimie de l'azote et de la production d'engrais :</t>
  </si>
  <si>
    <t>06 10 02*</t>
  </si>
  <si>
    <t>déchets contenant des substances dangereuses</t>
  </si>
  <si>
    <t>06 10 99</t>
  </si>
  <si>
    <t>06 11</t>
  </si>
  <si>
    <t>Déchets provenant de la fabrication des pigments inorganiques et des opacifiants :</t>
  </si>
  <si>
    <t>06 11 01</t>
  </si>
  <si>
    <t>déchets de réactions basées sur le calcium provenant de la production de dioxyde de titane</t>
  </si>
  <si>
    <t>06 11 99</t>
  </si>
  <si>
    <t>06 13</t>
  </si>
  <si>
    <t>Déchets des procédés de la chimie minérale non spécifiés ailleurs :</t>
  </si>
  <si>
    <t>06 13 01*</t>
  </si>
  <si>
    <t>produits phytosanitaires inorganiques, agents de protection du bois et autres biocides</t>
  </si>
  <si>
    <t>06 13 02*</t>
  </si>
  <si>
    <t>charbon actif usé (sauf rubrique 06 07 02)</t>
  </si>
  <si>
    <t>06 13 03</t>
  </si>
  <si>
    <t>noir de carbone</t>
  </si>
  <si>
    <t>06 13 04*</t>
  </si>
  <si>
    <t>déchets provenant de la transformation de l'amiante</t>
  </si>
  <si>
    <t>06 13 05*</t>
  </si>
  <si>
    <t>suies</t>
  </si>
  <si>
    <t>06 13 99</t>
  </si>
  <si>
    <t>07 Déchets des procédés de la chimie organique :</t>
  </si>
  <si>
    <t>07 01</t>
  </si>
  <si>
    <t>Déchets provenant de la fabrication, formulation, distribution et utilisation (FFDU) de produits organiques de base :</t>
  </si>
  <si>
    <t>07 01 01*</t>
  </si>
  <si>
    <t>eaux de lavage et liqueurs mères aqueuses</t>
  </si>
  <si>
    <t>07 01 03*</t>
  </si>
  <si>
    <t>solvants, liquides de lavage et liqueurs mères organiques halogénés</t>
  </si>
  <si>
    <t>07 01 04*</t>
  </si>
  <si>
    <t>autres solvants, liquides de lavage et liqueurs mères organiques</t>
  </si>
  <si>
    <t>07 01 07*</t>
  </si>
  <si>
    <t>résidus de réaction et résidus de distillation halogénés</t>
  </si>
  <si>
    <t>07 01 08*</t>
  </si>
  <si>
    <t>autres résidus de réaction et résidus de distillation</t>
  </si>
  <si>
    <t>07 01 09*</t>
  </si>
  <si>
    <t>gâteaux de filtration et absorbants usés halogénés</t>
  </si>
  <si>
    <t>07 01 10*</t>
  </si>
  <si>
    <t>autres gâteaux de filtration et absorbants usés</t>
  </si>
  <si>
    <t>07 01 11*</t>
  </si>
  <si>
    <t>07 01 12</t>
  </si>
  <si>
    <t>boues provenant du traitement in situ des effluents autres que celles visées à la rubrique 07 01 11</t>
  </si>
  <si>
    <t>07 01 99</t>
  </si>
  <si>
    <t>07 02</t>
  </si>
  <si>
    <t>Déchets provenant de la FFDU de matières plastiques, caoutchouc et fibres synthétiques ;</t>
  </si>
  <si>
    <t>07 02 01*</t>
  </si>
  <si>
    <t>07 02 03*</t>
  </si>
  <si>
    <t>07 02 04*</t>
  </si>
  <si>
    <t>07 02 07*</t>
  </si>
  <si>
    <t>07 02 08*</t>
  </si>
  <si>
    <t>07 02 09*</t>
  </si>
  <si>
    <t>07 02 10*</t>
  </si>
  <si>
    <t>07 02 11*</t>
  </si>
  <si>
    <t>07 02 12</t>
  </si>
  <si>
    <t>boues provenant du traitement in situ des effluents autres que celles visées à la rubrique 07 02 11</t>
  </si>
  <si>
    <t>07 02 13</t>
  </si>
  <si>
    <t>déchets plastiques</t>
  </si>
  <si>
    <t>07 02 14*</t>
  </si>
  <si>
    <t>déchets provenant d'additifs contenant des substances dangereuses</t>
  </si>
  <si>
    <t>07 02 15</t>
  </si>
  <si>
    <t>déchets provenant d'additifs autres que ceux visés à la rubrique 07 02 14</t>
  </si>
  <si>
    <t>07 02 16*</t>
  </si>
  <si>
    <t>déchets contenant des silicones dangereux</t>
  </si>
  <si>
    <t>07 02 17</t>
  </si>
  <si>
    <t>déchets contenant des silicones autres que ceux visés à la rubrique 07 02 16</t>
  </si>
  <si>
    <t>07 02 99</t>
  </si>
  <si>
    <t>07 03</t>
  </si>
  <si>
    <t>Déchets provenant de la FFDU de teintures et pigments organiques (sauf section 06 11) :</t>
  </si>
  <si>
    <t>07 03 01*</t>
  </si>
  <si>
    <t>07 03 03*</t>
  </si>
  <si>
    <t>07 03 04*</t>
  </si>
  <si>
    <t>07 03 07*</t>
  </si>
  <si>
    <t>07 03 08*</t>
  </si>
  <si>
    <t>07 03 09*</t>
  </si>
  <si>
    <t>07 03 10*</t>
  </si>
  <si>
    <t>07 03 11*</t>
  </si>
  <si>
    <t>07 03 12</t>
  </si>
  <si>
    <t>boues provenant du traitement in situ des effluents autres que celles visées à la rubrique 07 03 11</t>
  </si>
  <si>
    <t>07 03 99</t>
  </si>
  <si>
    <t xml:space="preserve">07 04 </t>
  </si>
  <si>
    <t>Déchets provenant de la FFDU de produits phytosanitaires organiques (sauf rubriques 02 01 08 et 02 01 09), d'agents de protection du bois (sauf section 03 02) et d'autres biocides :</t>
  </si>
  <si>
    <t>07 04 01*</t>
  </si>
  <si>
    <t>07 04 03*</t>
  </si>
  <si>
    <t>07 04 04*</t>
  </si>
  <si>
    <t>07 04 07*</t>
  </si>
  <si>
    <t>07 04 08*</t>
  </si>
  <si>
    <t>07 04 09*</t>
  </si>
  <si>
    <t>07 04 10*</t>
  </si>
  <si>
    <t>07 04 11*</t>
  </si>
  <si>
    <t>07 04 12</t>
  </si>
  <si>
    <t>boues provenant du traitement in situ des effluents autres que celles visées à la rubrique 07 04 11</t>
  </si>
  <si>
    <t>07 04 13*</t>
  </si>
  <si>
    <t>déchets solides contenant des substances dangereuses</t>
  </si>
  <si>
    <t>07 04 99</t>
  </si>
  <si>
    <t>07 05</t>
  </si>
  <si>
    <t>Déchets provenant de la FFDU de produits pharmaceutiques ;</t>
  </si>
  <si>
    <t>07 05 01*</t>
  </si>
  <si>
    <t>07 05 03*</t>
  </si>
  <si>
    <t>07 05 04*</t>
  </si>
  <si>
    <t>07 05 07*</t>
  </si>
  <si>
    <t>07 05 08*</t>
  </si>
  <si>
    <t>07 05 09*</t>
  </si>
  <si>
    <t>07 05 10*</t>
  </si>
  <si>
    <t>07 05 11*</t>
  </si>
  <si>
    <t>07 05 12</t>
  </si>
  <si>
    <t>boues provenant du traitement in situ des effluents autres que celles visées à la rubrique 07 05 11</t>
  </si>
  <si>
    <t>07 05 13*</t>
  </si>
  <si>
    <t>07 05 14</t>
  </si>
  <si>
    <t>déchets solides autres que ceux visés à la rubrique 07 05 13</t>
  </si>
  <si>
    <t>07 05 99</t>
  </si>
  <si>
    <t>07 06</t>
  </si>
  <si>
    <t>Déchets provenant de la FFDU des corps gras, savons, détergents, désinfectants et cosmétiques ;</t>
  </si>
  <si>
    <t>07 06 01*</t>
  </si>
  <si>
    <t>07 06 03*</t>
  </si>
  <si>
    <t>07 06 04*</t>
  </si>
  <si>
    <t>07 06 07*</t>
  </si>
  <si>
    <t>07 06 08*</t>
  </si>
  <si>
    <t>07 06 09*</t>
  </si>
  <si>
    <t>07 06 10*</t>
  </si>
  <si>
    <t>07 06 11*</t>
  </si>
  <si>
    <t>07 06 12</t>
  </si>
  <si>
    <t>boues provenant du traitement in situ des effluents autres que celles visées à la rubrique 07 06 11</t>
  </si>
  <si>
    <t>07 06 99</t>
  </si>
  <si>
    <t>07 07</t>
  </si>
  <si>
    <t>Déchets provenant de la FFDU de produits chimiques issus de la chimie fine et de produits chimiques non spécifiés ailleurs :</t>
  </si>
  <si>
    <t>07 07 01*</t>
  </si>
  <si>
    <t>07 07 03*</t>
  </si>
  <si>
    <t>07 07 04*</t>
  </si>
  <si>
    <t>07 07 07*</t>
  </si>
  <si>
    <t>07 07 08*</t>
  </si>
  <si>
    <t>07 07 09*</t>
  </si>
  <si>
    <t>07 07 10*</t>
  </si>
  <si>
    <t>07 07 11*</t>
  </si>
  <si>
    <t>07 07 12</t>
  </si>
  <si>
    <t>boues provenant du traitement in situ des effluents autres que celles visées à la rubrique 07 07 11</t>
  </si>
  <si>
    <t>07 07 99</t>
  </si>
  <si>
    <t>08 Déchets provenant de la fabrication, de la formulation, de la distribution et de l'utilisation (FFDU) de produits de revêtement (peintures, vernis et émaux vitrifiés), mastics et encres d'impression :</t>
  </si>
  <si>
    <t>08 01</t>
  </si>
  <si>
    <t>Déchets provenant de la FFDU et du décapage de peintures et vernis :</t>
  </si>
  <si>
    <t>08 01 11*</t>
  </si>
  <si>
    <t>déchets de peintures et vernis contenant des solvants organiques ou d'autres substances dangereuses</t>
  </si>
  <si>
    <t>08 01 12</t>
  </si>
  <si>
    <t>déchets de peintures ou vernis autres que ceux visés à la rubrique 08 01 11</t>
  </si>
  <si>
    <t>08 01 13*</t>
  </si>
  <si>
    <t>boues provenant de peintures ou vernis contenant des solvants organiques ou autres substances dangereuses</t>
  </si>
  <si>
    <t>08 01 14</t>
  </si>
  <si>
    <t>boues provenant de peintures ou vernis autres que celles visées à la rubrique 08 01 13</t>
  </si>
  <si>
    <t>08 01 15*</t>
  </si>
  <si>
    <t>boues aqueuses contenant de la peinture ou du vernis contenant des solvants organiques ou autres substances dangereuses</t>
  </si>
  <si>
    <t>08 01 16</t>
  </si>
  <si>
    <t>boues aqueuses contenant de la peinture ou du vernis autres que celles visées à la rubrique 08 01 15</t>
  </si>
  <si>
    <t>08 01 17*</t>
  </si>
  <si>
    <t>déchets provenant du décapage de peintures ou vernis contenant des solvants organiques ou autres substances dangereuses</t>
  </si>
  <si>
    <t>08 01 18</t>
  </si>
  <si>
    <t>déchets provenant du décapage de peintures ou vernis autres que ceux visés à la rubrique 08 01 17</t>
  </si>
  <si>
    <t>08 01 19*</t>
  </si>
  <si>
    <t>08 01 20</t>
  </si>
  <si>
    <t>suspensions aqueuses contenant de la peinture ou du vernis autres que celles visées à la rubrique 08 01 19</t>
  </si>
  <si>
    <t>08 01 21*</t>
  </si>
  <si>
    <t>déchets de décapants de peintures ou vernis</t>
  </si>
  <si>
    <t>08 01 99</t>
  </si>
  <si>
    <t>08 02</t>
  </si>
  <si>
    <t>Déchets provenant de la FFDU d'autres produits de revêtement (y compris des matériaux céramiques) :</t>
  </si>
  <si>
    <t>08 02 01</t>
  </si>
  <si>
    <t>déchets de produits de revêtement en poudre</t>
  </si>
  <si>
    <t>08 02 02</t>
  </si>
  <si>
    <t>boues aqueuses contenant des matériaux céramiques</t>
  </si>
  <si>
    <t>08 02 03</t>
  </si>
  <si>
    <t>suspensions aqueuses contenant des matériaux céramiques</t>
  </si>
  <si>
    <t>08 02 99</t>
  </si>
  <si>
    <t>08 03</t>
  </si>
  <si>
    <t>Déchets provenant de la FFDU d'encres d'impression :</t>
  </si>
  <si>
    <t>08 03 07</t>
  </si>
  <si>
    <t>boues aqueuses contenant de l'encre</t>
  </si>
  <si>
    <t>08 03 08</t>
  </si>
  <si>
    <t>déchets liquides aqueux contenant de l'encre</t>
  </si>
  <si>
    <t>08 03 12*</t>
  </si>
  <si>
    <t>déchets d'encres contenant des substances dangereuses</t>
  </si>
  <si>
    <t>08 03 13</t>
  </si>
  <si>
    <t>déchets d'encres autres que ceux visés à la rubrique 08 03 12</t>
  </si>
  <si>
    <t>08 03 14*</t>
  </si>
  <si>
    <t>boues d'encre contenant des substances dangereuses</t>
  </si>
  <si>
    <t>08 03 15</t>
  </si>
  <si>
    <t>boues d'encre autres que celles visées à la rubrique 08 03 14</t>
  </si>
  <si>
    <t>08 03 16*</t>
  </si>
  <si>
    <t>déchets de solution de morsure</t>
  </si>
  <si>
    <t>08 03 17*</t>
  </si>
  <si>
    <t>déchets de toner d'impression contenant des substances dangereuses</t>
  </si>
  <si>
    <t>08 03 18</t>
  </si>
  <si>
    <t>déchets de toner d'impression autres que ceux visés à la rubrique 08 03 17</t>
  </si>
  <si>
    <t>08 03 19*</t>
  </si>
  <si>
    <t>huiles dispersées</t>
  </si>
  <si>
    <t>08 03 99</t>
  </si>
  <si>
    <t>08 04</t>
  </si>
  <si>
    <t>Déchets provenant de la FFDU de colles et mastics (y compris produits d'étanchéité) :</t>
  </si>
  <si>
    <t>08 04 09*</t>
  </si>
  <si>
    <t>déchets de colles et mastics contenant des solvants organiques ou d'autres substances dangereuses</t>
  </si>
  <si>
    <t>08 04 10</t>
  </si>
  <si>
    <t>déchets de colles et mastics autres que ceux visés à la rubrique 08 04 09</t>
  </si>
  <si>
    <t>08 04 11*</t>
  </si>
  <si>
    <t>boues de colles et mastics contenant des solvants organiques ou d'autres substances dangereuses</t>
  </si>
  <si>
    <t>08 04 12</t>
  </si>
  <si>
    <t>boues de colles et mastics autres que celles visées à la rubrique 08 04 11</t>
  </si>
  <si>
    <t>08 04 13*</t>
  </si>
  <si>
    <t>boues aqueuses contenant des colles ou mastics contenant des solvants organiques ou d'autres substances dangereuses</t>
  </si>
  <si>
    <t>08 04 14</t>
  </si>
  <si>
    <t>boues aqueuses contenant des colles et mastics autres que celles visées à la rubrique 08 04 13</t>
  </si>
  <si>
    <t>08 04 15*</t>
  </si>
  <si>
    <t>déchets liquides aqueux contenant des colles ou mastics contenant des solvants organiques ou d'autres substances dangereuses</t>
  </si>
  <si>
    <t>08 04 16</t>
  </si>
  <si>
    <t>déchets liquides aqueux contenant des colles ou mastics autres que ceux visés à la rubrique 08 04 15</t>
  </si>
  <si>
    <t>08 04 17*</t>
  </si>
  <si>
    <t>huile de résine</t>
  </si>
  <si>
    <t>08 04 99</t>
  </si>
  <si>
    <t xml:space="preserve">08 05 </t>
  </si>
  <si>
    <t>Déchets non spécifiés ailleurs dans le chapitre 08 :</t>
  </si>
  <si>
    <t>08 05 01*</t>
  </si>
  <si>
    <t>déchets d'isocyanates</t>
  </si>
  <si>
    <t>09 Déchets provenant de l'industrie photographique :</t>
  </si>
  <si>
    <t>09 01</t>
  </si>
  <si>
    <t>Déchets de l'industrie photographique :</t>
  </si>
  <si>
    <t>09 01 01*</t>
  </si>
  <si>
    <t>bains de développement aqueux contenant un activateur</t>
  </si>
  <si>
    <t>09 01 02*</t>
  </si>
  <si>
    <t>bains de développement aqueux pour plaques offset</t>
  </si>
  <si>
    <t>09 01 03*</t>
  </si>
  <si>
    <t>bains de développement contenant des solvants</t>
  </si>
  <si>
    <t>09 01 04*</t>
  </si>
  <si>
    <t>bains de fixation</t>
  </si>
  <si>
    <t>09 01 05*</t>
  </si>
  <si>
    <t>bains de blanchiment et bains de blanchiment/fixation</t>
  </si>
  <si>
    <t>09 01 06*</t>
  </si>
  <si>
    <t>déchets contenant de l'argent provenant du traitement in situ des déchets photographiques</t>
  </si>
  <si>
    <t>09 01 07</t>
  </si>
  <si>
    <t>pellicules et papiers photographiques contenant de l'argent ou des composés de l'argent</t>
  </si>
  <si>
    <t>09 01 08</t>
  </si>
  <si>
    <t>pellicules et papiers photographiques sans argent ni composés de l'argent</t>
  </si>
  <si>
    <t>09 01 10</t>
  </si>
  <si>
    <t>appareils photographiques à usage unique sans piles</t>
  </si>
  <si>
    <t>09 01 11*</t>
  </si>
  <si>
    <t>appareils photographiques à usage unique contenant des piles visées aux rubriques 16 06 01, 16 06 02 ou 16 06 03</t>
  </si>
  <si>
    <t>09 01 12</t>
  </si>
  <si>
    <t>appareils photographiques à usage unique contenant des piles autres que ceux visés à la rubrique 09 01 11</t>
  </si>
  <si>
    <t>09 01 13*</t>
  </si>
  <si>
    <t>déchets liquides aqueux provenant de la récupération in situ de l'argent autres que ceux visés à la rubrique 09 01 06</t>
  </si>
  <si>
    <t>09 01 99</t>
  </si>
  <si>
    <t>10 Déchets provenant de procédés thermiques :</t>
  </si>
  <si>
    <t>10 01</t>
  </si>
  <si>
    <t>Déchets provenant de centrales électriques et autres installations de combustion (sauf chapitre 19) :</t>
  </si>
  <si>
    <t>10 01 01</t>
  </si>
  <si>
    <t>mâchefers, scories et cendres sous chaudière (sauf cendres sous chaudière visées à la rubrique 10 01 04)</t>
  </si>
  <si>
    <t>10 01 02</t>
  </si>
  <si>
    <t>cendres volantes de charbon</t>
  </si>
  <si>
    <t>10 01 03</t>
  </si>
  <si>
    <t>cendres volantes de tourbe et de bois non traité</t>
  </si>
  <si>
    <t>10 01 04*</t>
  </si>
  <si>
    <t>cendres volantes et cendres sous chaudière d'hydrocarbures</t>
  </si>
  <si>
    <t>10 01 05</t>
  </si>
  <si>
    <t>déchets solides de réactions basées sur le calcium, provenant de la désulfuration des gaz de fumée</t>
  </si>
  <si>
    <t>10 01 07</t>
  </si>
  <si>
    <t>boues de réactions basées sur le calcium, provenant de la désulfuration des gaz de fumée</t>
  </si>
  <si>
    <t>10 01 09*</t>
  </si>
  <si>
    <t>acide sulfurique</t>
  </si>
  <si>
    <t>10 01 13*</t>
  </si>
  <si>
    <t>cendres volantes provenant d'hydrocarbures émulsifiés employés comme combustibles</t>
  </si>
  <si>
    <t>10 01 14*</t>
  </si>
  <si>
    <t>mâchefers, scories et cendres sous chaudière provenant de la coïncinération contenant des substances dangereuses</t>
  </si>
  <si>
    <t>10 01 15</t>
  </si>
  <si>
    <t>mâchefers, scories et cendres sous chaudière provenant de la coïncinération autres que ceux visés à la rubrique 10 01 14</t>
  </si>
  <si>
    <t>10 01 16*</t>
  </si>
  <si>
    <t>cendres volantes provenant de la coïncinération contenant des substances dangereuses</t>
  </si>
  <si>
    <t>10 01 17</t>
  </si>
  <si>
    <t>cendres volantes provenant de la coïncinération autres que celles visées à la rubrique 10 01 16</t>
  </si>
  <si>
    <t>10 01 18*</t>
  </si>
  <si>
    <t>déchets provenant de l'épuration des gaz contenant des substances dangereuses</t>
  </si>
  <si>
    <t>10 01 19</t>
  </si>
  <si>
    <t>déchets provenant de l'épuration des gaz autres que ceux visés aux rubriques 10 01 05, 10 01 07 et 10 01 18</t>
  </si>
  <si>
    <t>10 01 20*</t>
  </si>
  <si>
    <t>10 01 21</t>
  </si>
  <si>
    <t>boues provenant du traitement in situ des effluents autres que celles visées à la rubrique 10 01 20</t>
  </si>
  <si>
    <t>10 01 22*</t>
  </si>
  <si>
    <t>boues aqueuses provenant du nettoyage des chaudières contenant des substances dangereuses</t>
  </si>
  <si>
    <t>10 01 23</t>
  </si>
  <si>
    <t>boues aqueuses provenant du nettoyage des chaudières autres que celles visées à la rubrique 10 01 22</t>
  </si>
  <si>
    <t>10 01 24</t>
  </si>
  <si>
    <t>sables provenant de lits fluidisés</t>
  </si>
  <si>
    <t>10 01 25</t>
  </si>
  <si>
    <t>déchets provenant du stockage et de la préparation des combustibles des centrales à charbon</t>
  </si>
  <si>
    <t>10 01 26</t>
  </si>
  <si>
    <t>déchets provenant de l'épuration des eaux de refroidissement</t>
  </si>
  <si>
    <t>10 01 99</t>
  </si>
  <si>
    <t>10 02</t>
  </si>
  <si>
    <t>Déchets provenant de l'industrie du fer et de l'acier :</t>
  </si>
  <si>
    <t>10 02 01</t>
  </si>
  <si>
    <t>déchets de laitiers de hauts fourneaux et d'aciéries</t>
  </si>
  <si>
    <t>10 02 02</t>
  </si>
  <si>
    <t>laitiers non traités</t>
  </si>
  <si>
    <t>10 02 07*</t>
  </si>
  <si>
    <t>déchets solides provenant de l'épuration des fumées contenant des substances dangereuses</t>
  </si>
  <si>
    <t>10 02 08</t>
  </si>
  <si>
    <t>déchets solides provenant de l'épuration des fumées autres que ceux visés à la rubrique 10 02 07</t>
  </si>
  <si>
    <t>10 02 10</t>
  </si>
  <si>
    <t>battitures de laminoir</t>
  </si>
  <si>
    <t>10 02 11*</t>
  </si>
  <si>
    <t>déchets provenant de l'épuration des eaux de refroidissement contenant des hydrocarbures</t>
  </si>
  <si>
    <t>10 02 12</t>
  </si>
  <si>
    <t>déchets provenant de l'épuration des eaux de refroidissement autres que ceux visés à la rubrique 10 02 11</t>
  </si>
  <si>
    <t>10 02 13*</t>
  </si>
  <si>
    <t>boues et gâteaux de filtration provenant de l'épuration des fumées contenant des substances dangereuses</t>
  </si>
  <si>
    <t>10 02 14</t>
  </si>
  <si>
    <t>boues et gâteaux de filtration provenant de l'épuration des fumées autres que ceux visés à la rubrique 10 02 13</t>
  </si>
  <si>
    <t>10 02 15</t>
  </si>
  <si>
    <t>autres boues et gâteaux de filtration</t>
  </si>
  <si>
    <t>10 02 99</t>
  </si>
  <si>
    <t>10 03</t>
  </si>
  <si>
    <t>Déchets de la pyrométallurgie de l'aluminium ;</t>
  </si>
  <si>
    <t>10 03 02</t>
  </si>
  <si>
    <t>déchets d'anodes</t>
  </si>
  <si>
    <t>10 03 04*</t>
  </si>
  <si>
    <t>scories provenant de la production primaire</t>
  </si>
  <si>
    <t>10 03 05</t>
  </si>
  <si>
    <t>déchets d'alumine</t>
  </si>
  <si>
    <t>10 03 08*</t>
  </si>
  <si>
    <t>scories salées de seconde fusion</t>
  </si>
  <si>
    <t>10 03 09*</t>
  </si>
  <si>
    <t>crasses noires de seconde fusion</t>
  </si>
  <si>
    <t>10 03 15*</t>
  </si>
  <si>
    <t>écumes inflammables ou émettant, au contact de l'eau, des gaz inflammables en quantités dangereuses</t>
  </si>
  <si>
    <t>10 03 16</t>
  </si>
  <si>
    <t>écumes autres que celles visées à la rubrique 10 03 15</t>
  </si>
  <si>
    <t>10 03 17*</t>
  </si>
  <si>
    <t>déchets goudronnés provenant de la fabrication des anodes</t>
  </si>
  <si>
    <t>10 03 18</t>
  </si>
  <si>
    <t>déchets carbonés provenant de la fabrication des anodes autres que ceux visés à la rubrique 10 03 17</t>
  </si>
  <si>
    <t>10 03 19*</t>
  </si>
  <si>
    <t>poussières de filtration des fumées contenant des substances dangereuses</t>
  </si>
  <si>
    <t>10 03 20</t>
  </si>
  <si>
    <t>poussières de filtration des fumées autres que celles visées à la rubrique 10 03 19</t>
  </si>
  <si>
    <t>10 03 21*</t>
  </si>
  <si>
    <t>autres fines et poussières (y compris fines de broyage de crasses) contenant des substances dangereuses</t>
  </si>
  <si>
    <t>10 03 22</t>
  </si>
  <si>
    <t>autres fines et poussières (y compris fines de broyage de crasses) autres que celles visées à la rubrique 10 03 21</t>
  </si>
  <si>
    <t>10 03 23*</t>
  </si>
  <si>
    <t>10 03 24</t>
  </si>
  <si>
    <t>déchets solides provenant de l'épuration des fumées autres que ceux visés à la rubrique 10 03 23</t>
  </si>
  <si>
    <t>10 03 25*</t>
  </si>
  <si>
    <t>10 03 26</t>
  </si>
  <si>
    <t>boues et gâteaux de filtration provenant de l'épuration des fumées autres que ceux visés à la rubrique 10 03 25</t>
  </si>
  <si>
    <t>10 03 27*</t>
  </si>
  <si>
    <t>10 03 28</t>
  </si>
  <si>
    <t>déchets provenant de l'épuration des eaux de refroidissement autres que ceux visés à la rubrique 10 03 27</t>
  </si>
  <si>
    <t>10 03 29*</t>
  </si>
  <si>
    <t>déchets provenant du traitement des scories salées et du traitement des crasses noires contenant des substances dangereuses</t>
  </si>
  <si>
    <t>10 03 30</t>
  </si>
  <si>
    <t>déchets provenant du traitement des scories salées et du traitement des crasses noires autres que ceux visés à la rubrique 10 03 29</t>
  </si>
  <si>
    <t>10 03 99</t>
  </si>
  <si>
    <t>10 04</t>
  </si>
  <si>
    <t>Déchets provenant de la pyrométallurgie du plomb :</t>
  </si>
  <si>
    <t>10 04 01*</t>
  </si>
  <si>
    <t>scories provenant de la production primaire et secondaire</t>
  </si>
  <si>
    <t>10 04 02*</t>
  </si>
  <si>
    <t>crasses et écumes provenant de la production primaire et secondaire</t>
  </si>
  <si>
    <t>10 04 03*</t>
  </si>
  <si>
    <t>arséniate de calcium</t>
  </si>
  <si>
    <t>10 04 04*</t>
  </si>
  <si>
    <t>poussières de filtration des fumées</t>
  </si>
  <si>
    <t>10 04 05*</t>
  </si>
  <si>
    <t>autres fines et poussières</t>
  </si>
  <si>
    <t>10 04 06*</t>
  </si>
  <si>
    <t>déchets solides provenant de l'épuration des fumées</t>
  </si>
  <si>
    <t>10 04 07*</t>
  </si>
  <si>
    <t>boues et gâteaux de filtration provenant de l'épuration des fumées</t>
  </si>
  <si>
    <t>10 04 09*</t>
  </si>
  <si>
    <t>10 04 10</t>
  </si>
  <si>
    <t>déchets provenant de l'épuration des eaux de refroidissement autres que ceux visés à la rubrique 10 04 09</t>
  </si>
  <si>
    <t>10 04 99</t>
  </si>
  <si>
    <t>10 05</t>
  </si>
  <si>
    <t>Déchets provenant de la pyrométallurgie du zinc ;</t>
  </si>
  <si>
    <t>10 05 01</t>
  </si>
  <si>
    <t>10 05 03*</t>
  </si>
  <si>
    <t>10 05 04</t>
  </si>
  <si>
    <t>10 05 05*</t>
  </si>
  <si>
    <t>10 05 06*</t>
  </si>
  <si>
    <t>10 05 08*</t>
  </si>
  <si>
    <t>10 05 09</t>
  </si>
  <si>
    <t>déchets provenant de l'épuration des eaux de refroidissement autres que ceux visés à la rubrique 10 05 08</t>
  </si>
  <si>
    <t>10 05 10*</t>
  </si>
  <si>
    <t>crasses et écumes inflammables ou émettant, au contact de l'eau, des gaz inflammables en quantités dangereuses</t>
  </si>
  <si>
    <t>10 05 11</t>
  </si>
  <si>
    <t>crasses et écumes autres que celles visées à la rubrique 10 05 10</t>
  </si>
  <si>
    <t>10 05 99</t>
  </si>
  <si>
    <t>10 06</t>
  </si>
  <si>
    <t>Déchets provenant de la pyrométallurgie du cuivre :</t>
  </si>
  <si>
    <t>10 06 01</t>
  </si>
  <si>
    <t>10 06 02</t>
  </si>
  <si>
    <t>10 06 03*</t>
  </si>
  <si>
    <t>10 06 04</t>
  </si>
  <si>
    <t>10 06 06*</t>
  </si>
  <si>
    <t>10 06 07*</t>
  </si>
  <si>
    <t>10 06 09*</t>
  </si>
  <si>
    <t>10 06 10</t>
  </si>
  <si>
    <t>déchets provenant de l'épuration des eaux de refroidissement autres que ceux visés à la rubrique 10 06 09</t>
  </si>
  <si>
    <t>10 06 99</t>
  </si>
  <si>
    <t>10 07</t>
  </si>
  <si>
    <t>Déchets provenant de la pyrométallurgie de l'argent, de l'or et du platine :</t>
  </si>
  <si>
    <t>10 07 01</t>
  </si>
  <si>
    <t>10 07 02</t>
  </si>
  <si>
    <t>10 07 03</t>
  </si>
  <si>
    <t>10 07 04</t>
  </si>
  <si>
    <t>10 07 05</t>
  </si>
  <si>
    <t>10 07 07*</t>
  </si>
  <si>
    <t>10 07 08</t>
  </si>
  <si>
    <t>déchets provenant de l'épuration des eaux de refroidissement autres que ceux visés à la rubrique 10 07 07</t>
  </si>
  <si>
    <t>10 07 99</t>
  </si>
  <si>
    <t>10 08</t>
  </si>
  <si>
    <t>Déchets provenant de la pyrométallurgie d'autres métaux non ferreux ;</t>
  </si>
  <si>
    <t>10 08 04</t>
  </si>
  <si>
    <t>fines et poussières</t>
  </si>
  <si>
    <t>10 08 08*</t>
  </si>
  <si>
    <t>scories salées provenant de la production primaire et secondaire</t>
  </si>
  <si>
    <t>10 08 09</t>
  </si>
  <si>
    <t>autres scories</t>
  </si>
  <si>
    <t>10 08 10*</t>
  </si>
  <si>
    <t>10 08 11</t>
  </si>
  <si>
    <t>crasses et écumes autres que celles visées à la rubrique 10 08 10</t>
  </si>
  <si>
    <t>10 08 12*</t>
  </si>
  <si>
    <t>10 08 13</t>
  </si>
  <si>
    <t>déchets carbonés provenant de la fabrication des anodes autres que ceux visés à la rubrique 10 08 12</t>
  </si>
  <si>
    <t>10 08 14</t>
  </si>
  <si>
    <t>10 08 15*</t>
  </si>
  <si>
    <t>10 08 16</t>
  </si>
  <si>
    <t>poussières de filtration des fumées autres que celles visées à la rubrique 10 08 15</t>
  </si>
  <si>
    <t>10 08 17*</t>
  </si>
  <si>
    <t>10 08 18</t>
  </si>
  <si>
    <t>boues et gâteaux de filtration provenant de l'épuration des fumées autres que ceux visés à la rubrique 10 08 17</t>
  </si>
  <si>
    <t>10 08 19*</t>
  </si>
  <si>
    <t>10 08 20</t>
  </si>
  <si>
    <t>déchets provenant de l'épuration des eaux de refroidissement autres que ceux visés à la rubrique 10 08 19</t>
  </si>
  <si>
    <t>10 08 99</t>
  </si>
  <si>
    <t xml:space="preserve">10 09 </t>
  </si>
  <si>
    <t>Déchets de fonderie de métaux ferreux :</t>
  </si>
  <si>
    <t>10 09 03</t>
  </si>
  <si>
    <t>laitiers de four de fonderie</t>
  </si>
  <si>
    <t>10 09 05*</t>
  </si>
  <si>
    <t>noyaux et moules de fonderie n'ayant pas subi la coulée contenant des substances dangereuses</t>
  </si>
  <si>
    <t>10 09 06</t>
  </si>
  <si>
    <t>noyaux et moules de fonderie n'ayant pas subi la coulée autres que ceux visés à la rubrique 10 09 05</t>
  </si>
  <si>
    <t>10 09 07*</t>
  </si>
  <si>
    <t>noyaux et moules de fonderie ayant subi la coulée contenant des substances dangereuses</t>
  </si>
  <si>
    <t>10 09 08</t>
  </si>
  <si>
    <t>noyaux et moules de fonderie ayant subi la coulée autres que ceux visés à la rubrique 10 09 07</t>
  </si>
  <si>
    <t>10 09 09*</t>
  </si>
  <si>
    <t>10 09 10</t>
  </si>
  <si>
    <t>poussières de filtration des fumées autres que celles visées à la rubrique 10 09 09</t>
  </si>
  <si>
    <t>10 09 11*</t>
  </si>
  <si>
    <t>autres fines contenant des substances dangereuses</t>
  </si>
  <si>
    <t>10 09 12</t>
  </si>
  <si>
    <t>autres fines non visées à la rubrique 10 09 11</t>
  </si>
  <si>
    <t>10 09 13*</t>
  </si>
  <si>
    <t>déchets de liants contenant des substances dangereuses</t>
  </si>
  <si>
    <t>10 09 14</t>
  </si>
  <si>
    <t>déchets de liants autres que ceux visés à la rubrique 10 09 13</t>
  </si>
  <si>
    <t>10 09 15*</t>
  </si>
  <si>
    <t>révélateur de criques usagé contenant des substances dangereuses</t>
  </si>
  <si>
    <t>10 09 16</t>
  </si>
  <si>
    <t>révélateur de criques usagé autre que celui visé à la rubrique 10 09 15</t>
  </si>
  <si>
    <t>10 09 99</t>
  </si>
  <si>
    <t>10 10</t>
  </si>
  <si>
    <t>Déchets de fonderie de métaux non ferreux :</t>
  </si>
  <si>
    <t>10 10 03</t>
  </si>
  <si>
    <t>10 10 05*</t>
  </si>
  <si>
    <t>10 10 06</t>
  </si>
  <si>
    <t>noyaux et moules de fonderie n'ayant pas subi la coulée autres que ceux visés à la rubrique 10 10 05</t>
  </si>
  <si>
    <t>10 10 07*</t>
  </si>
  <si>
    <t>10 10 08</t>
  </si>
  <si>
    <t>noyaux et moules de fonderie ayant subi la coulée autres que ceux visés à la rubrique 10 10 07</t>
  </si>
  <si>
    <t>10 10 09*</t>
  </si>
  <si>
    <t>10 10 10</t>
  </si>
  <si>
    <t>poussières de filtration des fumées autres que celles visées à la rubrique 10 10 09</t>
  </si>
  <si>
    <t>10 10 11*</t>
  </si>
  <si>
    <t>10 10 12</t>
  </si>
  <si>
    <t>autres fines non visées à la rubrique 10 10 11</t>
  </si>
  <si>
    <t>10 10 13*</t>
  </si>
  <si>
    <t>10 10 14</t>
  </si>
  <si>
    <t>déchets de liants autres que ceux visés à la rubrique 10 10 13</t>
  </si>
  <si>
    <t>10 10 15*</t>
  </si>
  <si>
    <t>10 10 16</t>
  </si>
  <si>
    <t>révélateur de criques usagé autre que celui visé à la rubrique 10 10 15</t>
  </si>
  <si>
    <t>10 10 99</t>
  </si>
  <si>
    <t>10 11</t>
  </si>
  <si>
    <t>Déchets provenant de la fabrication du verre et des produits verriers :</t>
  </si>
  <si>
    <t>10 11 03</t>
  </si>
  <si>
    <t>déchets de matériaux à base de fibre de verre</t>
  </si>
  <si>
    <t>10 11 05</t>
  </si>
  <si>
    <t>10 11 09*</t>
  </si>
  <si>
    <t>déchets de préparation avant cuisson contenant des substances dangereuses</t>
  </si>
  <si>
    <t>10 11 10</t>
  </si>
  <si>
    <t>déchets de préparation avant cuisson autres que ceux visés à la rubrique 10 11 09</t>
  </si>
  <si>
    <t>10 11 11*</t>
  </si>
  <si>
    <t>petites particules de déchets de verre et poudre de verre contenant des métaux lourds (par exemple tubes cathodiques)</t>
  </si>
  <si>
    <t>10 11 12</t>
  </si>
  <si>
    <t>déchets de verre autres que ceux visés à la rubrique 10 11 11</t>
  </si>
  <si>
    <t>10 11 13*</t>
  </si>
  <si>
    <t>boues de polissage et de meulage du verre contenant des substances dangereuses</t>
  </si>
  <si>
    <t>10 11 14</t>
  </si>
  <si>
    <t>boues de polissage et de meulage du verre autres que celles visées à la rubrique 10 11 13</t>
  </si>
  <si>
    <t>10 11 15*</t>
  </si>
  <si>
    <t>10 11 16</t>
  </si>
  <si>
    <t>déchets solides provenant de l'épuration des fumées autres que ceux visés à la rubrique 10 11 15</t>
  </si>
  <si>
    <t>10 11 17*</t>
  </si>
  <si>
    <t>10 11 18</t>
  </si>
  <si>
    <t>boues et gâteaux de filtration provenant de l'épuration des fumées autres que ceux visés à la rubrique 10 11 17</t>
  </si>
  <si>
    <t>10 11 19*</t>
  </si>
  <si>
    <t>déchets solides provenant du traitement in situ des effluents contenant des substances dangereuses</t>
  </si>
  <si>
    <t>10 11 20</t>
  </si>
  <si>
    <t>déchets solides provenant du traitement in situ des effluents autres que ceux visés à la rubrique 10 11 19</t>
  </si>
  <si>
    <t>10 11 99</t>
  </si>
  <si>
    <t>10 12</t>
  </si>
  <si>
    <t>Déchets provenant de la fabrication des produits en céramique, briques, carrelage et matériaux de construction :</t>
  </si>
  <si>
    <t>10 12 01</t>
  </si>
  <si>
    <t>déchets de préparation avant cuisson</t>
  </si>
  <si>
    <t>10 12 03</t>
  </si>
  <si>
    <t>10 12 05</t>
  </si>
  <si>
    <t>10 12 06</t>
  </si>
  <si>
    <t>moules déclassés</t>
  </si>
  <si>
    <t>10 12 08</t>
  </si>
  <si>
    <t>déchets de produits en céramique, briques, carrelage et matériaux de construction (après cuisson)</t>
  </si>
  <si>
    <t>10 12 09*</t>
  </si>
  <si>
    <t>10 12 10</t>
  </si>
  <si>
    <t>déchets solides provenant de l'épuration des fumées autres que ceux visés à la rubrique 10 12 09</t>
  </si>
  <si>
    <t>10 12 11*</t>
  </si>
  <si>
    <t>déchets de glaçure contenant des métaux lourds</t>
  </si>
  <si>
    <t>10 12 12</t>
  </si>
  <si>
    <t>déchets de glaçure autres que ceux visés à la rubrique 10 12 11</t>
  </si>
  <si>
    <t>10 12 13</t>
  </si>
  <si>
    <t>10 12 99</t>
  </si>
  <si>
    <t xml:space="preserve">10 13 </t>
  </si>
  <si>
    <t>Déchets provenant de la fabrication de ciment, chaux et plâtre et d'articles et produits dérivés :</t>
  </si>
  <si>
    <t>10 13 01</t>
  </si>
  <si>
    <t>10 13 04</t>
  </si>
  <si>
    <t>déchets de calcination et d'hydratation de la chaux</t>
  </si>
  <si>
    <t>10 13 06</t>
  </si>
  <si>
    <t>fines et poussières (sauf rubriques 10 13 12 et 10 13 13)</t>
  </si>
  <si>
    <t>10 13 07</t>
  </si>
  <si>
    <t>10 13 09*</t>
  </si>
  <si>
    <t>déchets provenant de la fabrication d'amiante-ciment contenant de l'amiante</t>
  </si>
  <si>
    <t>10 13 10</t>
  </si>
  <si>
    <t>déchets provenant de la fabrication d'amiante-ciment autres que ceux visés à la rubrique 10 13 09</t>
  </si>
  <si>
    <t>10 13 11</t>
  </si>
  <si>
    <t>déchets provenant de la fabrication de matériaux composites à base de ciment autres que ceux visés aux rubriques 10 13 09 et 10 13 10</t>
  </si>
  <si>
    <t>10 13 12*</t>
  </si>
  <si>
    <t>10 13 13</t>
  </si>
  <si>
    <t>déchets solides provenant de l'épuration des fumées autres que ceux visés à la rubrique 10 13 12</t>
  </si>
  <si>
    <t>10 13 14</t>
  </si>
  <si>
    <t>déchets et boues de béton</t>
  </si>
  <si>
    <t>10 13 99</t>
  </si>
  <si>
    <t>10 14</t>
  </si>
  <si>
    <t xml:space="preserve">Déchets de crématoires : </t>
  </si>
  <si>
    <t>10 14 01*</t>
  </si>
  <si>
    <t>déchets provenant de l'épuration des fumées contenant du mercure</t>
  </si>
  <si>
    <t>11 Déchets provenant du traitement chimique de surface et du revêtement des métaux et autres matériaux, et de l'hydrométallurgie des métaux non ferreux :</t>
  </si>
  <si>
    <t>11 01</t>
  </si>
  <si>
    <t>Déchets provenant du traitement chimique de surface et du revêtement des métaux et autres matériaux (par exemple, procédés de galvanisation, de revêtement de zinc, de décapage, de gravure, de phosphatation, de dégraissage alcalin et d'anodisation) :</t>
  </si>
  <si>
    <t>11 01 05*</t>
  </si>
  <si>
    <t>acides de décapage</t>
  </si>
  <si>
    <t>11 01 06*</t>
  </si>
  <si>
    <t>acides non spécifiés ailleurs</t>
  </si>
  <si>
    <t>11 01 07*</t>
  </si>
  <si>
    <t>bases de décapage</t>
  </si>
  <si>
    <t>11 01 08*</t>
  </si>
  <si>
    <t>boues de phosphatation</t>
  </si>
  <si>
    <t>11 01 09*</t>
  </si>
  <si>
    <t>boues et gâteaux de filtration contenant des substances dangereuses</t>
  </si>
  <si>
    <t>11 01 10</t>
  </si>
  <si>
    <t>boues et gâteaux de filtration autres que ceux visés à la rubrique 11 01 09</t>
  </si>
  <si>
    <t>11 01 11*</t>
  </si>
  <si>
    <t>liquides aqueux de rinçage contenant des substances dangereuses</t>
  </si>
  <si>
    <t>11 01 12</t>
  </si>
  <si>
    <t>liquides aqueux de rinçage autres que ceux visés à la rubrique 11 01 11</t>
  </si>
  <si>
    <t>11 01 13*</t>
  </si>
  <si>
    <t>déchets de dégraissage contenant des substances dangereuses</t>
  </si>
  <si>
    <t>11 01 14</t>
  </si>
  <si>
    <t>déchets de dégraissage autres que ceux visés à la rubrique 11 01 13</t>
  </si>
  <si>
    <t>11 01 15*</t>
  </si>
  <si>
    <t>éluats et boues provenant des systèmes à membrane et des systèmes d'échange d'ions contenant des substances dangereuses</t>
  </si>
  <si>
    <t>11 01 16*</t>
  </si>
  <si>
    <t>résines échangeuses d'ions saturées ou usées</t>
  </si>
  <si>
    <t>11 01 98*</t>
  </si>
  <si>
    <t>autres déchets contenant des substances dangereuses</t>
  </si>
  <si>
    <t>11 01 99</t>
  </si>
  <si>
    <t>11 02</t>
  </si>
  <si>
    <t>Déchets provenant des procédés hydrométallurgiques des métaux non ferreux :</t>
  </si>
  <si>
    <t>11 02 02*</t>
  </si>
  <si>
    <t>boues provenant de l'hydrométallurgie du zinc (y compris jarosite et goethite)</t>
  </si>
  <si>
    <t>11 02 03</t>
  </si>
  <si>
    <t>déchets provenant de la production d'anodes pour les procédés d'électrolyse aqueuse</t>
  </si>
  <si>
    <t>11 02 05*</t>
  </si>
  <si>
    <t>déchets provenant des procédés hydrométallurgiques du cuivre contenant des substances dangereuses</t>
  </si>
  <si>
    <t>11 02 06</t>
  </si>
  <si>
    <t>déchets provenant des procédés hydrométallurgiques du cuivre autres que ceux visés à la rubrique 11 02 05</t>
  </si>
  <si>
    <t>11 02 07*</t>
  </si>
  <si>
    <t>11 02 99</t>
  </si>
  <si>
    <t>11 03</t>
  </si>
  <si>
    <t>Boues et solides provenant de la trempe ;</t>
  </si>
  <si>
    <t>11 03 01*</t>
  </si>
  <si>
    <t>déchets cyanurés</t>
  </si>
  <si>
    <t>11 03 02*</t>
  </si>
  <si>
    <t>autres déchets</t>
  </si>
  <si>
    <t>11 05</t>
  </si>
  <si>
    <t>Déchets provenant de la galvanisation à chaud ;</t>
  </si>
  <si>
    <t>11 05 01</t>
  </si>
  <si>
    <t>mattes</t>
  </si>
  <si>
    <t>11 05 02</t>
  </si>
  <si>
    <t>cendres de zinc</t>
  </si>
  <si>
    <t>11 05 03*</t>
  </si>
  <si>
    <t>11 05 04*</t>
  </si>
  <si>
    <t>flux utilisé</t>
  </si>
  <si>
    <t>11 05 99</t>
  </si>
  <si>
    <t>12 Déchets provenant de la mise en forme du traitement physique et mécanique de surface des métaux et matières plastiques :</t>
  </si>
  <si>
    <t>12 01</t>
  </si>
  <si>
    <t xml:space="preserve">Déchets provenant de la mise en forme et du traitement mécanique et physique de surface des métaux et matières plastiques : </t>
  </si>
  <si>
    <t>12 01 01</t>
  </si>
  <si>
    <t>limaille et chutes de métaux ferreux</t>
  </si>
  <si>
    <t>12 01 02</t>
  </si>
  <si>
    <t>fines et poussières de métaux ferreux</t>
  </si>
  <si>
    <t>12 01 03</t>
  </si>
  <si>
    <t>limaille et chutes de métaux non ferreux</t>
  </si>
  <si>
    <t>12 01 04</t>
  </si>
  <si>
    <t>fines et poussières de métaux non ferreux</t>
  </si>
  <si>
    <t>12 01 05</t>
  </si>
  <si>
    <t>déchets de matières plastiques d'ébarbage et de tournage</t>
  </si>
  <si>
    <t>12 01 06*</t>
  </si>
  <si>
    <t>huiles d'usinage à base minérale contenant des halogènes (pas sous forme d'émulsions ou de solutions)</t>
  </si>
  <si>
    <t>12 01 07*</t>
  </si>
  <si>
    <t>huiles d'usinage à base minérale sans halogènes (pas sous forme d'émulsions ou de solutions)</t>
  </si>
  <si>
    <t>12 01 08*</t>
  </si>
  <si>
    <t>émulsions et solutions d'usinage contenant des halogènes</t>
  </si>
  <si>
    <t>12 01 09*</t>
  </si>
  <si>
    <t>émulsions et solutions d'usinage sans halogènes</t>
  </si>
  <si>
    <t>12 01 10*</t>
  </si>
  <si>
    <t>huiles d'usinage de synthèse</t>
  </si>
  <si>
    <t>12 01 12*</t>
  </si>
  <si>
    <t>déchets de cires et graisses</t>
  </si>
  <si>
    <t>12 01 13</t>
  </si>
  <si>
    <t>déchets de soudure</t>
  </si>
  <si>
    <t>12 01 14*</t>
  </si>
  <si>
    <t>boues d'usinage contenant des substances dangereuses</t>
  </si>
  <si>
    <t>12 01 15</t>
  </si>
  <si>
    <t>boues d'usinage autres que celles visées à la rubrique 12 01 14</t>
  </si>
  <si>
    <t>12 01 16*</t>
  </si>
  <si>
    <t>déchets de grenaillage contenant des substances dangereuses</t>
  </si>
  <si>
    <t>12 01 17</t>
  </si>
  <si>
    <t>déchets de grenaillage autres que ceux visés à la rubrique 12 01 16</t>
  </si>
  <si>
    <t>12 01 18*</t>
  </si>
  <si>
    <t>boues métalliques (provenant du meulage et de l'affûtage) contenant des hydrocarbures</t>
  </si>
  <si>
    <t>12 01 19*</t>
  </si>
  <si>
    <t>huiles d'usinage facilement biodégradables</t>
  </si>
  <si>
    <t>12 01 20*</t>
  </si>
  <si>
    <t>déchets de meulage et matériaux de meulage contenant des substances dangereuses</t>
  </si>
  <si>
    <t>12 01 21</t>
  </si>
  <si>
    <t>déchets de meulage et matériaux de meulage autres que ceux visés à la rubrique 12 01 20</t>
  </si>
  <si>
    <t>12 01 99</t>
  </si>
  <si>
    <t xml:space="preserve">12 03 </t>
  </si>
  <si>
    <t>Déchets provenant du dégraissage à l'eau et à la vapeur (sauf chapitre 11) :</t>
  </si>
  <si>
    <t>12 03 01*</t>
  </si>
  <si>
    <t>liquides aqueux de nettoyage</t>
  </si>
  <si>
    <t>12 03 02*</t>
  </si>
  <si>
    <t>déchets du dégraissage à la vapeur</t>
  </si>
  <si>
    <t>13 Huiles et combustibles liquides usagés (sauf huiles alimentaires et huiles figurant aux chapitres 05, 12 et 19)</t>
  </si>
  <si>
    <t>13 01</t>
  </si>
  <si>
    <t>Huiles hydrauliques usagées :</t>
  </si>
  <si>
    <t>13 01 01*</t>
  </si>
  <si>
    <t>huiles hydrauliques contenant des PCB</t>
  </si>
  <si>
    <t>13 01 04*</t>
  </si>
  <si>
    <t>huiles hydrauliques chlorées (émulsions)</t>
  </si>
  <si>
    <t>13 01 05*</t>
  </si>
  <si>
    <t>huiles hydrauliques non chlorées (émulsions)</t>
  </si>
  <si>
    <t>13 01 09*</t>
  </si>
  <si>
    <t>huiles hydrauliques chlorées à base minérale</t>
  </si>
  <si>
    <t>13 01 10*</t>
  </si>
  <si>
    <t>huiles hydrauliques non chlorées à base minérale</t>
  </si>
  <si>
    <t>13 01 11*</t>
  </si>
  <si>
    <t>huiles hydrauliques synthétiques</t>
  </si>
  <si>
    <t>13 01 12*</t>
  </si>
  <si>
    <t>huiles hydrauliques facilement biodégradables</t>
  </si>
  <si>
    <t>13 01 13*</t>
  </si>
  <si>
    <t>autres huiles hydrauliques</t>
  </si>
  <si>
    <t>13 02</t>
  </si>
  <si>
    <t>Huiles moteur, de boîte de vitesses et de lubrification usagées ;</t>
  </si>
  <si>
    <t>13 02 04*</t>
  </si>
  <si>
    <t>huiles moteur, de boîte de vitesses et de lubrification chlorées à base minérale</t>
  </si>
  <si>
    <t>13 02 05*</t>
  </si>
  <si>
    <t>huiles moteur, de boîte de vitesses et de lubrification non chlorées à base minérale</t>
  </si>
  <si>
    <t>13 02 06*</t>
  </si>
  <si>
    <t>huiles moteur, de boîte de vitesses et de lubrification synthétiques</t>
  </si>
  <si>
    <t>13 02 07*</t>
  </si>
  <si>
    <t>huiles moteur, de boîte de vitesses et de lubrification facilement biodégradables</t>
  </si>
  <si>
    <t>13 02 08*</t>
  </si>
  <si>
    <t>autres huiles moteur, de boîte de vitesses et de lubrification</t>
  </si>
  <si>
    <t>13 03</t>
  </si>
  <si>
    <t>Huiles isolantes et fluides caloporteurs usagés ;</t>
  </si>
  <si>
    <t>13 03 01*</t>
  </si>
  <si>
    <t>huiles isolantes et fluides caloporteurs contenant des PCB</t>
  </si>
  <si>
    <t>13 03 06*</t>
  </si>
  <si>
    <t>huiles isolantes et fluides caloporteurs chlorés à base minérale autres que ceux visés à la rubrique 13 03 01</t>
  </si>
  <si>
    <t>13 03 07*</t>
  </si>
  <si>
    <t>huiles isolantes et fluides caloporteurs non chlorés à base minérale</t>
  </si>
  <si>
    <t>13 03 08*</t>
  </si>
  <si>
    <t>huiles isolantes et fluides caloporteurs synthétiques</t>
  </si>
  <si>
    <t>13 03 09*</t>
  </si>
  <si>
    <t>huiles isolantes et fluides caloporteurs facilement biodégradables</t>
  </si>
  <si>
    <t>13 03 10*</t>
  </si>
  <si>
    <t>autres huiles isolantes et fluides caloporteurs</t>
  </si>
  <si>
    <t>13 04</t>
  </si>
  <si>
    <t xml:space="preserve">Hydrocarbures de fond de cale </t>
  </si>
  <si>
    <t>13 04 01*</t>
  </si>
  <si>
    <t>hydrocarbures de fond de cale provenant de la navigation fluviale</t>
  </si>
  <si>
    <t>13 04 02*</t>
  </si>
  <si>
    <t>hydrocarbures de fond de cale provenant de canalisations de môles</t>
  </si>
  <si>
    <t>13 04 03*</t>
  </si>
  <si>
    <t>hydrocarbures de fond de cale provenant d'un autre type de navigation</t>
  </si>
  <si>
    <t>13 05</t>
  </si>
  <si>
    <t>Contenu de séparateurs eau/hydrocarbures ;</t>
  </si>
  <si>
    <t>13 05 01*</t>
  </si>
  <si>
    <t>déchets solides provenant de dessableurs et de séparateurs eau/hydrocarbures</t>
  </si>
  <si>
    <t>13 05 02*</t>
  </si>
  <si>
    <t>boues provenant de séparateurs eau/hydrocarbures</t>
  </si>
  <si>
    <t>13 05 03*</t>
  </si>
  <si>
    <t>boues provenant de déshuileurs</t>
  </si>
  <si>
    <t>13 05 06*</t>
  </si>
  <si>
    <t>hydrocarbures provenant de séparateurs eau/hydrocarbures</t>
  </si>
  <si>
    <t>13 05 07*</t>
  </si>
  <si>
    <t>eau mélangée à des hydrocarbures provenant de séparateurs eau/hydrocarbures</t>
  </si>
  <si>
    <t>13 05 08*</t>
  </si>
  <si>
    <t>mélanges de déchets provenant de dessableurs et de séparateurs eau/hydrocarbures</t>
  </si>
  <si>
    <t>13 07</t>
  </si>
  <si>
    <t>Combustibles liquides usagés ;</t>
  </si>
  <si>
    <t>13 07 01*</t>
  </si>
  <si>
    <t>fuel oil et diesel</t>
  </si>
  <si>
    <t>13 07 02*</t>
  </si>
  <si>
    <t>essence</t>
  </si>
  <si>
    <t>13 07 03*</t>
  </si>
  <si>
    <t>autres combustibles (y compris mélanges)</t>
  </si>
  <si>
    <t>13 08</t>
  </si>
  <si>
    <t>Huiles usagées non spécifiées ailleurs :</t>
  </si>
  <si>
    <t>13 08 01*</t>
  </si>
  <si>
    <t>boues ou émulsions de dessalage</t>
  </si>
  <si>
    <t>13 08 02*</t>
  </si>
  <si>
    <t>autres émulsions</t>
  </si>
  <si>
    <t>13 08 99*</t>
  </si>
  <si>
    <t>14 Déchets de solvants organiques, d'agents réfrigérants et propulseurs (sauf chapitres 07 et 08) :</t>
  </si>
  <si>
    <t>14 06</t>
  </si>
  <si>
    <t>Déchets de solvants, d'agents réfrigérants et d'agents propulseurs d'aérosols/de mousses organiques :</t>
  </si>
  <si>
    <t>14 06 01*</t>
  </si>
  <si>
    <t>chlorofluorocarbones, HCFC, HFC</t>
  </si>
  <si>
    <t>14 06 02*</t>
  </si>
  <si>
    <t>autres solvants et mélanges de solvants halogénés</t>
  </si>
  <si>
    <t>14 06 03*</t>
  </si>
  <si>
    <t>autres solvants et mélanges de solvants</t>
  </si>
  <si>
    <t>14 06 04*</t>
  </si>
  <si>
    <t>boues ou déchets solides contenant des solvants halogénés</t>
  </si>
  <si>
    <t>14 06 05*</t>
  </si>
  <si>
    <t>boues ou déchets solides contenant d'autres solvants</t>
  </si>
  <si>
    <t>15 Emballages et déchets d'emballages, absorbants, chiffons d'essuyage, matériaux filtrants et vêtements de protection non spécifiés ailleurs :</t>
  </si>
  <si>
    <t>15 01</t>
  </si>
  <si>
    <t>Emballages et déchets d'emballages (y compris les déchets d'emballages municipaux collectés séparément) :</t>
  </si>
  <si>
    <t>15 01 01</t>
  </si>
  <si>
    <t>emballages en papier/carton</t>
  </si>
  <si>
    <t>15 01 02</t>
  </si>
  <si>
    <t>emballages en matières plastiques</t>
  </si>
  <si>
    <t>15 01 03</t>
  </si>
  <si>
    <t>emballages en bois</t>
  </si>
  <si>
    <t>15 01 04</t>
  </si>
  <si>
    <t>emballages métalliques</t>
  </si>
  <si>
    <t>15 01 05</t>
  </si>
  <si>
    <t>emballages composites</t>
  </si>
  <si>
    <t>15 01 06</t>
  </si>
  <si>
    <t>emballages en mélange</t>
  </si>
  <si>
    <t>15 01 07</t>
  </si>
  <si>
    <t>emballages en verre</t>
  </si>
  <si>
    <t>15 01 09</t>
  </si>
  <si>
    <t>emballages textiles</t>
  </si>
  <si>
    <t>15 01 10*</t>
  </si>
  <si>
    <t>emballages contenant des résidus de substances dangereuses ou contaminés par de tels résidus</t>
  </si>
  <si>
    <t>15 01 11*</t>
  </si>
  <si>
    <t>emballages métalliques contenant une matrice poreuse solide dangereuse (par exemple amiante), y compris des conteneurs à pression vides</t>
  </si>
  <si>
    <t>15 02</t>
  </si>
  <si>
    <t>Absorbants, matériaux filtrants, chiffons d'essuyage et vêtements de protection :</t>
  </si>
  <si>
    <t>15 02 02*</t>
  </si>
  <si>
    <t>absorbants, matériaux filtrants (y compris les filtres à huile non spécifiés ailleurs), chiffons d'essuyage et vêtements de protection contaminés par des substances dangereuses</t>
  </si>
  <si>
    <t>15 02 03</t>
  </si>
  <si>
    <t>absorbants, matériaux filtrants, chiffons d'essuyage et vêtements de protection autres que ceux visés à la rubrique 15 02 02</t>
  </si>
  <si>
    <t>16 déchets non décrits ailleurs dans la liste :</t>
  </si>
  <si>
    <t>16 01</t>
  </si>
  <si>
    <t>Véhicules hors d'usage de différents moyens de transport (y compris machines tous terrains) et déchets provenant du démontage de véhicules hors d'usage et de l'entretien de véhicules (sauf chapitres 13, 14 et sections 16 06 et 16 08) :</t>
  </si>
  <si>
    <t>16 01 03</t>
  </si>
  <si>
    <t>pneus hors d'usage</t>
  </si>
  <si>
    <t>16 01 04*</t>
  </si>
  <si>
    <t>véhicules hors d'usage</t>
  </si>
  <si>
    <t>16 01 06</t>
  </si>
  <si>
    <t>véhicules hors d'usage ne contenant ni liquides ni autres composants dangereux</t>
  </si>
  <si>
    <t>16 01 07*</t>
  </si>
  <si>
    <t>filtres à huile</t>
  </si>
  <si>
    <t>16 01 08*</t>
  </si>
  <si>
    <t>composants contenant du mercure</t>
  </si>
  <si>
    <t>16 01 09*</t>
  </si>
  <si>
    <t>composants contenant des PCB</t>
  </si>
  <si>
    <t>16 01 10*</t>
  </si>
  <si>
    <t>composants explosifs (par exemple coussins gonflables de sécurité)</t>
  </si>
  <si>
    <t>16 01 11*</t>
  </si>
  <si>
    <t>patins de freins contenant de l'amiante</t>
  </si>
  <si>
    <t>16 01 12</t>
  </si>
  <si>
    <t>patins de freins autres que ceux visés à la rubrique 16 01 11</t>
  </si>
  <si>
    <t>16 01 13*</t>
  </si>
  <si>
    <t>liquides de frein</t>
  </si>
  <si>
    <t>16 01 14*</t>
  </si>
  <si>
    <t>antigels contenant des substances dangereuses</t>
  </si>
  <si>
    <t>16 01 15</t>
  </si>
  <si>
    <t>antigels autres que ceux visés à la rubrique 16 01 14</t>
  </si>
  <si>
    <t>16 01 16</t>
  </si>
  <si>
    <t>réservoirs de gaz liquéfié</t>
  </si>
  <si>
    <t>16 01 17</t>
  </si>
  <si>
    <t>métaux ferreux</t>
  </si>
  <si>
    <t>16 01 18</t>
  </si>
  <si>
    <t>métaux non ferreux</t>
  </si>
  <si>
    <t>16 01 19</t>
  </si>
  <si>
    <t>matières plastiques</t>
  </si>
  <si>
    <t>16 01 20</t>
  </si>
  <si>
    <t>verre</t>
  </si>
  <si>
    <t>16 01 21*</t>
  </si>
  <si>
    <t>composants dangereux autres que ceux visés aux rubriques 16 01 07 à 16 01 11, 16 01 13 et 16 01 14</t>
  </si>
  <si>
    <t>16 01 22</t>
  </si>
  <si>
    <t>composants non spécifiés ailleurs</t>
  </si>
  <si>
    <t>16 01 99</t>
  </si>
  <si>
    <t xml:space="preserve">16 02 </t>
  </si>
  <si>
    <t>Déchets provenant d'équipements électriques ou électroniques :</t>
  </si>
  <si>
    <t>16 02 09*</t>
  </si>
  <si>
    <t>transformateurs et accumulateurs contenant des PCB</t>
  </si>
  <si>
    <t>16 02 10*</t>
  </si>
  <si>
    <t>équipements mis au rebut contenant des PCB ou contaminés par de telles substances autres que ceux visés à la rubrique 16 02 09</t>
  </si>
  <si>
    <t>16 02 11*</t>
  </si>
  <si>
    <t>équipements mis au rebut contenant des chlorofluorocarbones, des HCFC ou des HFC</t>
  </si>
  <si>
    <t>16 02 12*</t>
  </si>
  <si>
    <t>équipements mis au rebut contenant de l'amiante libre</t>
  </si>
  <si>
    <t>16 02 13*</t>
  </si>
  <si>
    <t>équipements mis au rebut contenant des composants dangereux (3) autres que ceux visés aux rubriques 16 02 09 à 16 02 12</t>
  </si>
  <si>
    <t>16 02 14</t>
  </si>
  <si>
    <t>équipements mis au rebut autres que ceux visés aux rubriques 16 02 09 à 16 02 13</t>
  </si>
  <si>
    <t>16 02 15*</t>
  </si>
  <si>
    <t>composants dangereux retirés des équipements mis au rebut</t>
  </si>
  <si>
    <t>16 02 16</t>
  </si>
  <si>
    <t>composants retirés des équipements mis au rebut autres que ceux visés à la rubrique 16 02 15</t>
  </si>
  <si>
    <t>16 03</t>
  </si>
  <si>
    <t>Loupés de fabrication et produits non utilisés :</t>
  </si>
  <si>
    <t>16 03 03*</t>
  </si>
  <si>
    <t>déchets d'origine minérale contenant des substances dangereuses</t>
  </si>
  <si>
    <t>16 03 04</t>
  </si>
  <si>
    <t>déchets d'origine minérale autres que ceux visés à la rubrique 16 03 03</t>
  </si>
  <si>
    <t>16 03 05*</t>
  </si>
  <si>
    <t>déchets d'origine organique contenant des substances dangereuses</t>
  </si>
  <si>
    <t>16 03 06</t>
  </si>
  <si>
    <t>déchets d'origine organique autres que ceux visés à la rubrique 16 03 05</t>
  </si>
  <si>
    <t>16 03 07*</t>
  </si>
  <si>
    <t>mercure métallique</t>
  </si>
  <si>
    <t>16 04</t>
  </si>
  <si>
    <t>Déchets d'explosifs :</t>
  </si>
  <si>
    <t>16 04 01*</t>
  </si>
  <si>
    <t>déchets de munitions</t>
  </si>
  <si>
    <t>16 04 02*</t>
  </si>
  <si>
    <t>déchets de feux d'artifice</t>
  </si>
  <si>
    <t>16 04 03*</t>
  </si>
  <si>
    <t>autres déchets d'explosifs</t>
  </si>
  <si>
    <t>16 05</t>
  </si>
  <si>
    <t>Gaz en récipients à pression et produits chimiques mis au rebut :</t>
  </si>
  <si>
    <t>16 05 04*</t>
  </si>
  <si>
    <t>gaz en récipients à pression (y compris les halons) contenant des substances dangereuses</t>
  </si>
  <si>
    <t>16 05 05</t>
  </si>
  <si>
    <t>gaz en récipients à pression autres que ceux visés à la rubrique 16 05 04</t>
  </si>
  <si>
    <t>16 05 06*</t>
  </si>
  <si>
    <t>produits chimiques de laboratoire à base de ou contenant des substances dangereuses, y compris les mélanges de produits chimiques de laboratoire</t>
  </si>
  <si>
    <t>16 05 07*</t>
  </si>
  <si>
    <t>produits chimiques d'origine minérale à base de ou contenant des substances dangereuses, mis au rebut</t>
  </si>
  <si>
    <t>16 05 08*</t>
  </si>
  <si>
    <t>produits chimiques d'origine organique à base de ou contenant des substances dangereuses, mis au rebut</t>
  </si>
  <si>
    <t>16 05 09</t>
  </si>
  <si>
    <t>produits chimiques mis au rebut autres que ceux visés aux rubriques 16 05 06, 16 05 07 ou 16 05 08</t>
  </si>
  <si>
    <t>16 06</t>
  </si>
  <si>
    <t>Piles et accumulateurs :</t>
  </si>
  <si>
    <t>16 06 01*</t>
  </si>
  <si>
    <t>accumulateurs au plomb</t>
  </si>
  <si>
    <t>16 06 02*</t>
  </si>
  <si>
    <t>accumulateurs Ni-Cd</t>
  </si>
  <si>
    <t>16 06 03*</t>
  </si>
  <si>
    <t>piles contenant du mercure</t>
  </si>
  <si>
    <t>16 06 04</t>
  </si>
  <si>
    <t>piles alcalines (sauf rubrique 16 06 03)</t>
  </si>
  <si>
    <t>16 06 05</t>
  </si>
  <si>
    <t>autres piles et accumulateurs</t>
  </si>
  <si>
    <t>16 06 06*</t>
  </si>
  <si>
    <t>électrolytes de piles et accumulateurs collectés séparément</t>
  </si>
  <si>
    <t>16 07</t>
  </si>
  <si>
    <t>Déchets provenant du nettoyage de cuves et fûts de stockage et de transport (sauf chapitres 05 et 13) :</t>
  </si>
  <si>
    <t>16 07 08*</t>
  </si>
  <si>
    <t>déchets contenant des hydrocarbures</t>
  </si>
  <si>
    <t>16 07 09*</t>
  </si>
  <si>
    <t>déchets contenant d'autres substances dangereuses</t>
  </si>
  <si>
    <t>16 07 99</t>
  </si>
  <si>
    <t>16 08</t>
  </si>
  <si>
    <t xml:space="preserve">Catalyseurs usés : </t>
  </si>
  <si>
    <t>16 08 01</t>
  </si>
  <si>
    <t>catalyseurs usés contenant de l'or, de l'argent, du rhénium, du rhodium, du palladium, de l'iridium ou du platine (sauf rubrique 16 08 07)</t>
  </si>
  <si>
    <t>16 08 02*</t>
  </si>
  <si>
    <t>catalyseurs usés contenant des métaux ou composés de métaux de transition dangereux</t>
  </si>
  <si>
    <t>16 08 03</t>
  </si>
  <si>
    <t>catalyseurs usés contenant des métaux ou composés de métaux de transition non spécifiés ailleurs</t>
  </si>
  <si>
    <t>16 08 04</t>
  </si>
  <si>
    <t>catalyseurs usés de craquage catalytique sur lit fluide (sauf rubrique 16 08 07)</t>
  </si>
  <si>
    <t>16 08 05*</t>
  </si>
  <si>
    <t>catalyseurs usés contenant de l'acide phosphorique</t>
  </si>
  <si>
    <t>16 08 06*</t>
  </si>
  <si>
    <t>liquides usés employés comme catalyseurs</t>
  </si>
  <si>
    <t>16 08 07*</t>
  </si>
  <si>
    <t>catalyseurs usés contaminés par des substances dangereuses</t>
  </si>
  <si>
    <t>16 09</t>
  </si>
  <si>
    <t>Substances oxydantes :</t>
  </si>
  <si>
    <t>16 09 01*</t>
  </si>
  <si>
    <t>permanganates, par exemple, permanganate de potassium</t>
  </si>
  <si>
    <t>16 09 02*</t>
  </si>
  <si>
    <t>chromates, par exemple, chromate de potassium, dichromate de sodium ou de potassium</t>
  </si>
  <si>
    <t>16 09 03*</t>
  </si>
  <si>
    <t>peroxydes, par exemple, peroxyde d'hydrogène</t>
  </si>
  <si>
    <t>16 09 04*</t>
  </si>
  <si>
    <t>substances oxydantes non spécifiées ailleurs</t>
  </si>
  <si>
    <t>16 10</t>
  </si>
  <si>
    <t>Déchets liquides aqueux destinés à un traitement hors site :</t>
  </si>
  <si>
    <t>16 10 01*</t>
  </si>
  <si>
    <t>déchets liquides aqueux contenant des substances dangereuses</t>
  </si>
  <si>
    <t>16 10 02</t>
  </si>
  <si>
    <t>déchets liquides aqueux autres que ceux visés à la rubrique 16 10 01</t>
  </si>
  <si>
    <t>16 10 03*</t>
  </si>
  <si>
    <t>concentrés aqueux contenant des substances dangereuses</t>
  </si>
  <si>
    <t>16 10 04</t>
  </si>
  <si>
    <t>concentrés aqueux autres que ceux visés à la rubrique 16 10 03</t>
  </si>
  <si>
    <t>16 11</t>
  </si>
  <si>
    <t>Déchets de revêtements de fours et réfractaires :</t>
  </si>
  <si>
    <t>16 11 01*</t>
  </si>
  <si>
    <t>revêtements de fours et réfractaires à base de carbone provenant de procédés métallurgiques contenant des substances dangereuses</t>
  </si>
  <si>
    <t>16 11 02</t>
  </si>
  <si>
    <t>revêtements de fours et réfractaires à base de carbone provenant de procédés métallurgiques autres que ceux visés à la rubrique 16 11 01</t>
  </si>
  <si>
    <t>16 11 03*</t>
  </si>
  <si>
    <t>autres revêtements de fours et réfractaires provenant de procédés métallurgiques contenant des substances dangereuses</t>
  </si>
  <si>
    <t>16 11 04</t>
  </si>
  <si>
    <t>autres revêtements de fours et réfractaires provenant de procédés métallurgiques non visés à la rubrique 16 11 03</t>
  </si>
  <si>
    <t>16 11 05*</t>
  </si>
  <si>
    <t>revêtements de fours et réfractaires provenant de procédés non métallurgiques contenant des substances dangereuses</t>
  </si>
  <si>
    <t>16 11 06</t>
  </si>
  <si>
    <t>revêtements de fours et réfractaires provenant de procédés non métallurgiques autres que ceux visés à la rubrique 16 11 05</t>
  </si>
  <si>
    <t>17 Déchets de construction et de démolition (y compris déblais provenant de sites contaminés)</t>
  </si>
  <si>
    <t>17 01</t>
  </si>
  <si>
    <t>Béton, briques, tuiles et céramiques :</t>
  </si>
  <si>
    <t>17 01 01</t>
  </si>
  <si>
    <t>béton</t>
  </si>
  <si>
    <t>17 01 02</t>
  </si>
  <si>
    <t>briques</t>
  </si>
  <si>
    <t>17 01 03</t>
  </si>
  <si>
    <t>tuiles et céramiques</t>
  </si>
  <si>
    <t>17 01 06*</t>
  </si>
  <si>
    <t>mélanges ou fractions séparées de béton, briques, tuiles et céramiques contenant des substances dangereuses</t>
  </si>
  <si>
    <t>17 01 07</t>
  </si>
  <si>
    <t>mélanges de béton, briques, tuiles et céramiques autres que ceux visés à la rubrique 17 01 06</t>
  </si>
  <si>
    <t>17 02</t>
  </si>
  <si>
    <t>Bois, verre et matières plastiques ;</t>
  </si>
  <si>
    <t>17 02 01</t>
  </si>
  <si>
    <t>bois</t>
  </si>
  <si>
    <t>17 02 02</t>
  </si>
  <si>
    <t>17 02 03</t>
  </si>
  <si>
    <t>17 02 04*</t>
  </si>
  <si>
    <t>bois, verre et matières plastiques contenant des substances dangereuses ou contaminés par de telles substances</t>
  </si>
  <si>
    <t>17 03</t>
  </si>
  <si>
    <t>Mélanges bitumineux, goudron et produits goudronnés :</t>
  </si>
  <si>
    <t>17 03 01*</t>
  </si>
  <si>
    <t>mélanges bitumineux contenant du goudron</t>
  </si>
  <si>
    <t>17 03 02</t>
  </si>
  <si>
    <t>mélanges bitumineux autres que ceux visés à la rubrique 17 03 01</t>
  </si>
  <si>
    <t>17 03 03*</t>
  </si>
  <si>
    <t>goudron et produits goudronnés</t>
  </si>
  <si>
    <t>17 04</t>
  </si>
  <si>
    <t>Métaux (y compris leurs alliages) :</t>
  </si>
  <si>
    <t>17 04 01</t>
  </si>
  <si>
    <t>cuivre, bronze, laiton</t>
  </si>
  <si>
    <t>17 04 02</t>
  </si>
  <si>
    <t>aluminium</t>
  </si>
  <si>
    <t>17 04 03</t>
  </si>
  <si>
    <t>plomb</t>
  </si>
  <si>
    <t>17 04 04</t>
  </si>
  <si>
    <t>zinc</t>
  </si>
  <si>
    <t>17 04 05</t>
  </si>
  <si>
    <t>fer et acier</t>
  </si>
  <si>
    <t>17 04 06</t>
  </si>
  <si>
    <t>étain</t>
  </si>
  <si>
    <t>17 04 07</t>
  </si>
  <si>
    <t>métaux en mélange</t>
  </si>
  <si>
    <t>17 04 09*</t>
  </si>
  <si>
    <t>déchets métalliques contaminés par des substances dangereuses</t>
  </si>
  <si>
    <t>17 04 10*</t>
  </si>
  <si>
    <t>câbles contenant des hydrocarbures, du goudron ou d'autres substances dangereuses</t>
  </si>
  <si>
    <t>17 04 11</t>
  </si>
  <si>
    <t>câbles autres que ceux visés à la rubrique 17 04 10</t>
  </si>
  <si>
    <t>17 05</t>
  </si>
  <si>
    <t>Terres (y compris déblais provenant de sites contaminés), cailloux et boues de dragage :</t>
  </si>
  <si>
    <t>17 05 03*</t>
  </si>
  <si>
    <t>terres et cailloux contenant des substances dangereuses</t>
  </si>
  <si>
    <t>17 05 04</t>
  </si>
  <si>
    <t>terres et cailloux autres que ceux visés à la rubrique 17 05 03</t>
  </si>
  <si>
    <t>17 05 05*</t>
  </si>
  <si>
    <t>boues de dragage contenant des substances dangereuses</t>
  </si>
  <si>
    <t>17 05 06</t>
  </si>
  <si>
    <t>boues de dragage autres que celles visées à la rubrique 17 05 05</t>
  </si>
  <si>
    <t>17 05 07*</t>
  </si>
  <si>
    <t>ballast de voie contenant des substances dangereuses</t>
  </si>
  <si>
    <t>17 05 08</t>
  </si>
  <si>
    <t>ballast de voie autre que celui visé à la rubrique 17 05 07</t>
  </si>
  <si>
    <t>17 06</t>
  </si>
  <si>
    <t>Matériaux d'isolation et matériaux de construction contenant de l'amiante :</t>
  </si>
  <si>
    <t>17 06 01*</t>
  </si>
  <si>
    <t>matériaux d'isolation contenant de l'amiante</t>
  </si>
  <si>
    <t>17 06 03*</t>
  </si>
  <si>
    <t>autres matériaux d'isolation à base de ou contenant des substances dangereuses</t>
  </si>
  <si>
    <t>17 06 04</t>
  </si>
  <si>
    <t>matériaux d'isolation autres que ceux visés aux rubriques 17 06 01 et 17 06 03</t>
  </si>
  <si>
    <t>17 06 05*</t>
  </si>
  <si>
    <t>matériaux de construction contenant de l'amiante</t>
  </si>
  <si>
    <t>17 08</t>
  </si>
  <si>
    <t>Matériaux de construction à base de gypse :</t>
  </si>
  <si>
    <t>17 08 01*</t>
  </si>
  <si>
    <t>matériaux de construction à base de gypse contaminés par des substances dangereuses</t>
  </si>
  <si>
    <t>17 08 02</t>
  </si>
  <si>
    <t>matériaux de construction à base de gypse autres que ceux visés à la rubrique 17 08 01</t>
  </si>
  <si>
    <t>17 09</t>
  </si>
  <si>
    <t>Autres déchets de construction et de démolition :</t>
  </si>
  <si>
    <t>17 09 01*</t>
  </si>
  <si>
    <t>déchets de construction et de démolition contenant du mercure</t>
  </si>
  <si>
    <t>17 09 02*</t>
  </si>
  <si>
    <t>déchets de construction et de démolition contenant des PCB (par exemple, mastics, sols à base de résines, double vitrage, condensateurs, contenant des PCB)</t>
  </si>
  <si>
    <t>17 09 03*</t>
  </si>
  <si>
    <t>autres déchets de construction et de démolition (y compris en mélange) contenant des substances dangereuses</t>
  </si>
  <si>
    <t>17 09 04</t>
  </si>
  <si>
    <t>déchets de construction et de démolition en mélange autres que ceux visés aux rubriques 17 09 01, 17 09 02 et 17 09 03</t>
  </si>
  <si>
    <t>18 Déchets provenant des soins médicaux ou vetérinaires et/ou de la recherche associée (sauf déchets de cuisine et de restauration ne provenant pas directement des soins médicaux) :</t>
  </si>
  <si>
    <t>18 01</t>
  </si>
  <si>
    <t>Déchets provenant des maternités, du diagnostic, du traitement ou de la prévention des maladies de l'homme :</t>
  </si>
  <si>
    <t>18 01 01</t>
  </si>
  <si>
    <t>objets piquants et coupants (sauf rubrique 18 01 03)</t>
  </si>
  <si>
    <t>18 01 02</t>
  </si>
  <si>
    <t>déchets anatomiques et organes, y compris sacs de sang et réserves de sang (sauf rubrique 18 01 03)</t>
  </si>
  <si>
    <t>18 01 03*</t>
  </si>
  <si>
    <t>déchets dont la collecte et l'élimination font l'objet de prescriptions particulières vis-à-vis des risques d'infection</t>
  </si>
  <si>
    <t>18 01 04</t>
  </si>
  <si>
    <t>déchets dont la collecte et l'élimination ne font pas l'objet de prescriptions particulières vis-à-vis des risques d'infection (par exemple vêtements, plâtres, draps, vêtements jetables, langes)</t>
  </si>
  <si>
    <t>18 01 06*</t>
  </si>
  <si>
    <t>produits chimiques à base de ou contenant des substances dangereuses</t>
  </si>
  <si>
    <t>18 01 07</t>
  </si>
  <si>
    <t>produits chimiques autres que ceux visés à la rubrique 18 01 06</t>
  </si>
  <si>
    <t>18 01 08*</t>
  </si>
  <si>
    <t>médicaments cytotoxiques et cytostatiques</t>
  </si>
  <si>
    <t>18 01 09</t>
  </si>
  <si>
    <t>médicaments autres que ceux visés à la rubrique 18 01 08</t>
  </si>
  <si>
    <t>18 01 10*</t>
  </si>
  <si>
    <t>déchets d'amalgame dentaire</t>
  </si>
  <si>
    <t>18 02</t>
  </si>
  <si>
    <t>Déchets provenant de la recherche, du diagnostic, du traitement ou de la prévention des maladies des animaux :</t>
  </si>
  <si>
    <t>18 02 01</t>
  </si>
  <si>
    <t>objets piquants et coupants (sauf rubrique 18 02 02)</t>
  </si>
  <si>
    <t>18 02 02*</t>
  </si>
  <si>
    <t>18 02 03</t>
  </si>
  <si>
    <t>déchets dont la collecte et l'élimination ne font pas l'objet de prescriptions particulières vis-à-vis des risques d'infection</t>
  </si>
  <si>
    <t>18 02 05*</t>
  </si>
  <si>
    <t>18 02 06</t>
  </si>
  <si>
    <t>produits chimiques autres que ceux visés à la rubrique 18 02 05</t>
  </si>
  <si>
    <t>18 02 07*</t>
  </si>
  <si>
    <t>18 02 08</t>
  </si>
  <si>
    <t>médicaments autres que ceux visés à la rubrique 18 02 07</t>
  </si>
  <si>
    <t>19 Déchets provenant des installations de gestion des déchets, des stations d'épuration des eaux usées hors site et de la préparation d'eau destinée à la consommation humaine et d'eau à usage industriel :</t>
  </si>
  <si>
    <t>19 01</t>
  </si>
  <si>
    <t>Déchets de l'incinération ou de la pyrolyse de déchets :</t>
  </si>
  <si>
    <t>19 01 02</t>
  </si>
  <si>
    <t>déchets de déferraillage des mâchefers</t>
  </si>
  <si>
    <t>19 01 05*</t>
  </si>
  <si>
    <t>gâteaux de filtration provenant de l'épuration des fumées</t>
  </si>
  <si>
    <t>19 01 06*</t>
  </si>
  <si>
    <t>déchets liquides aqueux provenant de l'épuration des fumées et autres déchets liquides aqueux</t>
  </si>
  <si>
    <t>19 01 07*</t>
  </si>
  <si>
    <t>19 01 10*</t>
  </si>
  <si>
    <t>charbon actif usé provenant de l'épuration des gaz de fumées</t>
  </si>
  <si>
    <t>19 01 11*</t>
  </si>
  <si>
    <t>mâchefers contenant des substances dangereuses</t>
  </si>
  <si>
    <t>19 01 12</t>
  </si>
  <si>
    <t>mâchefers autres que ceux visés à la rubrique 19 01 11</t>
  </si>
  <si>
    <t>19 01 13*</t>
  </si>
  <si>
    <t>cendres volantes contenant des substances dangereuses</t>
  </si>
  <si>
    <t>19 01 14</t>
  </si>
  <si>
    <t>cendres volantes autres que celles visées à la rubrique 19 01 13</t>
  </si>
  <si>
    <t>19 01 15*</t>
  </si>
  <si>
    <t>cendres sous chaudière contenant des substances dangereuses</t>
  </si>
  <si>
    <t>19 01 16</t>
  </si>
  <si>
    <t>cendres sous chaudière autres que celles visées à la rubrique 19 01 15</t>
  </si>
  <si>
    <t>19 01 17*</t>
  </si>
  <si>
    <t>déchets de pyrolyse contenant des substances dangereuses</t>
  </si>
  <si>
    <t>19 01 18</t>
  </si>
  <si>
    <t>déchets de pyrolyse autres que ceux visés à la rubrique 19 01 17</t>
  </si>
  <si>
    <t>19 01 19</t>
  </si>
  <si>
    <t>19 01 99</t>
  </si>
  <si>
    <t>19 02</t>
  </si>
  <si>
    <t>Déchets provenant des traitements physicochimiques des déchets (y compris déchromatation, décyanuration, neutralisation) :</t>
  </si>
  <si>
    <t>19 02 03</t>
  </si>
  <si>
    <t>déchets prémélangés composés seulement de déchets non dangereux</t>
  </si>
  <si>
    <t>19 02 04*</t>
  </si>
  <si>
    <t>déchets prémélangés contenant au moins un déchet dangereux</t>
  </si>
  <si>
    <t>19 02 05*</t>
  </si>
  <si>
    <t>boues provenant des traitements physico-chimiques contenant des substances dangereuses</t>
  </si>
  <si>
    <t>19 02 06</t>
  </si>
  <si>
    <t>boues provenant des traitements physico-chimiques autres que celles visées à la rubrique 19 02 05</t>
  </si>
  <si>
    <t>19 02 07*</t>
  </si>
  <si>
    <t>hydrocarbures et concentrés provenant d'une séparation</t>
  </si>
  <si>
    <t>19 02 08*</t>
  </si>
  <si>
    <t>déchets combustibles liquides contenant des substances dangereuses</t>
  </si>
  <si>
    <t>19 02 09*</t>
  </si>
  <si>
    <t>déchets combustibles solides contenant des substances dangereuses</t>
  </si>
  <si>
    <t>19 02 10</t>
  </si>
  <si>
    <t>déchets combustibles autres que ceux visés aux rubriques 19 02 08 et 19 02 09</t>
  </si>
  <si>
    <t>19 02 11*</t>
  </si>
  <si>
    <t>19 02 99</t>
  </si>
  <si>
    <t>19 03</t>
  </si>
  <si>
    <t xml:space="preserve">Déchets stabilisés/solidifiés </t>
  </si>
  <si>
    <t>19 03 04*</t>
  </si>
  <si>
    <t>déchets marqués comme dangereux partiellement stabilisés, autres que ceux visés à la rubrique 19 03 08</t>
  </si>
  <si>
    <t>19 03 05</t>
  </si>
  <si>
    <t>déchets stabilisés autres que ceux visés à la rubrique 19 03 04</t>
  </si>
  <si>
    <t>19 03 06*</t>
  </si>
  <si>
    <t>déchets catalogués comme dangereux, solidifiés</t>
  </si>
  <si>
    <t>19 03 07</t>
  </si>
  <si>
    <t>déchets solidifiés autres que ceux visés à la rubrique 19 03 06</t>
  </si>
  <si>
    <t>19 03 08*</t>
  </si>
  <si>
    <t>mercure partiellement stabilisé</t>
  </si>
  <si>
    <t>19 04</t>
  </si>
  <si>
    <t>Déchets vitrifiés et déchets provenant de la fabrication :</t>
  </si>
  <si>
    <t>19 04 01</t>
  </si>
  <si>
    <t>déchets vitrifiés</t>
  </si>
  <si>
    <t>19 04 02*</t>
  </si>
  <si>
    <t>cendres volantes et autres déchets du traitement des gaz de fumée</t>
  </si>
  <si>
    <t>19 04 03*</t>
  </si>
  <si>
    <t>phase solide non vitrifiée</t>
  </si>
  <si>
    <t>19 04 04</t>
  </si>
  <si>
    <t>déchets liquides aqueux provenant de la trempe des déchets vitrifiés</t>
  </si>
  <si>
    <t>19 05</t>
  </si>
  <si>
    <t>Déchets de compostage :</t>
  </si>
  <si>
    <t>19 05 01</t>
  </si>
  <si>
    <t>fraction non compostée des déchets municipaux et assimilés</t>
  </si>
  <si>
    <t>19 05 02</t>
  </si>
  <si>
    <t>fraction non compostée des déchets animaux et végétaux</t>
  </si>
  <si>
    <t>19 05 03</t>
  </si>
  <si>
    <t>compost déclassé</t>
  </si>
  <si>
    <t>19 05 99</t>
  </si>
  <si>
    <t>19 06</t>
  </si>
  <si>
    <t>Déchets provenant du traitement anaérobie des déchets :</t>
  </si>
  <si>
    <t>19 06 03</t>
  </si>
  <si>
    <t>liqueurs provenant du traitement anaérobie des déchets municipaux</t>
  </si>
  <si>
    <t>19 06 04</t>
  </si>
  <si>
    <t>digestats provenant du traitement anaérobie des déchets municipaux</t>
  </si>
  <si>
    <t>19 06 05</t>
  </si>
  <si>
    <t>liqueurs provenant du traitement anaérobie des déchets animaux et végétaux</t>
  </si>
  <si>
    <t>19 06 06</t>
  </si>
  <si>
    <t>digestats provenant du traitement anaérobie des déchets animaux et végétaux</t>
  </si>
  <si>
    <t>19 06 99</t>
  </si>
  <si>
    <t>19 07</t>
  </si>
  <si>
    <t>Lixiviats de décharges :</t>
  </si>
  <si>
    <t>19 07 02*</t>
  </si>
  <si>
    <t>lixiviats de décharges contenant des substances dangereuses</t>
  </si>
  <si>
    <t>19 07 03</t>
  </si>
  <si>
    <t>lixiviats de décharges autres que ceux visés à la rubrique 19 07 02</t>
  </si>
  <si>
    <t>19 08</t>
  </si>
  <si>
    <t xml:space="preserve">Déchets provenant d'installations de traitement des eaux usées non spécifiés ailleurs </t>
  </si>
  <si>
    <t>19 08 01</t>
  </si>
  <si>
    <t>déchets de dégrillage</t>
  </si>
  <si>
    <t>19 08 02</t>
  </si>
  <si>
    <t>déchets de dessablage</t>
  </si>
  <si>
    <t>19 08 05</t>
  </si>
  <si>
    <t>boues provenant du traitement des eaux usées urbaines</t>
  </si>
  <si>
    <t>19 08 06*</t>
  </si>
  <si>
    <t>19 08 07*</t>
  </si>
  <si>
    <t>solutions et boues provenant de la régénération des échangeurs d'ions</t>
  </si>
  <si>
    <t>19 08 08*</t>
  </si>
  <si>
    <t>déchets provenant des systèmes à membrane contenant des métaux lourds</t>
  </si>
  <si>
    <t>19 08 09</t>
  </si>
  <si>
    <t>mélanges de graisse et d'huile provenant de la séparation huile/eaux usées contenant seulement des huiles et graisses alimentaires</t>
  </si>
  <si>
    <t>19 08 10*</t>
  </si>
  <si>
    <t>mélanges de graisse et d'huile provenant de la séparation huile/eaux usées autres que ceux visés à la rubrique 19 08 09</t>
  </si>
  <si>
    <t>19 08 11*</t>
  </si>
  <si>
    <t>boues contenant des substances dangereuses provenant du traitement biologique des eaux usées industrielles</t>
  </si>
  <si>
    <t>19 08 12</t>
  </si>
  <si>
    <t>boues provenant du traitement biologique des eaux usées industrielles autres que celles visées à la rubrique 19 08 11</t>
  </si>
  <si>
    <t>19 08 13*</t>
  </si>
  <si>
    <t>boues contenant des substances dangereuses provenant d'autres traitements des eaux usées industrielles</t>
  </si>
  <si>
    <t>19 08 14</t>
  </si>
  <si>
    <t>boues provenant d'autres traitements des eaux usées industrielles autres que celles visées à la rubrique 19 08 13</t>
  </si>
  <si>
    <t>19 08 99</t>
  </si>
  <si>
    <t>19 09</t>
  </si>
  <si>
    <t>Déchets provenant de la préparation d'eau destinée à la consommation humaine ou d'eau à usage industriel :</t>
  </si>
  <si>
    <t>19 09 01</t>
  </si>
  <si>
    <t>déchets solides de première filtration et de dégrillage</t>
  </si>
  <si>
    <t>19 09 02</t>
  </si>
  <si>
    <t>boues de clarification de l'eau</t>
  </si>
  <si>
    <t>19 09 03</t>
  </si>
  <si>
    <t>boues de décarbonatation</t>
  </si>
  <si>
    <t>19 09 04</t>
  </si>
  <si>
    <t>charbon actif usé</t>
  </si>
  <si>
    <t>19 09 05</t>
  </si>
  <si>
    <t>19 09 06</t>
  </si>
  <si>
    <t>19 09 99</t>
  </si>
  <si>
    <t>19 10</t>
  </si>
  <si>
    <t>Déchets provenant du broyage de déchets contenant des métaux :</t>
  </si>
  <si>
    <t>19 10 01</t>
  </si>
  <si>
    <t>déchets de fer ou d'acier</t>
  </si>
  <si>
    <t>19 10 02</t>
  </si>
  <si>
    <t>déchets de métaux non ferreux</t>
  </si>
  <si>
    <t>19 10 03*</t>
  </si>
  <si>
    <t>fraction légère des résidus de broyage et poussières contenant des substances dangereuses</t>
  </si>
  <si>
    <t>19 10 04</t>
  </si>
  <si>
    <t>fraction légère des résidus de broyage et poussières autres que celles visées à la rubrique 19 10 03</t>
  </si>
  <si>
    <t>19 10 05*</t>
  </si>
  <si>
    <t>autres fractions contenant des substances dangereuses</t>
  </si>
  <si>
    <t>19 10 06</t>
  </si>
  <si>
    <t>autres fractions autres que celles visées à la rubrique 19 10 05</t>
  </si>
  <si>
    <t xml:space="preserve">19 11 </t>
  </si>
  <si>
    <t>Déchets provenant de la régénération de l'huile :</t>
  </si>
  <si>
    <t>19 11 01*</t>
  </si>
  <si>
    <t>19 11 02*</t>
  </si>
  <si>
    <t>19 11 03*</t>
  </si>
  <si>
    <t>déchets liquides aqueux</t>
  </si>
  <si>
    <t>19 11 04*</t>
  </si>
  <si>
    <t>19 11 05*</t>
  </si>
  <si>
    <t>19 11 06</t>
  </si>
  <si>
    <t>boues provenant du traitement in situ des effluents autres que celles visées à la rubrique 19 11 05</t>
  </si>
  <si>
    <t>19 11 07*</t>
  </si>
  <si>
    <t>déchets provenant de l'épuration des gaz de combustion</t>
  </si>
  <si>
    <t>19 11 99</t>
  </si>
  <si>
    <t>19 12</t>
  </si>
  <si>
    <t>Déchets provenant du traitement mécanique des déchets (par exemple : tri, broyage, compactage, granulation) non spécifiés ailleurs :</t>
  </si>
  <si>
    <t>19 12 01</t>
  </si>
  <si>
    <t>papier et carton</t>
  </si>
  <si>
    <t>19 12 02</t>
  </si>
  <si>
    <t>19 12 03</t>
  </si>
  <si>
    <t>19 12 04</t>
  </si>
  <si>
    <t>matières plastiques et caoutchouc</t>
  </si>
  <si>
    <t>19 12 05</t>
  </si>
  <si>
    <t>19 12 06*</t>
  </si>
  <si>
    <t>bois contenant des substances dangereuses</t>
  </si>
  <si>
    <t>19 12 07</t>
  </si>
  <si>
    <t>bois autres que ceux visés à la rubrique 19 12 06</t>
  </si>
  <si>
    <t>19 12 08</t>
  </si>
  <si>
    <t>textiles</t>
  </si>
  <si>
    <t>19 12 09</t>
  </si>
  <si>
    <t>minéraux (par exemple sable, cailloux)</t>
  </si>
  <si>
    <t>19 12 10</t>
  </si>
  <si>
    <t>déchets combustibles (combustible issu de déchets)</t>
  </si>
  <si>
    <t>19 12 11*</t>
  </si>
  <si>
    <t>autres déchets (y compris mélanges) provenant du traitement mécanique des déchets contenant des substances dangereuses</t>
  </si>
  <si>
    <t>19 12 12</t>
  </si>
  <si>
    <t>autres déchets (y compris mélanges) provenant du traitement mécanique des déchets autres que ceux visés à la rubrique 19 12 11</t>
  </si>
  <si>
    <t>19 13</t>
  </si>
  <si>
    <t>Déchets provenant de la décontamination des sols et des eaux souterraines :</t>
  </si>
  <si>
    <t>19 13 01*</t>
  </si>
  <si>
    <t>déchets solides provenant de la décontamination des sols contenant des substances dangereuses</t>
  </si>
  <si>
    <t>19 13 02</t>
  </si>
  <si>
    <t>déchets solides provenant de la décontamination des sols autres que ceux visés à la rubrique 19 13 01</t>
  </si>
  <si>
    <t>19 13 03*</t>
  </si>
  <si>
    <t>boues provenant de la décontamination des sols contenant des substances dangereuses</t>
  </si>
  <si>
    <t>19 13 04</t>
  </si>
  <si>
    <t>boues provenant de la décontamination des sols autres que celles visées à la rubrique 19 13 03</t>
  </si>
  <si>
    <t>19 13 05*</t>
  </si>
  <si>
    <t>boues provenant de la décontamination des eaux souterraines contenant des substances dangereuses</t>
  </si>
  <si>
    <t>19 13 06</t>
  </si>
  <si>
    <t>boues provenant de la décontamination des eaux souterraines autres que celles visées à la rubrique 19 13 05</t>
  </si>
  <si>
    <t>19 13 07*</t>
  </si>
  <si>
    <t>déchets liquides aqueux et concentrés aqueux provenant de la décontamination des eaux souterraines contenant des substances dangereuses</t>
  </si>
  <si>
    <t>19 13 08</t>
  </si>
  <si>
    <t>déchets liquides aqueux et concentrés aqueux provenant de la décontamination des eaux souterraines autres que ceux visés à la rubrique 19 13 07</t>
  </si>
  <si>
    <t>20 Déchets municipaux (déchets ménagers et déchets assimilés provenant des commerces, des industries et des administrations) y compris les fractions collectées séparément :</t>
  </si>
  <si>
    <t xml:space="preserve">20 01 </t>
  </si>
  <si>
    <t>Fractions collectées séparément (sauf section 15 01) ;</t>
  </si>
  <si>
    <t>20 01 01</t>
  </si>
  <si>
    <t>20 01 02</t>
  </si>
  <si>
    <t>20 01 08</t>
  </si>
  <si>
    <t>déchets de cuisine et de cantine biodégradables</t>
  </si>
  <si>
    <t>20 01 10</t>
  </si>
  <si>
    <t>vêtements</t>
  </si>
  <si>
    <t>20 01 11</t>
  </si>
  <si>
    <t>20 01 13*</t>
  </si>
  <si>
    <t>solvants</t>
  </si>
  <si>
    <t>20 01 14*</t>
  </si>
  <si>
    <t>acides</t>
  </si>
  <si>
    <t>20 01 15*</t>
  </si>
  <si>
    <t>déchets basiques</t>
  </si>
  <si>
    <t>20 01 17*</t>
  </si>
  <si>
    <t>produits chimiques de la photographie</t>
  </si>
  <si>
    <t>20 01 19*</t>
  </si>
  <si>
    <t>pesticides</t>
  </si>
  <si>
    <t>20 01 21*</t>
  </si>
  <si>
    <t>tubes fluorescents et autres déchets contenant du mercure</t>
  </si>
  <si>
    <t>20 01 23*</t>
  </si>
  <si>
    <t>équipements mis au rebut contenant des chlorofluorocarbones</t>
  </si>
  <si>
    <t>20 01 25</t>
  </si>
  <si>
    <t>huiles et matières grasses alimentaires</t>
  </si>
  <si>
    <t>20 01 26*</t>
  </si>
  <si>
    <t>huiles et matières grasses autres que celles visées à la rubrique 20 01 25</t>
  </si>
  <si>
    <t>20 01 27*</t>
  </si>
  <si>
    <t>peinture, encres, colles et résines contenant des substances dangereuses</t>
  </si>
  <si>
    <t>20 01 28</t>
  </si>
  <si>
    <t>peinture, encres, colles et résines autres que celles visées à la rubrique 20 01 27</t>
  </si>
  <si>
    <t>20 01 29*</t>
  </si>
  <si>
    <t>détergents contenant des substances dangereuses</t>
  </si>
  <si>
    <t>20 01 30</t>
  </si>
  <si>
    <t>détergents autres que ceux visés à la rubrique 20 01 29</t>
  </si>
  <si>
    <t>20 01 31*</t>
  </si>
  <si>
    <t>20 01 32</t>
  </si>
  <si>
    <t>médicaments autres que ceux visés à la rubrique 20 01 31</t>
  </si>
  <si>
    <t>20 01 33*</t>
  </si>
  <si>
    <t>piles et accumulateurs visés aux rubriques 16 06 01, 16 06 02 ou 16 06 03 et piles et accumulateurs non triés contenant ces piles</t>
  </si>
  <si>
    <t>20 01 34</t>
  </si>
  <si>
    <t>piles et accumulateurs autres que ceux visés à la rubrique 20 01 33</t>
  </si>
  <si>
    <t>20 01 35*</t>
  </si>
  <si>
    <t>équipements électriques et électroniques mis au rebut contenant des composants dangereux, autres que ceux visés aux rubriques 20 01 21 et 20 01 23 (3)</t>
  </si>
  <si>
    <t>20 01 36</t>
  </si>
  <si>
    <t>équipements électriques et électroniques mis au rebut autres que ceux visés aux rubriques 20 01 21, 20 01 23 et 20 01 35</t>
  </si>
  <si>
    <t>20 01 37*</t>
  </si>
  <si>
    <t>20 01 38</t>
  </si>
  <si>
    <t>bois autres que ceux visés à la rubrique 20 01 37</t>
  </si>
  <si>
    <t>20 01 39</t>
  </si>
  <si>
    <t>20 01 40</t>
  </si>
  <si>
    <t>métaux</t>
  </si>
  <si>
    <t>20 01 41</t>
  </si>
  <si>
    <t>déchets provenant du ramonage de cheminée</t>
  </si>
  <si>
    <t>20 01 99</t>
  </si>
  <si>
    <t>autres fractions non spécifiées ailleurs</t>
  </si>
  <si>
    <t xml:space="preserve">20 02 </t>
  </si>
  <si>
    <t>Déchets de jardins et de parcs (y compris les déchets de cimetière) :</t>
  </si>
  <si>
    <t>20 02 01</t>
  </si>
  <si>
    <t>déchets biodégradables</t>
  </si>
  <si>
    <t>20 02 02</t>
  </si>
  <si>
    <t>terres et pierres</t>
  </si>
  <si>
    <t>20 02 03</t>
  </si>
  <si>
    <t>autres déchets non biodégradables</t>
  </si>
  <si>
    <t>20 03</t>
  </si>
  <si>
    <t>Autres déchets municipaux :</t>
  </si>
  <si>
    <t>20 03 01</t>
  </si>
  <si>
    <t>déchets municipaux en mélange</t>
  </si>
  <si>
    <t>20 03 02</t>
  </si>
  <si>
    <t>déchets de marchés</t>
  </si>
  <si>
    <t>20 03 03</t>
  </si>
  <si>
    <t>déchets de nettoyage des rues</t>
  </si>
  <si>
    <t>20 03 04</t>
  </si>
  <si>
    <t>boues de fosses septiques</t>
  </si>
  <si>
    <t>20 03 06</t>
  </si>
  <si>
    <t>déchets provenant du nettoyage des égouts</t>
  </si>
  <si>
    <t>20 03 07</t>
  </si>
  <si>
    <t>déchets encombrants</t>
  </si>
  <si>
    <t>20 03 99</t>
  </si>
  <si>
    <t>déchets municipaux non spécifiés ailleurs</t>
  </si>
  <si>
    <t>Nom usuel du site:</t>
  </si>
  <si>
    <t xml:space="preserve">Usine Achenheim </t>
  </si>
  <si>
    <t/>
  </si>
  <si>
    <t xml:space="preserve">Personne de référence (Suivi de BSD) </t>
  </si>
  <si>
    <t xml:space="preserve">Personne de référence (Partie opérationnelle) </t>
  </si>
  <si>
    <t xml:space="preserve">Négociant et Courtier </t>
  </si>
  <si>
    <t>Dénomination ADR</t>
  </si>
  <si>
    <t>(Si location) Prestatiaire de location du contenant</t>
  </si>
  <si>
    <t>SIRET</t>
  </si>
  <si>
    <t>+33 (0) 6 12 33 76 40</t>
  </si>
  <si>
    <t>NC 54 173 2023</t>
  </si>
  <si>
    <t>+33 (0) 6 12 33 76 41</t>
  </si>
  <si>
    <t>2167061</t>
  </si>
  <si>
    <t>+33 (0) 6 12 33 76 42</t>
  </si>
  <si>
    <t>Plastiques &amp; canettes</t>
  </si>
  <si>
    <t>+33 (0) 6 12 33 76 43</t>
  </si>
  <si>
    <t>2067081</t>
  </si>
  <si>
    <t>+33 (0) 6 12 33 76 44</t>
  </si>
  <si>
    <t>+33 (0) 6 12 33 76 45</t>
  </si>
  <si>
    <t>+33 (0) 6 12 33 76 46</t>
  </si>
  <si>
    <t>+33 (0) 6 12 33 76 47</t>
  </si>
  <si>
    <t>2267008</t>
  </si>
  <si>
    <t>+33 (0) 6 12 33 76 48</t>
  </si>
  <si>
    <t>+33 (0) 6 12 33 76 49</t>
  </si>
  <si>
    <t>+33 (0) 6 12 33 76 50</t>
  </si>
  <si>
    <t>+33 (0) 6 12 33 76 51</t>
  </si>
  <si>
    <t>+33 (0) 6 12 33 76 52</t>
  </si>
  <si>
    <t>+33 (0) 6 12 33 76 53</t>
  </si>
  <si>
    <t xml:space="preserve">Emballages métalliques souillés </t>
  </si>
  <si>
    <t>+33 (0) 6 12 33 76 54</t>
  </si>
  <si>
    <t>+33 (0) 6 12 33 76 55</t>
  </si>
  <si>
    <t>2018-57-1097</t>
  </si>
  <si>
    <t>+33 (0) 6 12 33 76 56</t>
  </si>
  <si>
    <t>1967071</t>
  </si>
  <si>
    <t>+33 (0) 6 12 33 76 57</t>
  </si>
  <si>
    <t>+33 (0) 6 12 33 76 58</t>
  </si>
  <si>
    <t>+33 (0) 6 12 33 76 59</t>
  </si>
  <si>
    <t>+33 (0) 6 12 33 76 60</t>
  </si>
  <si>
    <t>+33 (0) 6 12 33 76 61</t>
  </si>
  <si>
    <t>+33 (0) 6 12 33 76 62</t>
  </si>
  <si>
    <t>+33 (0) 6 12 33 76 63</t>
  </si>
  <si>
    <t>+33 (0) 6 12 33 76 64</t>
  </si>
  <si>
    <t>10 12 08</t>
  </si>
  <si>
    <t>+33 (0) 6 12 33 76 65</t>
  </si>
  <si>
    <t xml:space="preserve">Valorisation </t>
  </si>
  <si>
    <t>+33 (0) 6 12 33 76 66</t>
  </si>
  <si>
    <t xml:space="preserve"> (DDQD spéciaux)</t>
  </si>
  <si>
    <t>+33 (0) 6 12 33 76 67</t>
  </si>
  <si>
    <t xml:space="preserve">Produits secs </t>
  </si>
  <si>
    <t xml:space="preserve">(avant cuisson) </t>
  </si>
  <si>
    <t>+33 (0) 6 12 33 76 68</t>
  </si>
  <si>
    <t xml:space="preserve">Lieu-dit « Bossenroth » 67204 Achenheim </t>
  </si>
  <si>
    <t>+33 (0) 6 12 33 76 69</t>
  </si>
  <si>
    <t>Installation finale</t>
  </si>
  <si>
    <t>ESKA</t>
  </si>
  <si>
    <t>2023-57-1458</t>
  </si>
  <si>
    <t xml:space="preserve">Rue de Riedseltz Altenstadt 67160 Wissembourg </t>
  </si>
  <si>
    <t xml:space="preserve">Savoir et Compétences emploi/ELISE </t>
  </si>
  <si>
    <t>1967066</t>
  </si>
  <si>
    <t xml:space="preserve">5 Rue Denis Papin 67400 ILLKIRCH </t>
  </si>
  <si>
    <t xml:space="preserve">VEOLIA </t>
  </si>
  <si>
    <t>08 03 99</t>
  </si>
  <si>
    <t>9 rue de Bayonne  67100 Strasbourg</t>
  </si>
  <si>
    <t xml:space="preserve"> Im Leierhans 31 D-64404 Bickenbach</t>
  </si>
  <si>
    <t>10 12 10</t>
  </si>
  <si>
    <t xml:space="preserve">7 rue du girlenhirsch 67400 illkirch-graffenstaden </t>
  </si>
  <si>
    <t xml:space="preserve"> TVA ESA17041757</t>
  </si>
  <si>
    <t>272</t>
  </si>
  <si>
    <t>+33 (0) 6 12 33 76 70</t>
  </si>
  <si>
    <t>n/a</t>
  </si>
  <si>
    <t>48011152500162</t>
  </si>
  <si>
    <t>+33 (0) 6 12 33 76 71</t>
  </si>
  <si>
    <t>+33 (0) 6 12 33 76 72</t>
  </si>
  <si>
    <t>+33 (0) 6 12 33 76 73</t>
  </si>
  <si>
    <t>+33 (0) 6 12 33 76 74</t>
  </si>
  <si>
    <t>2167013</t>
  </si>
  <si>
    <t>+33 (0) 6 12 33 76 75</t>
  </si>
  <si>
    <t>+33 (0) 6 12 33 76 76</t>
  </si>
  <si>
    <t>+33 (0) 6 12 33 76 77</t>
  </si>
  <si>
    <t>+33 (0) 6 12 33 76 78</t>
  </si>
  <si>
    <t>+33 (0) 6 12 33 76 79</t>
  </si>
  <si>
    <t xml:space="preserve">Emballages souillés vides plastiques </t>
  </si>
  <si>
    <t>+33 (0) 6 12 33 76 80</t>
  </si>
  <si>
    <t>+33 (0) 6 12 33 76 81</t>
  </si>
  <si>
    <t>+33 (0) 6 12 33 76 82</t>
  </si>
  <si>
    <t>+33 (0) 6 12 33 76 83</t>
  </si>
  <si>
    <t>+33 (0) 6 12 33 76 84</t>
  </si>
  <si>
    <t>43331348300177</t>
  </si>
  <si>
    <t>+33 (0) 6 12 33 76 85</t>
  </si>
  <si>
    <t>+33 (0) 6 12 33 76 86</t>
  </si>
  <si>
    <t>+33 (0) 6 12 33 76 87</t>
  </si>
  <si>
    <t>+33 (0) 6 12 33 76 88</t>
  </si>
  <si>
    <t>+33 (0) 6 12 33 76 89</t>
  </si>
  <si>
    <t>+33 (0) 6 12 33 76 90</t>
  </si>
  <si>
    <t>+33 (0) 6 12 33 76 91</t>
  </si>
  <si>
    <t>+33 (0) 6 12 33 76 92</t>
  </si>
  <si>
    <t>+33 (0) 6 12 33 76 93</t>
  </si>
  <si>
    <t>+33 (0) 6 12 33 76 94</t>
  </si>
  <si>
    <t>+33 (0) 6 12 33 76 95</t>
  </si>
  <si>
    <t>+33 (0) 6 12 33 76 96</t>
  </si>
  <si>
    <t>+33 (0) 6 12 33 76 97</t>
  </si>
  <si>
    <t>+33 (0) 6 12 33 76 98</t>
  </si>
  <si>
    <t>+33 (0) 6 12 33 76 99</t>
  </si>
  <si>
    <t>Wienerberger - Modèle d'email de demande de collecte</t>
  </si>
  <si>
    <t>Modèle d'email de demande de collecte</t>
  </si>
  <si>
    <t>Utilisateur</t>
  </si>
  <si>
    <t>Déchets de Bois et Papier</t>
  </si>
  <si>
    <t>Non classifié</t>
  </si>
  <si>
    <t>Déchets Plastiques</t>
  </si>
  <si>
    <t>Déchets Technologiques et Électroniques</t>
  </si>
  <si>
    <t>Déchets Bâtiment et Construction</t>
  </si>
  <si>
    <t>Autres Déchets Industriels</t>
  </si>
  <si>
    <t>Déchets Métalliques</t>
  </si>
  <si>
    <t>Emballages Souillés</t>
  </si>
  <si>
    <t>Huiles et Lubrifiants Usagés</t>
  </si>
  <si>
    <t>prestataire_final_nom</t>
  </si>
  <si>
    <t>prestataire_final_siret</t>
  </si>
  <si>
    <t>prestataire_final_adresse</t>
  </si>
  <si>
    <t>prestataire_final_recipisse_numero</t>
  </si>
  <si>
    <t>prestataire_final_code_traitement</t>
  </si>
  <si>
    <t>prestataire_final_traitement_qualification</t>
  </si>
  <si>
    <t>prestataire_final_personne_tel</t>
  </si>
  <si>
    <t>prestataire_final_personne_email</t>
  </si>
  <si>
    <t>producteur_personne_lastname</t>
  </si>
  <si>
    <t>producteur_personne_firstname</t>
  </si>
  <si>
    <t>operationelle_personne_lastname</t>
  </si>
  <si>
    <t>operationelle_personne_firstname</t>
  </si>
  <si>
    <t>negociant_personne_lastname</t>
  </si>
  <si>
    <t>negociant_personne_firstname</t>
  </si>
  <si>
    <t>negociant_personne_collecte_lastname</t>
  </si>
  <si>
    <t>negociant_personne_collecte_firstname</t>
  </si>
  <si>
    <t>transporteur_personne_lastname</t>
  </si>
  <si>
    <t>transporteur_personne_firstname</t>
  </si>
  <si>
    <t>transporteur_personne_collecte_lastname</t>
  </si>
  <si>
    <t>transporteur_personne_collecte_firstname</t>
  </si>
  <si>
    <t>prestataire_final_personne_lastname</t>
  </si>
  <si>
    <t>prestataire_final_personne_firstname</t>
  </si>
  <si>
    <t>LIQUID</t>
  </si>
  <si>
    <t>Déchets LIQUIDs et Eaux Usées</t>
  </si>
  <si>
    <t>SOLID</t>
  </si>
  <si>
    <t>Aérosols et Gaz</t>
  </si>
  <si>
    <t>GASEOUS</t>
  </si>
  <si>
    <t>installation_intermediaire_nom</t>
  </si>
  <si>
    <t>installation_intermediaire_siret</t>
  </si>
  <si>
    <t>installation_intermediaire_adresse</t>
  </si>
  <si>
    <t>installation_intermediaire_recipisse_numero</t>
  </si>
  <si>
    <t>installation_intermediaire_code_traitement</t>
  </si>
  <si>
    <t>installation_intermediaire_personne_lastname</t>
  </si>
  <si>
    <t>installation_intermediaire_personne_firstname</t>
  </si>
  <si>
    <t>installation_intermediaire_personne_tel</t>
  </si>
  <si>
    <t>installation_intermediaire_personne_email</t>
  </si>
  <si>
    <t>producteur_nom</t>
  </si>
  <si>
    <t>Wienerberger</t>
  </si>
  <si>
    <t>FUT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</si>
</sst>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 d\ yy"/>
    <numFmt numFmtId="165" formatCode="mm\ dd\ yy"/>
    <numFmt numFmtId="166" formatCode="##&quot; &quot;##&quot; &quot;##"/>
    <numFmt numFmtId="167" formatCode="0.000"/>
    <numFmt numFmtId="168" formatCode="_-* #,##0_-;\-* #,##0_-;_-* &quot;-&quot;??_-;_-@"/>
  </numFmts>
  <fonts count="20">
    <font>
      <sz val="11"/>
      <color theme="1"/>
      <name val="Calibri"/>
      <scheme val="minor"/>
    </font>
    <font>
      <sz val="11"/>
      <color theme="1"/>
      <name val="Calibri"/>
    </font>
    <font>
      <sz val="22"/>
      <color rgb="FF006121"/>
      <name val="Lalezar"/>
    </font>
    <font>
      <b/>
      <sz val="11"/>
      <color theme="1"/>
      <name val="Calibri"/>
    </font>
    <font>
      <u/>
      <sz val="11"/>
      <color theme="10"/>
      <name val="Calibri"/>
    </font>
    <font>
      <sz val="11"/>
      <color rgb="FF000000"/>
      <name val="Calibri"/>
    </font>
    <font>
      <b/>
      <sz val="11"/>
      <color rgb="FF000000"/>
      <name val="Calibri"/>
    </font>
    <font>
      <sz val="11"/>
      <color rgb="FF000000"/>
      <name val="Docs-Calibri"/>
    </font>
    <font>
      <b/>
      <i/>
      <sz val="11"/>
      <color theme="1"/>
      <name val="Calibri"/>
    </font>
    <font>
      <i/>
      <sz val="11"/>
      <color theme="1"/>
      <name val="Calibri"/>
    </font>
    <font>
      <sz val="11"/>
      <color theme="1"/>
      <name val="Calibri"/>
      <scheme val="minor"/>
    </font>
    <font>
      <b/>
      <sz val="11"/>
      <color theme="1"/>
      <name val="Arial"/>
    </font>
    <font>
      <sz val="11"/>
      <color theme="1"/>
      <name val="Arial"/>
    </font>
    <font>
      <b/>
      <sz val="10"/>
      <color theme="1"/>
      <name val="Arial"/>
    </font>
    <font>
      <sz val="8"/>
      <color theme="1"/>
      <name val="Arial"/>
    </font>
    <font>
      <sz val="10"/>
      <color theme="1"/>
      <name val="Arial"/>
    </font>
    <font>
      <b/>
      <i/>
      <sz val="10"/>
      <color theme="1"/>
      <name val="Arial"/>
    </font>
    <font>
      <i/>
      <sz val="10"/>
      <color theme="1"/>
      <name val="Arial"/>
    </font>
    <font>
      <sz val="11"/>
      <name val="Calibri"/>
    </font>
    <font>
      <sz val="11"/>
      <color rgb="FF000000"/>
      <name val="Calibri"/>
      <family val="2"/>
    </font>
  </fonts>
  <fills count="24">
    <fill>
      <patternFill patternType="none"/>
    </fill>
    <fill>
      <patternFill patternType="gray125"/>
    </fill>
    <fill>
      <patternFill patternType="solid">
        <fgColor rgb="FFF2F2F2"/>
        <bgColor rgb="FFF2F2F2"/>
      </patternFill>
    </fill>
    <fill>
      <patternFill patternType="solid">
        <fgColor rgb="FFA8D08D"/>
        <bgColor rgb="FFA8D08D"/>
      </patternFill>
    </fill>
    <fill>
      <patternFill patternType="solid">
        <fgColor rgb="FFFFD965"/>
        <bgColor rgb="FFFFD965"/>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A66BD3"/>
        <bgColor rgb="FFA66BD3"/>
      </patternFill>
    </fill>
    <fill>
      <patternFill patternType="solid">
        <fgColor rgb="FF5FB4BF"/>
        <bgColor rgb="FF5FB4BF"/>
      </patternFill>
    </fill>
    <fill>
      <patternFill patternType="solid">
        <fgColor rgb="FFD0CECE"/>
        <bgColor rgb="FFD0CECE"/>
      </patternFill>
    </fill>
    <fill>
      <patternFill patternType="solid">
        <fgColor rgb="FFE2EFDA"/>
        <bgColor rgb="FFE2EFDA"/>
      </patternFill>
    </fill>
    <fill>
      <patternFill patternType="solid">
        <fgColor rgb="FFD9EAD3"/>
        <bgColor rgb="FFD9EAD3"/>
      </patternFill>
    </fill>
    <fill>
      <patternFill patternType="solid">
        <fgColor rgb="FFFCE4D6"/>
        <bgColor rgb="FFFCE4D6"/>
      </patternFill>
    </fill>
    <fill>
      <patternFill patternType="solid">
        <fgColor rgb="FFDFC9EF"/>
        <bgColor rgb="FFDFC9EF"/>
      </patternFill>
    </fill>
    <fill>
      <patternFill patternType="solid">
        <fgColor rgb="FFDDEBF7"/>
        <bgColor rgb="FFDDEBF7"/>
      </patternFill>
    </fill>
    <fill>
      <patternFill patternType="solid">
        <fgColor rgb="FFC6E4E8"/>
        <bgColor rgb="FFC6E4E8"/>
      </patternFill>
    </fill>
    <fill>
      <patternFill patternType="solid">
        <fgColor rgb="FFFFF2CC"/>
        <bgColor rgb="FFFFF2CC"/>
      </patternFill>
    </fill>
    <fill>
      <patternFill patternType="solid">
        <fgColor rgb="FFFFFFFF"/>
        <bgColor rgb="FFFFFFFF"/>
      </patternFill>
    </fill>
    <fill>
      <patternFill patternType="solid">
        <fgColor rgb="FFD8D8D8"/>
        <bgColor rgb="FFD8D8D8"/>
      </patternFill>
    </fill>
    <fill>
      <patternFill patternType="solid">
        <fgColor rgb="FFF4B083"/>
        <bgColor rgb="FFF4B083"/>
      </patternFill>
    </fill>
    <fill>
      <patternFill patternType="solid">
        <fgColor rgb="FF8EAADB"/>
        <bgColor rgb="FF8EAADB"/>
      </patternFill>
    </fill>
    <fill>
      <patternFill patternType="solid">
        <fgColor rgb="FFFBE4D5"/>
        <bgColor rgb="FFFBE4D5"/>
      </patternFill>
    </fill>
    <fill>
      <patternFill patternType="solid">
        <fgColor rgb="FFDEEAF6"/>
        <bgColor rgb="FFDEEAF6"/>
      </patternFill>
    </fill>
  </fills>
  <borders count="9">
    <border>
      <left/>
      <right/>
      <top/>
      <bottom/>
      <diagonal/>
    </border>
    <border>
      <left/>
      <right/>
      <top/>
      <bottom/>
      <diagonal/>
    </border>
    <border>
      <left style="hair">
        <color rgb="FF000000"/>
      </left>
      <right style="hair">
        <color rgb="FF000000"/>
      </right>
      <top/>
      <bottom style="thin">
        <color rgb="FF000000"/>
      </bottom>
      <diagonal/>
    </border>
    <border>
      <left style="hair">
        <color rgb="FF000000"/>
      </left>
      <right style="hair">
        <color rgb="FF000000"/>
      </right>
      <top style="thin">
        <color rgb="FF000000"/>
      </top>
      <bottom style="thin">
        <color rgb="FF000000"/>
      </bottom>
      <diagonal/>
    </border>
    <border>
      <left/>
      <right/>
      <top/>
      <bottom style="thin">
        <color rgb="FF000000"/>
      </bottom>
      <diagonal/>
    </border>
    <border>
      <left style="hair">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style="thin">
        <color rgb="FF000000"/>
      </top>
      <bottom/>
      <diagonal/>
    </border>
    <border>
      <left style="hair">
        <color rgb="FF000000"/>
      </left>
      <right style="hair">
        <color rgb="FF000000"/>
      </right>
      <top/>
      <bottom style="thin">
        <color rgb="FF000000"/>
      </bottom>
      <diagonal/>
    </border>
  </borders>
  <cellStyleXfs count="1">
    <xf numFmtId="0" fontId="0" fillId="0" borderId="0"/>
  </cellStyleXfs>
  <cellXfs count="158">
    <xf numFmtId="0" fontId="0" fillId="0" borderId="0" xfId="0"/>
    <xf numFmtId="0" fontId="1"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xf>
    <xf numFmtId="0" fontId="3" fillId="3" borderId="1" xfId="0" applyFont="1" applyFill="1" applyBorder="1"/>
    <xf numFmtId="0" fontId="1" fillId="3" borderId="1" xfId="0" applyFont="1" applyFill="1" applyBorder="1"/>
    <xf numFmtId="0" fontId="3" fillId="4" borderId="1" xfId="0" applyFont="1" applyFill="1" applyBorder="1"/>
    <xf numFmtId="0" fontId="1" fillId="4" borderId="1" xfId="0" applyFont="1" applyFill="1" applyBorder="1"/>
    <xf numFmtId="0" fontId="1" fillId="5" borderId="2" xfId="0" applyFont="1" applyFill="1" applyBorder="1"/>
    <xf numFmtId="0" fontId="1" fillId="6" borderId="2" xfId="0" applyFont="1" applyFill="1" applyBorder="1"/>
    <xf numFmtId="0" fontId="1" fillId="0" borderId="3" xfId="0" applyFont="1" applyBorder="1"/>
    <xf numFmtId="0" fontId="4" fillId="0" borderId="3" xfId="0" applyFont="1" applyBorder="1"/>
    <xf numFmtId="0" fontId="5" fillId="0" borderId="0" xfId="0" applyFont="1" applyAlignment="1">
      <alignment horizontal="left"/>
    </xf>
    <xf numFmtId="0" fontId="5" fillId="2" borderId="0" xfId="0" applyFont="1" applyFill="1" applyAlignment="1">
      <alignment horizontal="left"/>
    </xf>
    <xf numFmtId="0" fontId="5" fillId="10" borderId="0" xfId="0" applyFont="1" applyFill="1" applyAlignment="1">
      <alignment horizontal="left"/>
    </xf>
    <xf numFmtId="0" fontId="5" fillId="11" borderId="0" xfId="0" applyFont="1" applyFill="1" applyAlignment="1">
      <alignment horizontal="left"/>
    </xf>
    <xf numFmtId="0" fontId="5" fillId="12" borderId="0" xfId="0" applyFont="1" applyFill="1" applyAlignment="1">
      <alignment horizontal="left"/>
    </xf>
    <xf numFmtId="0" fontId="5" fillId="13" borderId="0" xfId="0" applyFont="1" applyFill="1" applyAlignment="1">
      <alignment horizontal="left"/>
    </xf>
    <xf numFmtId="0" fontId="5" fillId="14" borderId="0" xfId="0" applyFont="1" applyFill="1" applyAlignment="1">
      <alignment horizontal="left"/>
    </xf>
    <xf numFmtId="0" fontId="5" fillId="15" borderId="0" xfId="0" applyFont="1" applyFill="1" applyAlignment="1">
      <alignment horizontal="left"/>
    </xf>
    <xf numFmtId="0" fontId="5" fillId="16" borderId="0" xfId="0" applyFont="1" applyFill="1" applyAlignment="1">
      <alignment horizontal="left"/>
    </xf>
    <xf numFmtId="0" fontId="5" fillId="17" borderId="0" xfId="0" applyFont="1" applyFill="1" applyAlignment="1">
      <alignment horizontal="left"/>
    </xf>
    <xf numFmtId="0" fontId="3" fillId="2" borderId="4" xfId="0" applyFont="1" applyFill="1" applyBorder="1" applyAlignment="1">
      <alignment horizontal="left"/>
    </xf>
    <xf numFmtId="0" fontId="5" fillId="2" borderId="4" xfId="0" applyFont="1" applyFill="1" applyBorder="1" applyAlignment="1">
      <alignment horizontal="left"/>
    </xf>
    <xf numFmtId="0" fontId="7" fillId="2" borderId="0" xfId="0" applyFont="1" applyFill="1" applyAlignment="1">
      <alignment horizontal="left"/>
    </xf>
    <xf numFmtId="0" fontId="5" fillId="0" borderId="4" xfId="0" applyFont="1" applyBorder="1" applyAlignment="1">
      <alignment horizontal="left"/>
    </xf>
    <xf numFmtId="0" fontId="1" fillId="2" borderId="4" xfId="0" applyFont="1" applyFill="1" applyBorder="1" applyAlignment="1">
      <alignment horizontal="left"/>
    </xf>
    <xf numFmtId="0" fontId="6" fillId="0" borderId="4" xfId="0" applyFont="1" applyBorder="1" applyAlignment="1">
      <alignment horizontal="left"/>
    </xf>
    <xf numFmtId="0" fontId="3" fillId="0" borderId="4" xfId="0" applyFont="1" applyBorder="1" applyAlignment="1">
      <alignment horizontal="left"/>
    </xf>
    <xf numFmtId="0" fontId="1" fillId="0" borderId="4" xfId="0" applyFont="1" applyBorder="1" applyAlignment="1">
      <alignment horizontal="left"/>
    </xf>
    <xf numFmtId="0" fontId="8" fillId="2" borderId="4" xfId="0" applyFont="1" applyFill="1" applyBorder="1" applyAlignment="1">
      <alignment horizontal="left"/>
    </xf>
    <xf numFmtId="0" fontId="9" fillId="2" borderId="4" xfId="0" applyFont="1" applyFill="1" applyBorder="1" applyAlignment="1">
      <alignment horizontal="left"/>
    </xf>
    <xf numFmtId="0" fontId="6" fillId="2" borderId="4" xfId="0" applyFont="1" applyFill="1" applyBorder="1" applyAlignment="1">
      <alignment horizontal="left"/>
    </xf>
    <xf numFmtId="0" fontId="7" fillId="18" borderId="0" xfId="0" applyFont="1" applyFill="1" applyAlignment="1">
      <alignment horizontal="left"/>
    </xf>
    <xf numFmtId="164" fontId="3" fillId="0" borderId="4" xfId="0" applyNumberFormat="1" applyFont="1" applyBorder="1" applyAlignment="1">
      <alignment horizontal="left"/>
    </xf>
    <xf numFmtId="165" fontId="3" fillId="2" borderId="4" xfId="0" applyNumberFormat="1" applyFont="1" applyFill="1" applyBorder="1" applyAlignment="1">
      <alignment horizontal="left"/>
    </xf>
    <xf numFmtId="0" fontId="1" fillId="0" borderId="0" xfId="0" applyFont="1" applyAlignment="1">
      <alignment horizontal="lef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11" fillId="0" borderId="0" xfId="0" applyFont="1"/>
    <xf numFmtId="0" fontId="12" fillId="0" borderId="0" xfId="0" applyFont="1" applyAlignment="1">
      <alignment horizontal="right"/>
    </xf>
    <xf numFmtId="0" fontId="12" fillId="0" borderId="0" xfId="0" applyFont="1"/>
    <xf numFmtId="0" fontId="1" fillId="0" borderId="0" xfId="0" applyFont="1"/>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19" borderId="1" xfId="0" applyFont="1" applyFill="1" applyBorder="1" applyAlignment="1">
      <alignment horizontal="left"/>
    </xf>
    <xf numFmtId="0" fontId="3" fillId="19" borderId="1" xfId="0" applyFont="1" applyFill="1" applyBorder="1"/>
    <xf numFmtId="1" fontId="1" fillId="2" borderId="1" xfId="0" applyNumberFormat="1" applyFont="1" applyFill="1" applyBorder="1"/>
    <xf numFmtId="0" fontId="1" fillId="0" borderId="0" xfId="0" quotePrefix="1" applyFont="1"/>
    <xf numFmtId="0" fontId="3" fillId="3" borderId="1" xfId="0" applyFont="1" applyFill="1" applyBorder="1" applyAlignment="1">
      <alignment horizontal="left"/>
    </xf>
    <xf numFmtId="0" fontId="1" fillId="3" borderId="1" xfId="0" applyFont="1" applyFill="1" applyBorder="1" applyAlignment="1">
      <alignment horizontal="left"/>
    </xf>
    <xf numFmtId="0" fontId="3" fillId="20" borderId="1" xfId="0" applyFont="1" applyFill="1" applyBorder="1"/>
    <xf numFmtId="0" fontId="1" fillId="20" borderId="1" xfId="0" applyFont="1" applyFill="1" applyBorder="1"/>
    <xf numFmtId="0" fontId="3" fillId="7" borderId="1" xfId="0" applyFont="1" applyFill="1" applyBorder="1"/>
    <xf numFmtId="0" fontId="1" fillId="7" borderId="1" xfId="0" applyFont="1" applyFill="1" applyBorder="1"/>
    <xf numFmtId="0" fontId="3" fillId="8" borderId="1" xfId="0" applyFont="1" applyFill="1" applyBorder="1"/>
    <xf numFmtId="0" fontId="1" fillId="8" borderId="1" xfId="0" applyFont="1" applyFill="1" applyBorder="1"/>
    <xf numFmtId="0" fontId="3" fillId="21" borderId="1" xfId="0" applyFont="1" applyFill="1" applyBorder="1"/>
    <xf numFmtId="0" fontId="1" fillId="21" borderId="1" xfId="0" applyFont="1" applyFill="1" applyBorder="1"/>
    <xf numFmtId="0" fontId="3" fillId="9" borderId="1" xfId="0" applyFont="1" applyFill="1" applyBorder="1"/>
    <xf numFmtId="0" fontId="1" fillId="9" borderId="1" xfId="0" applyFont="1" applyFill="1" applyBorder="1"/>
    <xf numFmtId="0" fontId="1" fillId="5" borderId="5" xfId="0" applyFont="1" applyFill="1" applyBorder="1" applyAlignment="1">
      <alignment horizontal="left"/>
    </xf>
    <xf numFmtId="0" fontId="1" fillId="5" borderId="5" xfId="0" applyFont="1" applyFill="1" applyBorder="1"/>
    <xf numFmtId="0" fontId="1" fillId="22" borderId="5" xfId="0" applyFont="1" applyFill="1" applyBorder="1"/>
    <xf numFmtId="0" fontId="1" fillId="2" borderId="5" xfId="0" applyFont="1" applyFill="1" applyBorder="1"/>
    <xf numFmtId="0" fontId="1" fillId="14" borderId="5" xfId="0" applyFont="1" applyFill="1" applyBorder="1"/>
    <xf numFmtId="0" fontId="1" fillId="23" borderId="5" xfId="0" applyFont="1" applyFill="1" applyBorder="1"/>
    <xf numFmtId="0" fontId="1" fillId="16" borderId="5" xfId="0" applyFont="1" applyFill="1" applyBorder="1"/>
    <xf numFmtId="0" fontId="1" fillId="6" borderId="5" xfId="0" applyFont="1" applyFill="1" applyBorder="1"/>
    <xf numFmtId="0" fontId="13" fillId="2" borderId="2" xfId="0" applyFont="1" applyFill="1" applyBorder="1" applyAlignment="1">
      <alignment horizontal="left" vertical="center" wrapText="1"/>
    </xf>
    <xf numFmtId="166" fontId="13" fillId="2" borderId="2" xfId="0" applyNumberFormat="1" applyFont="1" applyFill="1" applyBorder="1" applyAlignment="1">
      <alignment horizontal="left" vertical="center" wrapText="1"/>
    </xf>
    <xf numFmtId="0" fontId="1" fillId="2" borderId="2" xfId="0" applyFont="1" applyFill="1" applyBorder="1"/>
    <xf numFmtId="0" fontId="14" fillId="2" borderId="2" xfId="0" quotePrefix="1" applyFont="1" applyFill="1" applyBorder="1"/>
    <xf numFmtId="0" fontId="1" fillId="2" borderId="2" xfId="0" applyFont="1" applyFill="1" applyBorder="1" applyAlignment="1">
      <alignment horizontal="left" vertical="center"/>
    </xf>
    <xf numFmtId="0" fontId="15" fillId="2" borderId="2" xfId="0" applyFont="1" applyFill="1" applyBorder="1" applyAlignment="1">
      <alignment horizontal="center" vertical="center" wrapText="1"/>
    </xf>
    <xf numFmtId="1" fontId="15" fillId="2" borderId="2" xfId="0" applyNumberFormat="1" applyFont="1" applyFill="1" applyBorder="1" applyAlignment="1">
      <alignment horizontal="center" vertical="center" wrapText="1"/>
    </xf>
    <xf numFmtId="49" fontId="15" fillId="2" borderId="2" xfId="0" applyNumberFormat="1" applyFont="1" applyFill="1" applyBorder="1" applyAlignment="1">
      <alignment horizontal="center" vertical="center" wrapText="1"/>
    </xf>
    <xf numFmtId="0" fontId="15" fillId="2" borderId="2" xfId="0" applyFont="1" applyFill="1" applyBorder="1" applyAlignment="1">
      <alignment horizontal="left" vertical="center"/>
    </xf>
    <xf numFmtId="0" fontId="1" fillId="2" borderId="2" xfId="0" applyFont="1" applyFill="1" applyBorder="1" applyAlignment="1">
      <alignment horizontal="center" vertical="center" wrapText="1"/>
    </xf>
    <xf numFmtId="0" fontId="3" fillId="0" borderId="3" xfId="0" applyFont="1" applyBorder="1" applyAlignment="1">
      <alignment horizontal="left" vertical="center" wrapText="1"/>
    </xf>
    <xf numFmtId="166" fontId="13" fillId="0" borderId="3" xfId="0" applyNumberFormat="1" applyFont="1" applyBorder="1" applyAlignment="1">
      <alignment horizontal="left" vertical="center" wrapText="1"/>
    </xf>
    <xf numFmtId="0" fontId="1" fillId="0" borderId="6" xfId="0" applyFont="1" applyBorder="1"/>
    <xf numFmtId="0" fontId="15" fillId="0" borderId="3" xfId="0" applyFont="1" applyBorder="1" applyAlignment="1">
      <alignment horizontal="center" vertical="center" wrapText="1"/>
    </xf>
    <xf numFmtId="0" fontId="14" fillId="0" borderId="3" xfId="0" quotePrefix="1" applyFont="1" applyBorder="1"/>
    <xf numFmtId="0" fontId="1" fillId="0" borderId="3" xfId="0" applyFont="1" applyBorder="1" applyAlignment="1">
      <alignment horizontal="left" vertical="center"/>
    </xf>
    <xf numFmtId="3" fontId="1" fillId="0" borderId="3" xfId="0" applyNumberFormat="1" applyFont="1" applyBorder="1" applyAlignment="1">
      <alignment horizontal="center" vertical="center" wrapText="1"/>
    </xf>
    <xf numFmtId="49" fontId="15" fillId="0" borderId="3" xfId="0" applyNumberFormat="1" applyFont="1" applyBorder="1" applyAlignment="1">
      <alignment horizontal="center" vertical="center" wrapText="1"/>
    </xf>
    <xf numFmtId="0" fontId="16" fillId="2" borderId="3" xfId="0" applyFont="1" applyFill="1" applyBorder="1" applyAlignment="1">
      <alignment horizontal="left" vertical="center" wrapText="1"/>
    </xf>
    <xf numFmtId="166" fontId="16" fillId="2" borderId="3" xfId="0" applyNumberFormat="1" applyFont="1" applyFill="1" applyBorder="1" applyAlignment="1">
      <alignment horizontal="left" vertical="center" wrapText="1"/>
    </xf>
    <xf numFmtId="166" fontId="17" fillId="2" borderId="3" xfId="0" applyNumberFormat="1" applyFont="1" applyFill="1" applyBorder="1" applyAlignment="1">
      <alignment horizontal="left" vertical="center" wrapText="1"/>
    </xf>
    <xf numFmtId="0" fontId="1" fillId="2" borderId="3" xfId="0" applyFont="1" applyFill="1" applyBorder="1"/>
    <xf numFmtId="0" fontId="14" fillId="2" borderId="3" xfId="0" quotePrefix="1" applyFont="1" applyFill="1" applyBorder="1"/>
    <xf numFmtId="0" fontId="1" fillId="2" borderId="3" xfId="0" applyFont="1" applyFill="1" applyBorder="1" applyAlignment="1">
      <alignment horizontal="left" vertical="center"/>
    </xf>
    <xf numFmtId="0" fontId="15"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1" fontId="17"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3" fillId="2" borderId="3" xfId="0" applyFont="1" applyFill="1" applyBorder="1" applyAlignment="1">
      <alignment horizontal="left" vertical="center" wrapText="1"/>
    </xf>
    <xf numFmtId="0" fontId="13" fillId="2" borderId="3" xfId="0" applyFont="1" applyFill="1" applyBorder="1" applyAlignment="1">
      <alignment horizontal="left" vertical="center"/>
    </xf>
    <xf numFmtId="0" fontId="15" fillId="2" borderId="3" xfId="0" applyFont="1" applyFill="1" applyBorder="1" applyAlignment="1">
      <alignment horizontal="left" vertical="center"/>
    </xf>
    <xf numFmtId="1" fontId="15" fillId="2" borderId="3" xfId="0" applyNumberFormat="1"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166" fontId="15" fillId="0" borderId="3" xfId="0" applyNumberFormat="1" applyFont="1" applyBorder="1" applyAlignment="1">
      <alignment horizontal="left" vertical="center" wrapText="1"/>
    </xf>
    <xf numFmtId="1" fontId="15" fillId="0" borderId="3" xfId="0" applyNumberFormat="1" applyFont="1" applyBorder="1" applyAlignment="1">
      <alignment horizontal="center" vertical="center" wrapText="1"/>
    </xf>
    <xf numFmtId="0" fontId="15" fillId="0" borderId="3" xfId="0" applyFont="1" applyBorder="1" applyAlignment="1">
      <alignment horizontal="left" vertical="center"/>
    </xf>
    <xf numFmtId="0" fontId="1" fillId="0" borderId="3" xfId="0" applyFont="1" applyBorder="1" applyAlignment="1">
      <alignment horizontal="center" vertical="center" wrapText="1"/>
    </xf>
    <xf numFmtId="0" fontId="3" fillId="2" borderId="3" xfId="0" applyFont="1" applyFill="1" applyBorder="1" applyAlignment="1">
      <alignment horizontal="left" vertical="center" wrapText="1"/>
    </xf>
    <xf numFmtId="166" fontId="13" fillId="2" borderId="3" xfId="0" applyNumberFormat="1" applyFont="1" applyFill="1" applyBorder="1" applyAlignment="1">
      <alignment horizontal="left" vertical="center" wrapText="1"/>
    </xf>
    <xf numFmtId="3" fontId="1" fillId="2" borderId="3" xfId="0" applyNumberFormat="1" applyFont="1" applyFill="1" applyBorder="1" applyAlignment="1">
      <alignment horizontal="center" vertical="center" wrapText="1"/>
    </xf>
    <xf numFmtId="0" fontId="1" fillId="2" borderId="5" xfId="0" quotePrefix="1" applyFont="1" applyFill="1" applyBorder="1"/>
    <xf numFmtId="0" fontId="1" fillId="0" borderId="6" xfId="0" quotePrefix="1" applyFont="1" applyBorder="1"/>
    <xf numFmtId="166" fontId="15" fillId="2" borderId="3" xfId="0" applyNumberFormat="1" applyFont="1" applyFill="1" applyBorder="1" applyAlignment="1">
      <alignment horizontal="left" vertical="center" wrapText="1"/>
    </xf>
    <xf numFmtId="3" fontId="15" fillId="0" borderId="3" xfId="0" applyNumberFormat="1" applyFont="1" applyBorder="1" applyAlignment="1">
      <alignment horizontal="center" vertical="center" wrapText="1"/>
    </xf>
    <xf numFmtId="167" fontId="13" fillId="2" borderId="3" xfId="0" applyNumberFormat="1" applyFont="1" applyFill="1" applyBorder="1" applyAlignment="1">
      <alignment horizontal="left" vertical="center" wrapText="1"/>
    </xf>
    <xf numFmtId="0" fontId="15" fillId="2" borderId="3" xfId="0" applyFont="1" applyFill="1" applyBorder="1" applyAlignment="1">
      <alignment horizontal="left" vertical="center" wrapText="1"/>
    </xf>
    <xf numFmtId="3" fontId="15" fillId="2" borderId="3" xfId="0" applyNumberFormat="1" applyFont="1" applyFill="1" applyBorder="1" applyAlignment="1">
      <alignment horizontal="center" vertical="center" wrapText="1"/>
    </xf>
    <xf numFmtId="167" fontId="15" fillId="2" borderId="3"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1" fillId="5" borderId="2" xfId="0" applyFont="1" applyFill="1" applyBorder="1" applyAlignment="1">
      <alignment horizontal="left"/>
    </xf>
    <xf numFmtId="0" fontId="1" fillId="22" borderId="2" xfId="0" applyFont="1" applyFill="1" applyBorder="1"/>
    <xf numFmtId="0" fontId="1" fillId="14" borderId="2" xfId="0" applyFont="1" applyFill="1" applyBorder="1"/>
    <xf numFmtId="0" fontId="1" fillId="23" borderId="2" xfId="0" applyFont="1" applyFill="1" applyBorder="1"/>
    <xf numFmtId="0" fontId="1" fillId="16" borderId="2" xfId="0" applyFont="1" applyFill="1" applyBorder="1"/>
    <xf numFmtId="0" fontId="13" fillId="2" borderId="3" xfId="0" applyFont="1" applyFill="1" applyBorder="1" applyAlignment="1">
      <alignment horizontal="center" vertical="center" wrapText="1"/>
    </xf>
    <xf numFmtId="166" fontId="13" fillId="2" borderId="3"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166" fontId="13" fillId="0" borderId="3" xfId="0" applyNumberFormat="1" applyFont="1" applyBorder="1" applyAlignment="1">
      <alignment horizontal="center" vertical="center" wrapText="1"/>
    </xf>
    <xf numFmtId="0" fontId="15" fillId="0" borderId="3" xfId="0" applyFont="1" applyBorder="1" applyAlignment="1">
      <alignment vertical="center" wrapText="1"/>
    </xf>
    <xf numFmtId="0" fontId="15" fillId="0" borderId="3" xfId="0" applyFont="1" applyBorder="1" applyAlignment="1">
      <alignment horizontal="center" vertical="center"/>
    </xf>
    <xf numFmtId="0" fontId="15" fillId="2" borderId="3" xfId="0" applyFont="1" applyFill="1" applyBorder="1" applyAlignment="1">
      <alignment vertical="center" wrapText="1"/>
    </xf>
    <xf numFmtId="0" fontId="15" fillId="2" borderId="3" xfId="0" applyFont="1" applyFill="1" applyBorder="1" applyAlignment="1">
      <alignment horizontal="center" vertical="center"/>
    </xf>
    <xf numFmtId="0" fontId="1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15" fillId="2" borderId="3" xfId="0" applyFont="1" applyFill="1" applyBorder="1" applyAlignment="1">
      <alignment vertical="center"/>
    </xf>
    <xf numFmtId="0" fontId="15" fillId="0" borderId="3" xfId="0" applyFont="1" applyBorder="1" applyAlignment="1">
      <alignment vertical="center"/>
    </xf>
    <xf numFmtId="168" fontId="15" fillId="0" borderId="3" xfId="0" applyNumberFormat="1" applyFont="1" applyBorder="1" applyAlignment="1">
      <alignment horizontal="center" vertical="center"/>
    </xf>
    <xf numFmtId="167" fontId="15" fillId="0" borderId="3" xfId="0" applyNumberFormat="1" applyFont="1" applyBorder="1" applyAlignment="1">
      <alignment horizontal="left" vertical="center" wrapText="1"/>
    </xf>
    <xf numFmtId="0" fontId="1" fillId="0" borderId="3" xfId="0" applyFont="1" applyBorder="1" applyAlignment="1">
      <alignment horizontal="left"/>
    </xf>
    <xf numFmtId="0" fontId="1" fillId="2" borderId="3" xfId="0" applyFont="1" applyFill="1" applyBorder="1" applyAlignment="1">
      <alignment horizontal="left"/>
    </xf>
    <xf numFmtId="0" fontId="13" fillId="0" borderId="3" xfId="0" applyFont="1" applyBorder="1" applyAlignment="1">
      <alignment horizontal="center" vertical="center"/>
    </xf>
    <xf numFmtId="0" fontId="6" fillId="0" borderId="1" xfId="0" applyFont="1" applyBorder="1" applyAlignment="1">
      <alignment horizontal="left"/>
    </xf>
    <xf numFmtId="0" fontId="3" fillId="2" borderId="1" xfId="0" applyFont="1" applyFill="1" applyBorder="1" applyAlignment="1">
      <alignment horizontal="left"/>
    </xf>
    <xf numFmtId="3" fontId="5" fillId="0" borderId="4" xfId="0" applyNumberFormat="1" applyFont="1" applyBorder="1" applyAlignment="1">
      <alignment horizontal="left"/>
    </xf>
    <xf numFmtId="0" fontId="19" fillId="16" borderId="0" xfId="0" applyFont="1" applyFill="1" applyAlignment="1">
      <alignment horizontal="left"/>
    </xf>
    <xf numFmtId="0" fontId="13" fillId="0" borderId="7" xfId="0" applyFont="1" applyBorder="1" applyAlignment="1">
      <alignment horizontal="left" vertical="center" wrapText="1"/>
    </xf>
    <xf numFmtId="0" fontId="18" fillId="0" borderId="8" xfId="0" applyFont="1" applyBorder="1"/>
    <xf numFmtId="0" fontId="3" fillId="0" borderId="7" xfId="0" applyFont="1" applyBorder="1" applyAlignment="1">
      <alignment horizontal="left" vertical="center" wrapText="1"/>
    </xf>
    <xf numFmtId="167" fontId="13" fillId="0" borderId="7" xfId="0" applyNumberFormat="1" applyFont="1" applyBorder="1" applyAlignment="1">
      <alignment horizontal="left" vertical="center" wrapText="1"/>
    </xf>
    <xf numFmtId="0" fontId="13" fillId="2" borderId="7" xfId="0" applyFont="1" applyFill="1" applyBorder="1" applyAlignment="1">
      <alignment horizontal="left" vertical="center" wrapText="1"/>
    </xf>
    <xf numFmtId="0" fontId="13" fillId="0" borderId="7" xfId="0" applyFont="1" applyBorder="1" applyAlignment="1">
      <alignment horizontal="center" vertical="center" wrapText="1"/>
    </xf>
    <xf numFmtId="0" fontId="18" fillId="0" borderId="6" xfId="0" applyFont="1" applyBorder="1"/>
    <xf numFmtId="0" fontId="13" fillId="2" borderId="7" xfId="0" applyFont="1" applyFill="1" applyBorder="1" applyAlignment="1">
      <alignment horizontal="center" vertical="center" wrapText="1"/>
    </xf>
    <xf numFmtId="0" fontId="3" fillId="0" borderId="7" xfId="0" applyFont="1" applyBorder="1" applyAlignment="1">
      <alignment horizontal="center" vertical="center" wrapText="1"/>
    </xf>
    <xf numFmtId="3" fontId="1" fillId="0" borderId="4"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aura.baumert@wienerberg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5.08984375" customWidth="1"/>
    <col min="4" max="4" width="16.08984375" customWidth="1"/>
    <col min="5" max="5" width="32.7265625" customWidth="1"/>
    <col min="6" max="6" width="3" customWidth="1"/>
    <col min="7" max="8" width="10.08984375" customWidth="1"/>
    <col min="9" max="26" width="8.7265625" customWidth="1"/>
  </cols>
  <sheetData>
    <row r="1" spans="1:26" ht="7.5" customHeight="1"/>
    <row r="2" spans="1:26" ht="21.75" customHeight="1">
      <c r="A2" s="1"/>
      <c r="B2" s="2" t="s">
        <v>0</v>
      </c>
      <c r="C2" s="3" t="s">
        <v>1</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v>
      </c>
      <c r="C4" s="4"/>
      <c r="D4" s="5"/>
      <c r="E4" s="5"/>
      <c r="G4" s="6" t="s">
        <v>3</v>
      </c>
      <c r="H4" s="7"/>
    </row>
    <row r="5" spans="1:26" ht="14.5">
      <c r="B5" s="8" t="s">
        <v>4</v>
      </c>
      <c r="C5" s="8" t="s">
        <v>5</v>
      </c>
      <c r="D5" s="8" t="s">
        <v>6</v>
      </c>
      <c r="E5" s="8" t="s">
        <v>7</v>
      </c>
      <c r="G5" s="9" t="s">
        <v>8</v>
      </c>
      <c r="H5" s="9" t="s">
        <v>9</v>
      </c>
    </row>
    <row r="6" spans="1:26" ht="14.5">
      <c r="B6" s="10" t="s">
        <v>10</v>
      </c>
      <c r="C6" s="10" t="s">
        <v>11</v>
      </c>
      <c r="D6" s="10" t="s">
        <v>12</v>
      </c>
      <c r="E6" s="11" t="s">
        <v>13</v>
      </c>
      <c r="G6" s="10" t="s">
        <v>14</v>
      </c>
      <c r="H6" s="10" t="s">
        <v>14</v>
      </c>
    </row>
    <row r="7" spans="1:26" ht="14.5">
      <c r="B7" s="10"/>
      <c r="C7" s="10"/>
      <c r="D7" s="10"/>
      <c r="E7" s="10"/>
      <c r="G7" s="10"/>
      <c r="H7" s="10"/>
    </row>
    <row r="8" spans="1:26" ht="14.5">
      <c r="B8" s="10"/>
      <c r="C8" s="10"/>
      <c r="D8" s="10"/>
      <c r="E8" s="10"/>
      <c r="G8" s="10"/>
      <c r="H8" s="10"/>
    </row>
    <row r="9" spans="1:26" ht="14.5">
      <c r="B9" s="10"/>
      <c r="C9" s="10"/>
      <c r="D9" s="10"/>
      <c r="E9" s="10"/>
      <c r="G9" s="10"/>
      <c r="H9" s="10"/>
    </row>
    <row r="10" spans="1:26" ht="14.5">
      <c r="B10" s="10"/>
      <c r="C10" s="10"/>
      <c r="D10" s="10"/>
      <c r="E10" s="10"/>
      <c r="G10" s="10"/>
      <c r="H10" s="10"/>
    </row>
    <row r="11" spans="1:26" ht="14.5">
      <c r="B11" s="10"/>
      <c r="C11" s="10"/>
      <c r="D11" s="10"/>
      <c r="E11" s="10"/>
      <c r="G11" s="10"/>
      <c r="H11" s="10"/>
    </row>
    <row r="12" spans="1:26" ht="14.5">
      <c r="B12" s="10"/>
      <c r="C12" s="10"/>
      <c r="D12" s="10"/>
      <c r="E12" s="10"/>
      <c r="G12" s="10"/>
      <c r="H12" s="10"/>
    </row>
    <row r="13" spans="1:26" ht="14.5">
      <c r="B13" s="10"/>
      <c r="C13" s="10"/>
      <c r="D13" s="10"/>
      <c r="E13" s="10"/>
      <c r="G13" s="10"/>
      <c r="H13" s="10"/>
    </row>
    <row r="14" spans="1:26" ht="14.5">
      <c r="B14" s="10"/>
      <c r="C14" s="10"/>
      <c r="D14" s="10"/>
      <c r="E14" s="10"/>
      <c r="G14" s="10"/>
      <c r="H14" s="10"/>
    </row>
    <row r="15" spans="1:26" ht="14.5">
      <c r="B15" s="10"/>
      <c r="C15" s="10"/>
      <c r="D15" s="10"/>
      <c r="E15" s="10"/>
      <c r="G15" s="10"/>
      <c r="H15" s="10"/>
    </row>
    <row r="16" spans="1:26" ht="14.5">
      <c r="B16" s="10"/>
      <c r="C16" s="10"/>
      <c r="D16" s="10"/>
      <c r="E16" s="10"/>
      <c r="G16" s="10"/>
      <c r="H16" s="10"/>
    </row>
    <row r="17" spans="2:8" ht="14.5">
      <c r="B17" s="10"/>
      <c r="C17" s="10"/>
      <c r="D17" s="10"/>
      <c r="E17" s="10"/>
      <c r="G17" s="10"/>
      <c r="H17" s="10"/>
    </row>
    <row r="18" spans="2:8" ht="14.5">
      <c r="B18" s="10"/>
      <c r="C18" s="10"/>
      <c r="D18" s="10"/>
      <c r="E18" s="10"/>
      <c r="G18" s="10"/>
      <c r="H18" s="10"/>
    </row>
    <row r="19" spans="2:8" ht="14.5">
      <c r="B19" s="10"/>
      <c r="C19" s="10"/>
      <c r="D19" s="10"/>
      <c r="E19" s="10"/>
      <c r="G19" s="10"/>
      <c r="H19" s="10"/>
    </row>
    <row r="20" spans="2:8" ht="14.5">
      <c r="B20" s="10"/>
      <c r="C20" s="10"/>
      <c r="D20" s="10"/>
      <c r="E20" s="10"/>
      <c r="G20" s="10"/>
      <c r="H20" s="10"/>
    </row>
    <row r="21" spans="2:8" ht="15.75" customHeight="1">
      <c r="B21" s="10"/>
      <c r="C21" s="10"/>
      <c r="D21" s="10"/>
      <c r="E21" s="10"/>
      <c r="G21" s="10"/>
      <c r="H21" s="10"/>
    </row>
    <row r="22" spans="2:8" ht="15.75" customHeight="1">
      <c r="B22" s="10"/>
      <c r="C22" s="10"/>
      <c r="D22" s="10"/>
      <c r="E22" s="10"/>
      <c r="G22" s="10"/>
      <c r="H22" s="10"/>
    </row>
    <row r="23" spans="2:8" ht="15.75" customHeight="1">
      <c r="B23" s="10"/>
      <c r="C23" s="10"/>
      <c r="D23" s="10"/>
      <c r="E23" s="10"/>
      <c r="G23" s="10"/>
      <c r="H23" s="10"/>
    </row>
    <row r="24" spans="2:8" ht="15.75" customHeight="1">
      <c r="B24" s="10"/>
      <c r="C24" s="10"/>
      <c r="D24" s="10"/>
      <c r="E24" s="10"/>
      <c r="G24" s="10"/>
      <c r="H24" s="10"/>
    </row>
    <row r="25" spans="2:8" ht="15.75" customHeight="1">
      <c r="B25" s="10"/>
      <c r="C25" s="10"/>
      <c r="D25" s="10"/>
      <c r="E25" s="10"/>
      <c r="G25" s="10"/>
      <c r="H25" s="10"/>
    </row>
    <row r="26" spans="2:8" ht="15.75" customHeight="1">
      <c r="B26" s="10"/>
      <c r="C26" s="10"/>
      <c r="D26" s="10"/>
      <c r="E26" s="10"/>
      <c r="G26" s="10"/>
      <c r="H26" s="10"/>
    </row>
    <row r="27" spans="2:8" ht="15.75" customHeight="1">
      <c r="B27" s="10"/>
      <c r="C27" s="10"/>
      <c r="D27" s="10"/>
      <c r="E27" s="10"/>
      <c r="G27" s="10"/>
      <c r="H27" s="10"/>
    </row>
    <row r="28" spans="2:8" ht="15.75" customHeight="1">
      <c r="B28" s="10"/>
      <c r="C28" s="10"/>
      <c r="D28" s="10"/>
      <c r="E28" s="10"/>
      <c r="G28" s="10"/>
      <c r="H28" s="10"/>
    </row>
    <row r="29" spans="2:8" ht="15.75" customHeight="1">
      <c r="B29" s="10"/>
      <c r="C29" s="10"/>
      <c r="D29" s="10"/>
      <c r="E29" s="10"/>
      <c r="G29" s="10"/>
      <c r="H29" s="10"/>
    </row>
    <row r="30" spans="2:8" ht="15.75" customHeight="1">
      <c r="B30" s="10"/>
      <c r="C30" s="10"/>
      <c r="D30" s="10"/>
      <c r="E30" s="10"/>
      <c r="G30" s="10"/>
      <c r="H30" s="10"/>
    </row>
    <row r="31" spans="2:8" ht="15.75" customHeight="1">
      <c r="B31" s="10"/>
      <c r="C31" s="10"/>
      <c r="D31" s="10"/>
      <c r="E31" s="10"/>
      <c r="G31" s="10"/>
      <c r="H31" s="10"/>
    </row>
    <row r="32" spans="2:8" ht="15.75" customHeight="1">
      <c r="B32" s="10"/>
      <c r="C32" s="10"/>
      <c r="D32" s="10"/>
      <c r="E32" s="10"/>
      <c r="G32" s="10"/>
      <c r="H32" s="10"/>
    </row>
    <row r="33" spans="2:8" ht="15.75" customHeight="1">
      <c r="B33" s="10"/>
      <c r="C33" s="10"/>
      <c r="D33" s="10"/>
      <c r="E33" s="10"/>
      <c r="G33" s="10"/>
      <c r="H33" s="10"/>
    </row>
    <row r="34" spans="2:8" ht="15.75" customHeight="1">
      <c r="B34" s="10"/>
      <c r="C34" s="10"/>
      <c r="D34" s="10"/>
      <c r="E34" s="10"/>
      <c r="G34" s="10"/>
      <c r="H34" s="10"/>
    </row>
    <row r="35" spans="2:8" ht="15.75" customHeight="1">
      <c r="B35" s="10"/>
      <c r="C35" s="10"/>
      <c r="D35" s="10"/>
      <c r="E35" s="10"/>
      <c r="G35" s="10"/>
      <c r="H35" s="10"/>
    </row>
    <row r="36" spans="2:8" ht="15.75" customHeight="1">
      <c r="B36" s="10"/>
      <c r="C36" s="10"/>
      <c r="D36" s="10"/>
      <c r="E36" s="10"/>
      <c r="G36" s="10"/>
      <c r="H36" s="10"/>
    </row>
    <row r="37" spans="2:8" ht="15.75" customHeight="1">
      <c r="B37" s="10"/>
      <c r="C37" s="10"/>
      <c r="D37" s="10"/>
      <c r="E37" s="10"/>
      <c r="G37" s="10"/>
      <c r="H37" s="10"/>
    </row>
    <row r="38" spans="2:8" ht="15.75" customHeight="1">
      <c r="B38" s="10"/>
      <c r="C38" s="10"/>
      <c r="D38" s="10"/>
      <c r="E38" s="10"/>
      <c r="G38" s="10"/>
      <c r="H38" s="10"/>
    </row>
    <row r="39" spans="2:8" ht="15.75" customHeight="1">
      <c r="B39" s="10"/>
      <c r="C39" s="10"/>
      <c r="D39" s="10"/>
      <c r="E39" s="10"/>
      <c r="G39" s="10"/>
      <c r="H39" s="10"/>
    </row>
    <row r="40" spans="2:8" ht="15.75" customHeight="1">
      <c r="B40" s="10"/>
      <c r="C40" s="10"/>
      <c r="D40" s="10"/>
      <c r="E40" s="10"/>
      <c r="G40" s="10"/>
      <c r="H40" s="10"/>
    </row>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6"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102"/>
  <sheetViews>
    <sheetView topLeftCell="B792" workbookViewId="0">
      <selection activeCell="H797" sqref="H797:I799"/>
    </sheetView>
  </sheetViews>
  <sheetFormatPr baseColWidth="10" defaultColWidth="14.453125" defaultRowHeight="15" customHeight="1"/>
  <sheetData>
    <row r="1" spans="1:8">
      <c r="A1" s="38" t="str">
        <f t="shared" ref="A1:A255" si="0">CLEAN(B1)</f>
        <v>01 01</v>
      </c>
      <c r="B1" s="39" t="s">
        <v>568</v>
      </c>
      <c r="C1" s="40" t="s">
        <v>569</v>
      </c>
    </row>
    <row r="2" spans="1:8">
      <c r="A2" s="38" t="str">
        <f t="shared" si="0"/>
        <v>01 01 01</v>
      </c>
      <c r="B2" s="41" t="s">
        <v>570</v>
      </c>
      <c r="C2" s="42" t="s">
        <v>571</v>
      </c>
      <c r="H2" s="28"/>
    </row>
    <row r="3" spans="1:8">
      <c r="A3" s="38" t="str">
        <f t="shared" si="0"/>
        <v xml:space="preserve">01 01 02 </v>
      </c>
      <c r="B3" s="41" t="s">
        <v>572</v>
      </c>
      <c r="C3" s="42" t="s">
        <v>573</v>
      </c>
    </row>
    <row r="4" spans="1:8">
      <c r="A4" s="38" t="str">
        <f t="shared" si="0"/>
        <v/>
      </c>
      <c r="B4" s="42"/>
      <c r="C4" s="42"/>
    </row>
    <row r="5" spans="1:8">
      <c r="A5" s="38" t="str">
        <f t="shared" si="0"/>
        <v>01 03</v>
      </c>
      <c r="B5" s="39" t="s">
        <v>574</v>
      </c>
      <c r="C5" s="40" t="s">
        <v>575</v>
      </c>
    </row>
    <row r="6" spans="1:8">
      <c r="A6" s="38" t="str">
        <f t="shared" si="0"/>
        <v>01 03 04*</v>
      </c>
      <c r="B6" s="41" t="s">
        <v>576</v>
      </c>
      <c r="C6" s="42" t="s">
        <v>577</v>
      </c>
    </row>
    <row r="7" spans="1:8">
      <c r="A7" s="38" t="str">
        <f t="shared" si="0"/>
        <v>01 03 05*</v>
      </c>
      <c r="B7" s="41" t="s">
        <v>578</v>
      </c>
      <c r="C7" s="42" t="s">
        <v>579</v>
      </c>
    </row>
    <row r="8" spans="1:8">
      <c r="A8" s="38" t="str">
        <f t="shared" si="0"/>
        <v>01 03 06</v>
      </c>
      <c r="B8" s="41" t="s">
        <v>580</v>
      </c>
      <c r="C8" s="42" t="s">
        <v>581</v>
      </c>
    </row>
    <row r="9" spans="1:8">
      <c r="A9" s="38" t="str">
        <f t="shared" si="0"/>
        <v>01 03 07*</v>
      </c>
      <c r="B9" s="41" t="s">
        <v>582</v>
      </c>
      <c r="C9" s="42" t="s">
        <v>583</v>
      </c>
    </row>
    <row r="10" spans="1:8">
      <c r="A10" s="38" t="str">
        <f t="shared" si="0"/>
        <v>01 03 08</v>
      </c>
      <c r="B10" s="41" t="s">
        <v>584</v>
      </c>
      <c r="C10" s="42" t="s">
        <v>585</v>
      </c>
    </row>
    <row r="11" spans="1:8">
      <c r="A11" s="38" t="str">
        <f t="shared" si="0"/>
        <v>01 03 09</v>
      </c>
      <c r="B11" s="41" t="s">
        <v>586</v>
      </c>
      <c r="C11" s="42" t="s">
        <v>587</v>
      </c>
    </row>
    <row r="12" spans="1:8">
      <c r="A12" s="38" t="str">
        <f t="shared" si="0"/>
        <v>01 03 10*</v>
      </c>
      <c r="B12" s="41" t="s">
        <v>588</v>
      </c>
      <c r="C12" s="42" t="s">
        <v>589</v>
      </c>
    </row>
    <row r="13" spans="1:8">
      <c r="A13" s="38" t="str">
        <f t="shared" si="0"/>
        <v>01 03 99</v>
      </c>
      <c r="B13" s="41" t="s">
        <v>590</v>
      </c>
      <c r="C13" s="42" t="s">
        <v>591</v>
      </c>
    </row>
    <row r="14" spans="1:8">
      <c r="A14" s="38" t="str">
        <f t="shared" si="0"/>
        <v/>
      </c>
      <c r="B14" s="42"/>
      <c r="C14" s="42"/>
    </row>
    <row r="15" spans="1:8">
      <c r="A15" s="38" t="str">
        <f t="shared" si="0"/>
        <v>01 04</v>
      </c>
      <c r="B15" s="39" t="s">
        <v>592</v>
      </c>
      <c r="C15" s="40" t="s">
        <v>593</v>
      </c>
    </row>
    <row r="16" spans="1:8">
      <c r="A16" s="38" t="str">
        <f t="shared" si="0"/>
        <v>01 04 07*</v>
      </c>
      <c r="B16" s="41" t="s">
        <v>594</v>
      </c>
      <c r="C16" s="42" t="s">
        <v>595</v>
      </c>
    </row>
    <row r="17" spans="1:3">
      <c r="A17" s="38" t="str">
        <f t="shared" si="0"/>
        <v>01 04 08</v>
      </c>
      <c r="B17" s="41" t="s">
        <v>596</v>
      </c>
      <c r="C17" s="42" t="s">
        <v>597</v>
      </c>
    </row>
    <row r="18" spans="1:3">
      <c r="A18" s="38" t="str">
        <f t="shared" si="0"/>
        <v xml:space="preserve">01 04 09 </v>
      </c>
      <c r="B18" s="41" t="s">
        <v>598</v>
      </c>
      <c r="C18" s="42" t="s">
        <v>599</v>
      </c>
    </row>
    <row r="19" spans="1:3">
      <c r="A19" s="38" t="str">
        <f t="shared" si="0"/>
        <v>01 04 10</v>
      </c>
      <c r="B19" s="41" t="s">
        <v>600</v>
      </c>
      <c r="C19" s="42" t="s">
        <v>601</v>
      </c>
    </row>
    <row r="20" spans="1:3">
      <c r="A20" s="38" t="str">
        <f t="shared" si="0"/>
        <v>01 04 11</v>
      </c>
      <c r="B20" s="41" t="s">
        <v>602</v>
      </c>
      <c r="C20" s="42" t="s">
        <v>603</v>
      </c>
    </row>
    <row r="21" spans="1:3">
      <c r="A21" s="38" t="str">
        <f t="shared" si="0"/>
        <v>01 04 12</v>
      </c>
      <c r="B21" s="41" t="s">
        <v>604</v>
      </c>
      <c r="C21" s="42" t="s">
        <v>605</v>
      </c>
    </row>
    <row r="22" spans="1:3">
      <c r="A22" s="38" t="str">
        <f t="shared" si="0"/>
        <v>01 04 13</v>
      </c>
      <c r="B22" s="41" t="s">
        <v>606</v>
      </c>
      <c r="C22" s="42" t="s">
        <v>607</v>
      </c>
    </row>
    <row r="23" spans="1:3">
      <c r="A23" s="38" t="str">
        <f t="shared" si="0"/>
        <v>01 04 99</v>
      </c>
      <c r="B23" s="41" t="s">
        <v>608</v>
      </c>
      <c r="C23" s="42" t="s">
        <v>609</v>
      </c>
    </row>
    <row r="24" spans="1:3">
      <c r="A24" s="38" t="str">
        <f t="shared" si="0"/>
        <v/>
      </c>
      <c r="B24" s="42"/>
      <c r="C24" s="42"/>
    </row>
    <row r="25" spans="1:3">
      <c r="A25" s="38" t="str">
        <f t="shared" si="0"/>
        <v>01 05</v>
      </c>
      <c r="B25" s="39" t="s">
        <v>610</v>
      </c>
      <c r="C25" s="40" t="s">
        <v>611</v>
      </c>
    </row>
    <row r="26" spans="1:3">
      <c r="A26" s="38" t="str">
        <f t="shared" si="0"/>
        <v>01 05 04</v>
      </c>
      <c r="B26" s="41" t="s">
        <v>612</v>
      </c>
      <c r="C26" s="42" t="s">
        <v>613</v>
      </c>
    </row>
    <row r="27" spans="1:3">
      <c r="A27" s="38" t="str">
        <f t="shared" si="0"/>
        <v>01 05 05*</v>
      </c>
      <c r="B27" s="41" t="s">
        <v>614</v>
      </c>
      <c r="C27" s="42" t="s">
        <v>615</v>
      </c>
    </row>
    <row r="28" spans="1:3">
      <c r="A28" s="38" t="str">
        <f t="shared" si="0"/>
        <v>01 05 06*</v>
      </c>
      <c r="B28" s="41" t="s">
        <v>616</v>
      </c>
      <c r="C28" s="42" t="s">
        <v>617</v>
      </c>
    </row>
    <row r="29" spans="1:3">
      <c r="A29" s="38" t="str">
        <f t="shared" si="0"/>
        <v>01 05 07</v>
      </c>
      <c r="B29" s="41" t="s">
        <v>618</v>
      </c>
      <c r="C29" s="42" t="s">
        <v>619</v>
      </c>
    </row>
    <row r="30" spans="1:3">
      <c r="A30" s="38" t="str">
        <f t="shared" si="0"/>
        <v>01 05 08</v>
      </c>
      <c r="B30" s="41" t="s">
        <v>620</v>
      </c>
      <c r="C30" s="42" t="s">
        <v>621</v>
      </c>
    </row>
    <row r="31" spans="1:3">
      <c r="A31" s="38" t="str">
        <f t="shared" si="0"/>
        <v>01 05 99</v>
      </c>
      <c r="B31" s="41" t="s">
        <v>622</v>
      </c>
      <c r="C31" s="42" t="s">
        <v>591</v>
      </c>
    </row>
    <row r="32" spans="1:3">
      <c r="A32" s="38" t="str">
        <f t="shared" si="0"/>
        <v/>
      </c>
      <c r="B32" s="42"/>
      <c r="C32" s="42"/>
    </row>
    <row r="33" spans="1:3">
      <c r="A33" s="38" t="str">
        <f t="shared" si="0"/>
        <v>02 Déchets provenant de l'agriculture, de l'horticulture, de l'aquaculture, de la sylviculture, de la chasse et de la pêche ainsi que de la préparation et de la transformation des aliments ;</v>
      </c>
      <c r="B33" s="40" t="s">
        <v>623</v>
      </c>
      <c r="C33" s="42"/>
    </row>
    <row r="34" spans="1:3">
      <c r="A34" s="38" t="str">
        <f t="shared" si="0"/>
        <v/>
      </c>
      <c r="B34" s="42"/>
      <c r="C34" s="42"/>
    </row>
    <row r="35" spans="1:3">
      <c r="A35" s="38" t="str">
        <f t="shared" si="0"/>
        <v>02 01</v>
      </c>
      <c r="B35" s="39" t="s">
        <v>624</v>
      </c>
      <c r="C35" s="40" t="s">
        <v>625</v>
      </c>
    </row>
    <row r="36" spans="1:3">
      <c r="A36" s="38" t="str">
        <f t="shared" si="0"/>
        <v>02 01 01</v>
      </c>
      <c r="B36" s="41" t="s">
        <v>626</v>
      </c>
      <c r="C36" s="42" t="s">
        <v>627</v>
      </c>
    </row>
    <row r="37" spans="1:3">
      <c r="A37" s="38" t="str">
        <f t="shared" si="0"/>
        <v>02 01 02</v>
      </c>
      <c r="B37" s="41" t="s">
        <v>628</v>
      </c>
      <c r="C37" s="42" t="s">
        <v>629</v>
      </c>
    </row>
    <row r="38" spans="1:3">
      <c r="A38" s="38" t="str">
        <f t="shared" si="0"/>
        <v>02 01 03</v>
      </c>
      <c r="B38" s="41" t="s">
        <v>630</v>
      </c>
      <c r="C38" s="42" t="s">
        <v>631</v>
      </c>
    </row>
    <row r="39" spans="1:3">
      <c r="A39" s="38" t="str">
        <f t="shared" si="0"/>
        <v>02 01 04</v>
      </c>
      <c r="B39" s="41" t="s">
        <v>632</v>
      </c>
      <c r="C39" s="42" t="s">
        <v>633</v>
      </c>
    </row>
    <row r="40" spans="1:3">
      <c r="A40" s="38" t="str">
        <f t="shared" si="0"/>
        <v>02 01 06</v>
      </c>
      <c r="B40" s="41" t="s">
        <v>634</v>
      </c>
      <c r="C40" s="42" t="s">
        <v>635</v>
      </c>
    </row>
    <row r="41" spans="1:3">
      <c r="A41" s="38" t="str">
        <f t="shared" si="0"/>
        <v>02 01 07</v>
      </c>
      <c r="B41" s="41" t="s">
        <v>636</v>
      </c>
      <c r="C41" s="42" t="s">
        <v>637</v>
      </c>
    </row>
    <row r="42" spans="1:3">
      <c r="A42" s="38" t="str">
        <f t="shared" si="0"/>
        <v>02 01 08*</v>
      </c>
      <c r="B42" s="41" t="s">
        <v>638</v>
      </c>
      <c r="C42" s="42" t="s">
        <v>639</v>
      </c>
    </row>
    <row r="43" spans="1:3">
      <c r="A43" s="38" t="str">
        <f t="shared" si="0"/>
        <v>02 01 09</v>
      </c>
      <c r="B43" s="41" t="s">
        <v>640</v>
      </c>
      <c r="C43" s="42" t="s">
        <v>641</v>
      </c>
    </row>
    <row r="44" spans="1:3">
      <c r="A44" s="38" t="str">
        <f t="shared" si="0"/>
        <v>02 01 10</v>
      </c>
      <c r="B44" s="41" t="s">
        <v>642</v>
      </c>
      <c r="C44" s="42" t="s">
        <v>643</v>
      </c>
    </row>
    <row r="45" spans="1:3">
      <c r="A45" s="38" t="str">
        <f t="shared" si="0"/>
        <v>02 01 99</v>
      </c>
      <c r="B45" s="41" t="s">
        <v>644</v>
      </c>
      <c r="C45" s="42" t="s">
        <v>591</v>
      </c>
    </row>
    <row r="46" spans="1:3">
      <c r="A46" s="38" t="str">
        <f t="shared" si="0"/>
        <v/>
      </c>
      <c r="B46" s="42"/>
      <c r="C46" s="42"/>
    </row>
    <row r="47" spans="1:3">
      <c r="A47" s="38" t="str">
        <f t="shared" si="0"/>
        <v>02 02</v>
      </c>
      <c r="B47" s="39" t="s">
        <v>645</v>
      </c>
      <c r="C47" s="40" t="s">
        <v>646</v>
      </c>
    </row>
    <row r="48" spans="1:3">
      <c r="A48" s="38" t="str">
        <f t="shared" si="0"/>
        <v>02 02 01</v>
      </c>
      <c r="B48" s="41" t="s">
        <v>647</v>
      </c>
      <c r="C48" s="42" t="s">
        <v>627</v>
      </c>
    </row>
    <row r="49" spans="1:3">
      <c r="A49" s="38" t="str">
        <f t="shared" si="0"/>
        <v>02 02 02</v>
      </c>
      <c r="B49" s="41" t="s">
        <v>648</v>
      </c>
      <c r="C49" s="42" t="s">
        <v>629</v>
      </c>
    </row>
    <row r="50" spans="1:3">
      <c r="A50" s="38" t="str">
        <f t="shared" si="0"/>
        <v>02 02 03</v>
      </c>
      <c r="B50" s="41" t="s">
        <v>649</v>
      </c>
      <c r="C50" s="42" t="s">
        <v>650</v>
      </c>
    </row>
    <row r="51" spans="1:3">
      <c r="A51" s="38" t="str">
        <f t="shared" si="0"/>
        <v>02 02 04</v>
      </c>
      <c r="B51" s="41" t="s">
        <v>651</v>
      </c>
      <c r="C51" s="42" t="s">
        <v>652</v>
      </c>
    </row>
    <row r="52" spans="1:3">
      <c r="A52" s="38" t="str">
        <f t="shared" si="0"/>
        <v>02 02 99</v>
      </c>
      <c r="B52" s="41" t="s">
        <v>653</v>
      </c>
      <c r="C52" s="42" t="s">
        <v>591</v>
      </c>
    </row>
    <row r="53" spans="1:3">
      <c r="A53" s="38" t="str">
        <f t="shared" si="0"/>
        <v/>
      </c>
      <c r="B53" s="42"/>
      <c r="C53" s="42"/>
    </row>
    <row r="54" spans="1:3">
      <c r="A54" s="38" t="str">
        <f t="shared" si="0"/>
        <v xml:space="preserve">02 03 </v>
      </c>
      <c r="B54" s="39" t="s">
        <v>654</v>
      </c>
      <c r="C54" s="40" t="s">
        <v>655</v>
      </c>
    </row>
    <row r="55" spans="1:3">
      <c r="A55" s="38" t="str">
        <f t="shared" si="0"/>
        <v>02 03 01</v>
      </c>
      <c r="B55" s="41" t="s">
        <v>656</v>
      </c>
      <c r="C55" s="42" t="s">
        <v>657</v>
      </c>
    </row>
    <row r="56" spans="1:3">
      <c r="A56" s="38" t="str">
        <f t="shared" si="0"/>
        <v>02 03 02</v>
      </c>
      <c r="B56" s="41" t="s">
        <v>658</v>
      </c>
      <c r="C56" s="42" t="s">
        <v>659</v>
      </c>
    </row>
    <row r="57" spans="1:3">
      <c r="A57" s="38" t="str">
        <f t="shared" si="0"/>
        <v>02 03 03</v>
      </c>
      <c r="B57" s="41" t="s">
        <v>660</v>
      </c>
      <c r="C57" s="42" t="s">
        <v>661</v>
      </c>
    </row>
    <row r="58" spans="1:3">
      <c r="A58" s="38" t="str">
        <f t="shared" si="0"/>
        <v>02 03 04</v>
      </c>
      <c r="B58" s="41" t="s">
        <v>662</v>
      </c>
      <c r="C58" s="42" t="s">
        <v>650</v>
      </c>
    </row>
    <row r="59" spans="1:3">
      <c r="A59" s="38" t="str">
        <f t="shared" si="0"/>
        <v>02 03 05</v>
      </c>
      <c r="B59" s="41" t="s">
        <v>663</v>
      </c>
      <c r="C59" s="42" t="s">
        <v>652</v>
      </c>
    </row>
    <row r="60" spans="1:3">
      <c r="A60" s="38" t="str">
        <f t="shared" si="0"/>
        <v>02 03 99</v>
      </c>
      <c r="B60" s="41" t="s">
        <v>664</v>
      </c>
      <c r="C60" s="42" t="s">
        <v>591</v>
      </c>
    </row>
    <row r="61" spans="1:3">
      <c r="A61" s="38" t="str">
        <f t="shared" si="0"/>
        <v/>
      </c>
      <c r="B61" s="42"/>
      <c r="C61" s="42"/>
    </row>
    <row r="62" spans="1:3">
      <c r="A62" s="38" t="str">
        <f t="shared" si="0"/>
        <v>02 04</v>
      </c>
      <c r="B62" s="39" t="s">
        <v>665</v>
      </c>
      <c r="C62" s="40" t="s">
        <v>666</v>
      </c>
    </row>
    <row r="63" spans="1:3">
      <c r="A63" s="38" t="str">
        <f t="shared" si="0"/>
        <v>02 04 01</v>
      </c>
      <c r="B63" s="41" t="s">
        <v>667</v>
      </c>
      <c r="C63" s="42" t="s">
        <v>668</v>
      </c>
    </row>
    <row r="64" spans="1:3">
      <c r="A64" s="38" t="str">
        <f t="shared" si="0"/>
        <v>02 04 02</v>
      </c>
      <c r="B64" s="41" t="s">
        <v>669</v>
      </c>
      <c r="C64" s="42" t="s">
        <v>670</v>
      </c>
    </row>
    <row r="65" spans="1:3">
      <c r="A65" s="38" t="str">
        <f t="shared" si="0"/>
        <v>02 04 03</v>
      </c>
      <c r="B65" s="41" t="s">
        <v>671</v>
      </c>
      <c r="C65" s="42" t="s">
        <v>652</v>
      </c>
    </row>
    <row r="66" spans="1:3">
      <c r="A66" s="38" t="str">
        <f t="shared" si="0"/>
        <v>02 04 99</v>
      </c>
      <c r="B66" s="41" t="s">
        <v>672</v>
      </c>
      <c r="C66" s="42" t="s">
        <v>591</v>
      </c>
    </row>
    <row r="67" spans="1:3">
      <c r="A67" s="38" t="str">
        <f t="shared" si="0"/>
        <v/>
      </c>
      <c r="B67" s="42"/>
      <c r="C67" s="42"/>
    </row>
    <row r="68" spans="1:3">
      <c r="A68" s="38" t="str">
        <f t="shared" si="0"/>
        <v>02 05</v>
      </c>
      <c r="B68" s="39" t="s">
        <v>673</v>
      </c>
      <c r="C68" s="40" t="s">
        <v>674</v>
      </c>
    </row>
    <row r="69" spans="1:3">
      <c r="A69" s="38" t="str">
        <f t="shared" si="0"/>
        <v>02 05 01</v>
      </c>
      <c r="B69" s="41" t="s">
        <v>675</v>
      </c>
      <c r="C69" s="42" t="s">
        <v>650</v>
      </c>
    </row>
    <row r="70" spans="1:3">
      <c r="A70" s="38" t="str">
        <f t="shared" si="0"/>
        <v>02 05 02</v>
      </c>
      <c r="B70" s="41" t="s">
        <v>676</v>
      </c>
      <c r="C70" s="42" t="s">
        <v>652</v>
      </c>
    </row>
    <row r="71" spans="1:3">
      <c r="A71" s="38" t="str">
        <f t="shared" si="0"/>
        <v>02 05 99</v>
      </c>
      <c r="B71" s="41" t="s">
        <v>677</v>
      </c>
      <c r="C71" s="42" t="s">
        <v>591</v>
      </c>
    </row>
    <row r="72" spans="1:3">
      <c r="A72" s="38" t="str">
        <f t="shared" si="0"/>
        <v/>
      </c>
      <c r="B72" s="42"/>
      <c r="C72" s="42"/>
    </row>
    <row r="73" spans="1:3">
      <c r="A73" s="38" t="str">
        <f t="shared" si="0"/>
        <v>02 06</v>
      </c>
      <c r="B73" s="39" t="s">
        <v>678</v>
      </c>
      <c r="C73" s="40" t="s">
        <v>679</v>
      </c>
    </row>
    <row r="74" spans="1:3">
      <c r="A74" s="38" t="str">
        <f t="shared" si="0"/>
        <v>02 06 01</v>
      </c>
      <c r="B74" s="41" t="s">
        <v>680</v>
      </c>
      <c r="C74" s="42" t="s">
        <v>650</v>
      </c>
    </row>
    <row r="75" spans="1:3">
      <c r="A75" s="38" t="str">
        <f t="shared" si="0"/>
        <v>02 06 02</v>
      </c>
      <c r="B75" s="41" t="s">
        <v>681</v>
      </c>
      <c r="C75" s="42" t="s">
        <v>659</v>
      </c>
    </row>
    <row r="76" spans="1:3">
      <c r="A76" s="38" t="str">
        <f t="shared" si="0"/>
        <v>02 06 03</v>
      </c>
      <c r="B76" s="41" t="s">
        <v>682</v>
      </c>
      <c r="C76" s="42" t="s">
        <v>652</v>
      </c>
    </row>
    <row r="77" spans="1:3">
      <c r="A77" s="38" t="str">
        <f t="shared" si="0"/>
        <v>02 06 99</v>
      </c>
      <c r="B77" s="41" t="s">
        <v>683</v>
      </c>
      <c r="C77" s="42" t="s">
        <v>591</v>
      </c>
    </row>
    <row r="78" spans="1:3">
      <c r="A78" s="38" t="str">
        <f t="shared" si="0"/>
        <v/>
      </c>
      <c r="B78" s="42"/>
      <c r="C78" s="42"/>
    </row>
    <row r="79" spans="1:3">
      <c r="A79" s="38" t="str">
        <f t="shared" si="0"/>
        <v>02 07</v>
      </c>
      <c r="B79" s="39" t="s">
        <v>684</v>
      </c>
      <c r="C79" s="40" t="s">
        <v>685</v>
      </c>
    </row>
    <row r="80" spans="1:3">
      <c r="A80" s="38" t="str">
        <f t="shared" si="0"/>
        <v>02 07 01</v>
      </c>
      <c r="B80" s="41" t="s">
        <v>686</v>
      </c>
      <c r="C80" s="42" t="s">
        <v>687</v>
      </c>
    </row>
    <row r="81" spans="1:3">
      <c r="A81" s="38" t="str">
        <f t="shared" si="0"/>
        <v>02 07 02</v>
      </c>
      <c r="B81" s="41" t="s">
        <v>688</v>
      </c>
      <c r="C81" s="42" t="s">
        <v>689</v>
      </c>
    </row>
    <row r="82" spans="1:3">
      <c r="A82" s="38" t="str">
        <f t="shared" si="0"/>
        <v>02 07 03</v>
      </c>
      <c r="B82" s="41" t="s">
        <v>690</v>
      </c>
      <c r="C82" s="42" t="s">
        <v>691</v>
      </c>
    </row>
    <row r="83" spans="1:3">
      <c r="A83" s="38" t="str">
        <f t="shared" si="0"/>
        <v>02 07 04</v>
      </c>
      <c r="B83" s="41" t="s">
        <v>692</v>
      </c>
      <c r="C83" s="42" t="s">
        <v>650</v>
      </c>
    </row>
    <row r="84" spans="1:3">
      <c r="A84" s="38" t="str">
        <f t="shared" si="0"/>
        <v>02 07 05</v>
      </c>
      <c r="B84" s="41" t="s">
        <v>693</v>
      </c>
      <c r="C84" s="42" t="s">
        <v>652</v>
      </c>
    </row>
    <row r="85" spans="1:3">
      <c r="A85" s="38" t="str">
        <f t="shared" si="0"/>
        <v>02 07 99</v>
      </c>
      <c r="B85" s="41" t="s">
        <v>694</v>
      </c>
      <c r="C85" s="42" t="s">
        <v>591</v>
      </c>
    </row>
    <row r="86" spans="1:3">
      <c r="A86" s="38" t="str">
        <f t="shared" si="0"/>
        <v/>
      </c>
      <c r="B86" s="42"/>
      <c r="C86" s="42"/>
    </row>
    <row r="87" spans="1:3">
      <c r="A87" s="38" t="str">
        <f t="shared" si="0"/>
        <v>03 Déchets provenant de la transformation du bois et de la production de panneaux et de meubles, de pâte à papier, de papier et de carton :</v>
      </c>
      <c r="B87" s="40" t="s">
        <v>695</v>
      </c>
      <c r="C87" s="42"/>
    </row>
    <row r="88" spans="1:3">
      <c r="A88" s="38" t="str">
        <f t="shared" si="0"/>
        <v/>
      </c>
      <c r="B88" s="42"/>
      <c r="C88" s="42"/>
    </row>
    <row r="89" spans="1:3">
      <c r="A89" s="38" t="str">
        <f t="shared" si="0"/>
        <v>03 01</v>
      </c>
      <c r="B89" s="39" t="s">
        <v>696</v>
      </c>
      <c r="C89" s="40" t="s">
        <v>697</v>
      </c>
    </row>
    <row r="90" spans="1:3">
      <c r="A90" s="38" t="str">
        <f t="shared" si="0"/>
        <v>03 01 01</v>
      </c>
      <c r="B90" s="41" t="s">
        <v>698</v>
      </c>
      <c r="C90" s="42" t="s">
        <v>699</v>
      </c>
    </row>
    <row r="91" spans="1:3">
      <c r="A91" s="38" t="str">
        <f t="shared" si="0"/>
        <v>03 01 04*</v>
      </c>
      <c r="B91" s="41" t="s">
        <v>700</v>
      </c>
      <c r="C91" s="42" t="s">
        <v>701</v>
      </c>
    </row>
    <row r="92" spans="1:3">
      <c r="A92" s="38" t="str">
        <f t="shared" si="0"/>
        <v>03 01 05</v>
      </c>
      <c r="B92" s="41" t="s">
        <v>702</v>
      </c>
      <c r="C92" s="42" t="s">
        <v>703</v>
      </c>
    </row>
    <row r="93" spans="1:3">
      <c r="A93" s="38" t="str">
        <f t="shared" si="0"/>
        <v>03 01 99</v>
      </c>
      <c r="B93" s="41" t="s">
        <v>704</v>
      </c>
      <c r="C93" s="42" t="s">
        <v>591</v>
      </c>
    </row>
    <row r="94" spans="1:3">
      <c r="A94" s="38" t="str">
        <f t="shared" si="0"/>
        <v/>
      </c>
      <c r="B94" s="42"/>
      <c r="C94" s="42"/>
    </row>
    <row r="95" spans="1:3">
      <c r="A95" s="38" t="str">
        <f t="shared" si="0"/>
        <v>03 02</v>
      </c>
      <c r="B95" s="39" t="s">
        <v>705</v>
      </c>
      <c r="C95" s="40" t="s">
        <v>706</v>
      </c>
    </row>
    <row r="96" spans="1:3">
      <c r="A96" s="38" t="str">
        <f t="shared" si="0"/>
        <v>03 02 01*</v>
      </c>
      <c r="B96" s="41" t="s">
        <v>707</v>
      </c>
      <c r="C96" s="42" t="s">
        <v>708</v>
      </c>
    </row>
    <row r="97" spans="1:3">
      <c r="A97" s="38" t="str">
        <f t="shared" si="0"/>
        <v>03 02 02*</v>
      </c>
      <c r="B97" s="41" t="s">
        <v>709</v>
      </c>
      <c r="C97" s="42" t="s">
        <v>710</v>
      </c>
    </row>
    <row r="98" spans="1:3">
      <c r="A98" s="38" t="str">
        <f t="shared" si="0"/>
        <v>03 02 03*</v>
      </c>
      <c r="B98" s="41" t="s">
        <v>711</v>
      </c>
      <c r="C98" s="42" t="s">
        <v>712</v>
      </c>
    </row>
    <row r="99" spans="1:3">
      <c r="A99" s="38" t="str">
        <f t="shared" si="0"/>
        <v>03 02 04*</v>
      </c>
      <c r="B99" s="41" t="s">
        <v>713</v>
      </c>
      <c r="C99" s="42" t="s">
        <v>714</v>
      </c>
    </row>
    <row r="100" spans="1:3">
      <c r="A100" s="38" t="str">
        <f t="shared" si="0"/>
        <v>03 02 05*</v>
      </c>
      <c r="B100" s="41" t="s">
        <v>715</v>
      </c>
      <c r="C100" s="42" t="s">
        <v>716</v>
      </c>
    </row>
    <row r="101" spans="1:3">
      <c r="A101" s="38" t="str">
        <f t="shared" si="0"/>
        <v>03 02 99</v>
      </c>
      <c r="B101" s="41" t="s">
        <v>717</v>
      </c>
      <c r="C101" s="42" t="s">
        <v>718</v>
      </c>
    </row>
    <row r="102" spans="1:3">
      <c r="A102" s="38" t="str">
        <f t="shared" si="0"/>
        <v/>
      </c>
      <c r="B102" s="42"/>
      <c r="C102" s="42"/>
    </row>
    <row r="103" spans="1:3">
      <c r="A103" s="38" t="str">
        <f t="shared" si="0"/>
        <v>03 03</v>
      </c>
      <c r="B103" s="39" t="s">
        <v>719</v>
      </c>
      <c r="C103" s="40" t="s">
        <v>720</v>
      </c>
    </row>
    <row r="104" spans="1:3">
      <c r="A104" s="38" t="str">
        <f t="shared" si="0"/>
        <v>03 03 01</v>
      </c>
      <c r="B104" s="41" t="s">
        <v>721</v>
      </c>
      <c r="C104" s="42" t="s">
        <v>722</v>
      </c>
    </row>
    <row r="105" spans="1:3">
      <c r="A105" s="38" t="str">
        <f t="shared" si="0"/>
        <v>03 03 02</v>
      </c>
      <c r="B105" s="41" t="s">
        <v>723</v>
      </c>
      <c r="C105" s="42" t="s">
        <v>724</v>
      </c>
    </row>
    <row r="106" spans="1:3">
      <c r="A106" s="38" t="str">
        <f t="shared" si="0"/>
        <v>03 03 05</v>
      </c>
      <c r="B106" s="41" t="s">
        <v>725</v>
      </c>
      <c r="C106" s="42" t="s">
        <v>726</v>
      </c>
    </row>
    <row r="107" spans="1:3">
      <c r="A107" s="38" t="str">
        <f t="shared" si="0"/>
        <v>03 03 07</v>
      </c>
      <c r="B107" s="41" t="s">
        <v>727</v>
      </c>
      <c r="C107" s="42" t="s">
        <v>728</v>
      </c>
    </row>
    <row r="108" spans="1:3">
      <c r="A108" s="38" t="str">
        <f t="shared" si="0"/>
        <v>03 03 08</v>
      </c>
      <c r="B108" s="41" t="s">
        <v>729</v>
      </c>
      <c r="C108" s="42" t="s">
        <v>730</v>
      </c>
    </row>
    <row r="109" spans="1:3">
      <c r="A109" s="38" t="str">
        <f t="shared" si="0"/>
        <v>03 03 09</v>
      </c>
      <c r="B109" s="41" t="s">
        <v>731</v>
      </c>
      <c r="C109" s="42" t="s">
        <v>732</v>
      </c>
    </row>
    <row r="110" spans="1:3">
      <c r="A110" s="38" t="str">
        <f t="shared" si="0"/>
        <v>03 03 10</v>
      </c>
      <c r="B110" s="41" t="s">
        <v>733</v>
      </c>
      <c r="C110" s="42" t="s">
        <v>734</v>
      </c>
    </row>
    <row r="111" spans="1:3">
      <c r="A111" s="38" t="str">
        <f t="shared" si="0"/>
        <v>03 03 11</v>
      </c>
      <c r="B111" s="41" t="s">
        <v>735</v>
      </c>
      <c r="C111" s="42" t="s">
        <v>736</v>
      </c>
    </row>
    <row r="112" spans="1:3">
      <c r="A112" s="38" t="str">
        <f t="shared" si="0"/>
        <v>03 03 99</v>
      </c>
      <c r="B112" s="41" t="s">
        <v>737</v>
      </c>
      <c r="C112" s="42" t="s">
        <v>591</v>
      </c>
    </row>
    <row r="113" spans="1:3">
      <c r="A113" s="38" t="str">
        <f t="shared" si="0"/>
        <v/>
      </c>
      <c r="B113" s="42"/>
      <c r="C113" s="42"/>
    </row>
    <row r="114" spans="1:3">
      <c r="A114" s="38" t="str">
        <f t="shared" si="0"/>
        <v>04 Déchets provenant des industries du cuir, de la fourrure et du textile :</v>
      </c>
      <c r="B114" s="40" t="s">
        <v>738</v>
      </c>
      <c r="C114" s="42"/>
    </row>
    <row r="115" spans="1:3">
      <c r="A115" s="38" t="str">
        <f t="shared" si="0"/>
        <v/>
      </c>
      <c r="B115" s="42"/>
      <c r="C115" s="42"/>
    </row>
    <row r="116" spans="1:3">
      <c r="A116" s="38" t="str">
        <f t="shared" si="0"/>
        <v>04 01</v>
      </c>
      <c r="B116" s="39" t="s">
        <v>739</v>
      </c>
      <c r="C116" s="40" t="s">
        <v>740</v>
      </c>
    </row>
    <row r="117" spans="1:3">
      <c r="A117" s="38" t="str">
        <f t="shared" si="0"/>
        <v>04 01 01</v>
      </c>
      <c r="B117" s="41" t="s">
        <v>741</v>
      </c>
      <c r="C117" s="42" t="s">
        <v>742</v>
      </c>
    </row>
    <row r="118" spans="1:3">
      <c r="A118" s="38" t="str">
        <f t="shared" si="0"/>
        <v>04 01 02</v>
      </c>
      <c r="B118" s="41" t="s">
        <v>743</v>
      </c>
      <c r="C118" s="42" t="s">
        <v>744</v>
      </c>
    </row>
    <row r="119" spans="1:3">
      <c r="A119" s="38" t="str">
        <f t="shared" si="0"/>
        <v>04 01 03*</v>
      </c>
      <c r="B119" s="41" t="s">
        <v>745</v>
      </c>
      <c r="C119" s="42" t="s">
        <v>746</v>
      </c>
    </row>
    <row r="120" spans="1:3">
      <c r="A120" s="38" t="str">
        <f t="shared" si="0"/>
        <v>04 01 04</v>
      </c>
      <c r="B120" s="41" t="s">
        <v>747</v>
      </c>
      <c r="C120" s="42" t="s">
        <v>748</v>
      </c>
    </row>
    <row r="121" spans="1:3">
      <c r="A121" s="38" t="str">
        <f t="shared" si="0"/>
        <v>04 01 05</v>
      </c>
      <c r="B121" s="41" t="s">
        <v>749</v>
      </c>
      <c r="C121" s="42" t="s">
        <v>750</v>
      </c>
    </row>
    <row r="122" spans="1:3">
      <c r="A122" s="38" t="str">
        <f t="shared" si="0"/>
        <v>04 01 06</v>
      </c>
      <c r="B122" s="41" t="s">
        <v>751</v>
      </c>
      <c r="C122" s="42" t="s">
        <v>752</v>
      </c>
    </row>
    <row r="123" spans="1:3">
      <c r="A123" s="38" t="str">
        <f t="shared" si="0"/>
        <v>04 01 07</v>
      </c>
      <c r="B123" s="41" t="s">
        <v>753</v>
      </c>
      <c r="C123" s="42" t="s">
        <v>754</v>
      </c>
    </row>
    <row r="124" spans="1:3">
      <c r="A124" s="38" t="str">
        <f t="shared" si="0"/>
        <v>04 01 08</v>
      </c>
      <c r="B124" s="41" t="s">
        <v>755</v>
      </c>
      <c r="C124" s="42" t="s">
        <v>756</v>
      </c>
    </row>
    <row r="125" spans="1:3">
      <c r="A125" s="38" t="str">
        <f t="shared" si="0"/>
        <v>04 01 09</v>
      </c>
      <c r="B125" s="41" t="s">
        <v>757</v>
      </c>
      <c r="C125" s="42" t="s">
        <v>758</v>
      </c>
    </row>
    <row r="126" spans="1:3">
      <c r="A126" s="38" t="str">
        <f t="shared" si="0"/>
        <v>04 01 99</v>
      </c>
      <c r="B126" s="41" t="s">
        <v>759</v>
      </c>
      <c r="C126" s="42" t="s">
        <v>591</v>
      </c>
    </row>
    <row r="127" spans="1:3">
      <c r="A127" s="38" t="str">
        <f t="shared" si="0"/>
        <v/>
      </c>
      <c r="B127" s="42"/>
      <c r="C127" s="42"/>
    </row>
    <row r="128" spans="1:3">
      <c r="A128" s="38" t="str">
        <f t="shared" si="0"/>
        <v>04 02</v>
      </c>
      <c r="B128" s="39" t="s">
        <v>760</v>
      </c>
      <c r="C128" s="40" t="s">
        <v>761</v>
      </c>
    </row>
    <row r="129" spans="1:3">
      <c r="A129" s="38" t="str">
        <f t="shared" si="0"/>
        <v>04 02 09</v>
      </c>
      <c r="B129" s="41" t="s">
        <v>762</v>
      </c>
      <c r="C129" s="42" t="s">
        <v>763</v>
      </c>
    </row>
    <row r="130" spans="1:3">
      <c r="A130" s="38" t="str">
        <f t="shared" si="0"/>
        <v>04 02 10</v>
      </c>
      <c r="B130" s="41" t="s">
        <v>764</v>
      </c>
      <c r="C130" s="42" t="s">
        <v>765</v>
      </c>
    </row>
    <row r="131" spans="1:3">
      <c r="A131" s="38" t="str">
        <f t="shared" si="0"/>
        <v>04 02 14*</v>
      </c>
      <c r="B131" s="41" t="s">
        <v>766</v>
      </c>
      <c r="C131" s="42" t="s">
        <v>767</v>
      </c>
    </row>
    <row r="132" spans="1:3">
      <c r="A132" s="38" t="str">
        <f t="shared" si="0"/>
        <v>04 02 15</v>
      </c>
      <c r="B132" s="41" t="s">
        <v>768</v>
      </c>
      <c r="C132" s="42" t="s">
        <v>769</v>
      </c>
    </row>
    <row r="133" spans="1:3">
      <c r="A133" s="38" t="str">
        <f t="shared" si="0"/>
        <v>04 02 16*</v>
      </c>
      <c r="B133" s="41" t="s">
        <v>770</v>
      </c>
      <c r="C133" s="42" t="s">
        <v>771</v>
      </c>
    </row>
    <row r="134" spans="1:3">
      <c r="A134" s="38" t="str">
        <f t="shared" si="0"/>
        <v>04 02 17</v>
      </c>
      <c r="B134" s="41" t="s">
        <v>772</v>
      </c>
      <c r="C134" s="42" t="s">
        <v>773</v>
      </c>
    </row>
    <row r="135" spans="1:3">
      <c r="A135" s="38" t="str">
        <f t="shared" si="0"/>
        <v>04 02 19*</v>
      </c>
      <c r="B135" s="41" t="s">
        <v>774</v>
      </c>
      <c r="C135" s="42" t="s">
        <v>775</v>
      </c>
    </row>
    <row r="136" spans="1:3">
      <c r="A136" s="38" t="str">
        <f t="shared" si="0"/>
        <v>04 02 20</v>
      </c>
      <c r="B136" s="41" t="s">
        <v>776</v>
      </c>
      <c r="C136" s="42" t="s">
        <v>777</v>
      </c>
    </row>
    <row r="137" spans="1:3">
      <c r="A137" s="38" t="str">
        <f t="shared" si="0"/>
        <v>04 02 21</v>
      </c>
      <c r="B137" s="41" t="s">
        <v>778</v>
      </c>
      <c r="C137" s="42" t="s">
        <v>779</v>
      </c>
    </row>
    <row r="138" spans="1:3">
      <c r="A138" s="38" t="str">
        <f t="shared" si="0"/>
        <v>04 02 22</v>
      </c>
      <c r="B138" s="41" t="s">
        <v>780</v>
      </c>
      <c r="C138" s="42" t="s">
        <v>781</v>
      </c>
    </row>
    <row r="139" spans="1:3">
      <c r="A139" s="38" t="str">
        <f t="shared" si="0"/>
        <v>04 02 99</v>
      </c>
      <c r="B139" s="41" t="s">
        <v>782</v>
      </c>
      <c r="C139" s="42" t="s">
        <v>591</v>
      </c>
    </row>
    <row r="140" spans="1:3">
      <c r="A140" s="38" t="str">
        <f t="shared" si="0"/>
        <v/>
      </c>
      <c r="B140" s="42"/>
      <c r="C140" s="42"/>
    </row>
    <row r="141" spans="1:3">
      <c r="A141" s="38" t="str">
        <f t="shared" si="0"/>
        <v>05 Déchets provenant du raffinage du pétrole, de la purification du gaz naturel et du traitement pyrolytique du charbon :</v>
      </c>
      <c r="B141" s="40" t="s">
        <v>783</v>
      </c>
      <c r="C141" s="42"/>
    </row>
    <row r="142" spans="1:3">
      <c r="A142" s="38" t="str">
        <f t="shared" si="0"/>
        <v/>
      </c>
      <c r="B142" s="42"/>
      <c r="C142" s="42"/>
    </row>
    <row r="143" spans="1:3">
      <c r="A143" s="38" t="str">
        <f t="shared" si="0"/>
        <v>05 01</v>
      </c>
      <c r="B143" s="39" t="s">
        <v>784</v>
      </c>
      <c r="C143" s="40" t="s">
        <v>785</v>
      </c>
    </row>
    <row r="144" spans="1:3">
      <c r="A144" s="38" t="str">
        <f t="shared" si="0"/>
        <v>05 01 02*</v>
      </c>
      <c r="B144" s="41" t="s">
        <v>786</v>
      </c>
      <c r="C144" s="42" t="s">
        <v>787</v>
      </c>
    </row>
    <row r="145" spans="1:3">
      <c r="A145" s="38" t="str">
        <f t="shared" si="0"/>
        <v>05 01 03*</v>
      </c>
      <c r="B145" s="41" t="s">
        <v>788</v>
      </c>
      <c r="C145" s="42" t="s">
        <v>789</v>
      </c>
    </row>
    <row r="146" spans="1:3">
      <c r="A146" s="38" t="str">
        <f t="shared" si="0"/>
        <v>05 01 04*</v>
      </c>
      <c r="B146" s="41" t="s">
        <v>790</v>
      </c>
      <c r="C146" s="42" t="s">
        <v>791</v>
      </c>
    </row>
    <row r="147" spans="1:3">
      <c r="A147" s="38" t="str">
        <f t="shared" si="0"/>
        <v>05 01 05*</v>
      </c>
      <c r="B147" s="41" t="s">
        <v>792</v>
      </c>
      <c r="C147" s="42" t="s">
        <v>793</v>
      </c>
    </row>
    <row r="148" spans="1:3">
      <c r="A148" s="38" t="str">
        <f t="shared" si="0"/>
        <v>05 01 06*</v>
      </c>
      <c r="B148" s="41" t="s">
        <v>794</v>
      </c>
      <c r="C148" s="42" t="s">
        <v>795</v>
      </c>
    </row>
    <row r="149" spans="1:3">
      <c r="A149" s="38" t="str">
        <f t="shared" si="0"/>
        <v>05 01 07*</v>
      </c>
      <c r="B149" s="41" t="s">
        <v>796</v>
      </c>
      <c r="C149" s="42" t="s">
        <v>797</v>
      </c>
    </row>
    <row r="150" spans="1:3">
      <c r="A150" s="38" t="str">
        <f t="shared" si="0"/>
        <v>05 01 08*</v>
      </c>
      <c r="B150" s="41" t="s">
        <v>798</v>
      </c>
      <c r="C150" s="42" t="s">
        <v>799</v>
      </c>
    </row>
    <row r="151" spans="1:3">
      <c r="A151" s="38" t="str">
        <f t="shared" si="0"/>
        <v>05 01 09*</v>
      </c>
      <c r="B151" s="41" t="s">
        <v>800</v>
      </c>
      <c r="C151" s="42" t="s">
        <v>775</v>
      </c>
    </row>
    <row r="152" spans="1:3">
      <c r="A152" s="38" t="str">
        <f t="shared" si="0"/>
        <v>05 01 10</v>
      </c>
      <c r="B152" s="41" t="s">
        <v>801</v>
      </c>
      <c r="C152" s="42" t="s">
        <v>802</v>
      </c>
    </row>
    <row r="153" spans="1:3">
      <c r="A153" s="38" t="str">
        <f t="shared" si="0"/>
        <v>05 01 11*</v>
      </c>
      <c r="B153" s="41" t="s">
        <v>803</v>
      </c>
      <c r="C153" s="42" t="s">
        <v>804</v>
      </c>
    </row>
    <row r="154" spans="1:3">
      <c r="A154" s="38" t="str">
        <f t="shared" si="0"/>
        <v>05 01 12*</v>
      </c>
      <c r="B154" s="41" t="s">
        <v>805</v>
      </c>
      <c r="C154" s="42" t="s">
        <v>806</v>
      </c>
    </row>
    <row r="155" spans="1:3">
      <c r="A155" s="38" t="str">
        <f t="shared" si="0"/>
        <v>05 01 13</v>
      </c>
      <c r="B155" s="41" t="s">
        <v>807</v>
      </c>
      <c r="C155" s="42" t="s">
        <v>808</v>
      </c>
    </row>
    <row r="156" spans="1:3">
      <c r="A156" s="38" t="str">
        <f t="shared" si="0"/>
        <v>05 01 14</v>
      </c>
      <c r="B156" s="41" t="s">
        <v>809</v>
      </c>
      <c r="C156" s="42" t="s">
        <v>810</v>
      </c>
    </row>
    <row r="157" spans="1:3">
      <c r="A157" s="38" t="str">
        <f t="shared" si="0"/>
        <v>05 01 15*</v>
      </c>
      <c r="B157" s="41" t="s">
        <v>811</v>
      </c>
      <c r="C157" s="42" t="s">
        <v>812</v>
      </c>
    </row>
    <row r="158" spans="1:3">
      <c r="A158" s="38" t="str">
        <f t="shared" si="0"/>
        <v>05 01 16</v>
      </c>
      <c r="B158" s="41" t="s">
        <v>813</v>
      </c>
      <c r="C158" s="42" t="s">
        <v>814</v>
      </c>
    </row>
    <row r="159" spans="1:3">
      <c r="A159" s="38" t="str">
        <f t="shared" si="0"/>
        <v>05 01 17</v>
      </c>
      <c r="B159" s="41" t="s">
        <v>815</v>
      </c>
      <c r="C159" s="42" t="s">
        <v>816</v>
      </c>
    </row>
    <row r="160" spans="1:3">
      <c r="A160" s="38" t="str">
        <f t="shared" si="0"/>
        <v>05 01 99</v>
      </c>
      <c r="B160" s="41" t="s">
        <v>817</v>
      </c>
      <c r="C160" s="42" t="s">
        <v>591</v>
      </c>
    </row>
    <row r="161" spans="1:3">
      <c r="A161" s="38" t="str">
        <f t="shared" si="0"/>
        <v/>
      </c>
      <c r="B161" s="42"/>
      <c r="C161" s="42"/>
    </row>
    <row r="162" spans="1:3">
      <c r="A162" s="38" t="str">
        <f t="shared" si="0"/>
        <v>05 06</v>
      </c>
      <c r="B162" s="39" t="s">
        <v>818</v>
      </c>
      <c r="C162" s="40" t="s">
        <v>819</v>
      </c>
    </row>
    <row r="163" spans="1:3">
      <c r="A163" s="38" t="str">
        <f t="shared" si="0"/>
        <v>05 06 01*</v>
      </c>
      <c r="B163" s="41" t="s">
        <v>820</v>
      </c>
      <c r="C163" s="42" t="s">
        <v>797</v>
      </c>
    </row>
    <row r="164" spans="1:3">
      <c r="A164" s="38" t="str">
        <f t="shared" si="0"/>
        <v>05 06 03*</v>
      </c>
      <c r="B164" s="41" t="s">
        <v>821</v>
      </c>
      <c r="C164" s="42" t="s">
        <v>799</v>
      </c>
    </row>
    <row r="165" spans="1:3">
      <c r="A165" s="38" t="str">
        <f t="shared" si="0"/>
        <v>05 06 04</v>
      </c>
      <c r="B165" s="41" t="s">
        <v>822</v>
      </c>
      <c r="C165" s="42" t="s">
        <v>810</v>
      </c>
    </row>
    <row r="166" spans="1:3">
      <c r="A166" s="38" t="str">
        <f t="shared" si="0"/>
        <v>05 06 99</v>
      </c>
      <c r="B166" s="41" t="s">
        <v>823</v>
      </c>
      <c r="C166" s="42" t="s">
        <v>591</v>
      </c>
    </row>
    <row r="167" spans="1:3">
      <c r="A167" s="38" t="str">
        <f t="shared" si="0"/>
        <v/>
      </c>
      <c r="B167" s="42"/>
      <c r="C167" s="42"/>
    </row>
    <row r="168" spans="1:3">
      <c r="A168" s="38" t="str">
        <f t="shared" si="0"/>
        <v>05 07</v>
      </c>
      <c r="B168" s="39" t="s">
        <v>824</v>
      </c>
      <c r="C168" s="40" t="s">
        <v>825</v>
      </c>
    </row>
    <row r="169" spans="1:3">
      <c r="A169" s="38" t="str">
        <f t="shared" si="0"/>
        <v>05 07 01*</v>
      </c>
      <c r="B169" s="41" t="s">
        <v>826</v>
      </c>
      <c r="C169" s="42" t="s">
        <v>827</v>
      </c>
    </row>
    <row r="170" spans="1:3">
      <c r="A170" s="38" t="str">
        <f t="shared" si="0"/>
        <v>05 07 02</v>
      </c>
      <c r="B170" s="41" t="s">
        <v>828</v>
      </c>
      <c r="C170" s="42" t="s">
        <v>829</v>
      </c>
    </row>
    <row r="171" spans="1:3">
      <c r="A171" s="38" t="str">
        <f t="shared" si="0"/>
        <v>05 07 99</v>
      </c>
      <c r="B171" s="41" t="s">
        <v>830</v>
      </c>
      <c r="C171" s="42" t="s">
        <v>591</v>
      </c>
    </row>
    <row r="172" spans="1:3">
      <c r="A172" s="38" t="str">
        <f t="shared" si="0"/>
        <v/>
      </c>
      <c r="B172" s="42"/>
      <c r="C172" s="42"/>
    </row>
    <row r="173" spans="1:3">
      <c r="A173" s="38" t="str">
        <f t="shared" si="0"/>
        <v>06 Déchets des procédés de la chimie minérale :</v>
      </c>
      <c r="B173" s="40" t="s">
        <v>831</v>
      </c>
      <c r="C173" s="42"/>
    </row>
    <row r="174" spans="1:3">
      <c r="A174" s="38" t="str">
        <f t="shared" si="0"/>
        <v/>
      </c>
      <c r="B174" s="42"/>
      <c r="C174" s="42"/>
    </row>
    <row r="175" spans="1:3">
      <c r="A175" s="38" t="str">
        <f t="shared" si="0"/>
        <v>06 01</v>
      </c>
      <c r="B175" s="39" t="s">
        <v>832</v>
      </c>
      <c r="C175" s="40" t="s">
        <v>833</v>
      </c>
    </row>
    <row r="176" spans="1:3">
      <c r="A176" s="38" t="str">
        <f t="shared" si="0"/>
        <v>06 01 01*</v>
      </c>
      <c r="B176" s="41" t="s">
        <v>834</v>
      </c>
      <c r="C176" s="42" t="s">
        <v>835</v>
      </c>
    </row>
    <row r="177" spans="1:3">
      <c r="A177" s="38" t="str">
        <f t="shared" si="0"/>
        <v>06 01 02*</v>
      </c>
      <c r="B177" s="41" t="s">
        <v>836</v>
      </c>
      <c r="C177" s="42" t="s">
        <v>101</v>
      </c>
    </row>
    <row r="178" spans="1:3">
      <c r="A178" s="38" t="str">
        <f t="shared" si="0"/>
        <v>06 01 03*</v>
      </c>
      <c r="B178" s="41" t="s">
        <v>837</v>
      </c>
      <c r="C178" s="42" t="s">
        <v>838</v>
      </c>
    </row>
    <row r="179" spans="1:3">
      <c r="A179" s="38" t="str">
        <f t="shared" si="0"/>
        <v>06 01 04*</v>
      </c>
      <c r="B179" s="41" t="s">
        <v>839</v>
      </c>
      <c r="C179" s="42" t="s">
        <v>840</v>
      </c>
    </row>
    <row r="180" spans="1:3">
      <c r="A180" s="38" t="str">
        <f t="shared" si="0"/>
        <v>06 01 05*</v>
      </c>
      <c r="B180" s="41" t="s">
        <v>841</v>
      </c>
      <c r="C180" s="42" t="s">
        <v>842</v>
      </c>
    </row>
    <row r="181" spans="1:3">
      <c r="A181" s="38" t="str">
        <f t="shared" si="0"/>
        <v>06 01 06*</v>
      </c>
      <c r="B181" s="41" t="s">
        <v>843</v>
      </c>
      <c r="C181" s="42" t="s">
        <v>844</v>
      </c>
    </row>
    <row r="182" spans="1:3">
      <c r="A182" s="38" t="str">
        <f t="shared" si="0"/>
        <v>06 01 99</v>
      </c>
      <c r="B182" s="41" t="s">
        <v>845</v>
      </c>
      <c r="C182" s="42" t="s">
        <v>591</v>
      </c>
    </row>
    <row r="183" spans="1:3">
      <c r="A183" s="38" t="str">
        <f t="shared" si="0"/>
        <v/>
      </c>
      <c r="B183" s="42"/>
      <c r="C183" s="42"/>
    </row>
    <row r="184" spans="1:3">
      <c r="A184" s="38" t="str">
        <f t="shared" si="0"/>
        <v>06 02</v>
      </c>
      <c r="B184" s="39" t="s">
        <v>846</v>
      </c>
      <c r="C184" s="40" t="s">
        <v>847</v>
      </c>
    </row>
    <row r="185" spans="1:3">
      <c r="A185" s="38" t="str">
        <f t="shared" si="0"/>
        <v>06 02 01*</v>
      </c>
      <c r="B185" s="41" t="s">
        <v>848</v>
      </c>
      <c r="C185" s="42" t="s">
        <v>849</v>
      </c>
    </row>
    <row r="186" spans="1:3">
      <c r="A186" s="38" t="str">
        <f t="shared" si="0"/>
        <v>06 02 03*</v>
      </c>
      <c r="B186" s="41" t="s">
        <v>850</v>
      </c>
      <c r="C186" s="42" t="s">
        <v>851</v>
      </c>
    </row>
    <row r="187" spans="1:3">
      <c r="A187" s="38" t="str">
        <f t="shared" si="0"/>
        <v>06 02 04*</v>
      </c>
      <c r="B187" s="41" t="s">
        <v>852</v>
      </c>
      <c r="C187" s="42" t="s">
        <v>853</v>
      </c>
    </row>
    <row r="188" spans="1:3">
      <c r="A188" s="38" t="str">
        <f t="shared" si="0"/>
        <v>06 02 05*</v>
      </c>
      <c r="B188" s="41" t="s">
        <v>854</v>
      </c>
      <c r="C188" s="42" t="s">
        <v>855</v>
      </c>
    </row>
    <row r="189" spans="1:3">
      <c r="A189" s="38" t="str">
        <f t="shared" si="0"/>
        <v>06 02 99</v>
      </c>
      <c r="B189" s="41" t="s">
        <v>856</v>
      </c>
      <c r="C189" s="42" t="s">
        <v>591</v>
      </c>
    </row>
    <row r="190" spans="1:3">
      <c r="A190" s="38" t="str">
        <f t="shared" si="0"/>
        <v/>
      </c>
      <c r="B190" s="42"/>
      <c r="C190" s="42"/>
    </row>
    <row r="191" spans="1:3">
      <c r="A191" s="38" t="str">
        <f t="shared" si="0"/>
        <v>06 03</v>
      </c>
      <c r="B191" s="39" t="s">
        <v>857</v>
      </c>
      <c r="C191" s="40" t="s">
        <v>858</v>
      </c>
    </row>
    <row r="192" spans="1:3">
      <c r="A192" s="38" t="str">
        <f t="shared" si="0"/>
        <v>06 03 11*</v>
      </c>
      <c r="B192" s="41" t="s">
        <v>859</v>
      </c>
      <c r="C192" s="42" t="s">
        <v>860</v>
      </c>
    </row>
    <row r="193" spans="1:3">
      <c r="A193" s="38" t="str">
        <f t="shared" si="0"/>
        <v>06 03 13*</v>
      </c>
      <c r="B193" s="41" t="s">
        <v>861</v>
      </c>
      <c r="C193" s="42" t="s">
        <v>862</v>
      </c>
    </row>
    <row r="194" spans="1:3">
      <c r="A194" s="38" t="str">
        <f t="shared" si="0"/>
        <v>06 03 14</v>
      </c>
      <c r="B194" s="41" t="s">
        <v>863</v>
      </c>
      <c r="C194" s="42" t="s">
        <v>864</v>
      </c>
    </row>
    <row r="195" spans="1:3">
      <c r="A195" s="38" t="str">
        <f t="shared" si="0"/>
        <v>06 03 15*</v>
      </c>
      <c r="B195" s="41" t="s">
        <v>865</v>
      </c>
      <c r="C195" s="42" t="s">
        <v>866</v>
      </c>
    </row>
    <row r="196" spans="1:3">
      <c r="A196" s="38" t="str">
        <f t="shared" si="0"/>
        <v>06 03 16</v>
      </c>
      <c r="B196" s="41" t="s">
        <v>867</v>
      </c>
      <c r="C196" s="42" t="s">
        <v>868</v>
      </c>
    </row>
    <row r="197" spans="1:3">
      <c r="A197" s="38" t="str">
        <f t="shared" si="0"/>
        <v>06 03 99</v>
      </c>
      <c r="B197" s="41" t="s">
        <v>869</v>
      </c>
      <c r="C197" s="42" t="s">
        <v>591</v>
      </c>
    </row>
    <row r="198" spans="1:3">
      <c r="A198" s="38" t="str">
        <f t="shared" si="0"/>
        <v/>
      </c>
      <c r="B198" s="42"/>
      <c r="C198" s="42"/>
    </row>
    <row r="199" spans="1:3">
      <c r="A199" s="38" t="str">
        <f t="shared" si="0"/>
        <v>06 04</v>
      </c>
      <c r="B199" s="39" t="s">
        <v>870</v>
      </c>
      <c r="C199" s="40" t="s">
        <v>871</v>
      </c>
    </row>
    <row r="200" spans="1:3">
      <c r="A200" s="38" t="str">
        <f t="shared" si="0"/>
        <v>06 04 03*</v>
      </c>
      <c r="B200" s="41" t="s">
        <v>872</v>
      </c>
      <c r="C200" s="42" t="s">
        <v>873</v>
      </c>
    </row>
    <row r="201" spans="1:3">
      <c r="A201" s="38" t="str">
        <f t="shared" si="0"/>
        <v>06 04 04*</v>
      </c>
      <c r="B201" s="41" t="s">
        <v>874</v>
      </c>
      <c r="C201" s="42" t="s">
        <v>827</v>
      </c>
    </row>
    <row r="202" spans="1:3">
      <c r="A202" s="38" t="str">
        <f t="shared" si="0"/>
        <v>06 04 05*</v>
      </c>
      <c r="B202" s="41" t="s">
        <v>875</v>
      </c>
      <c r="C202" s="42" t="s">
        <v>876</v>
      </c>
    </row>
    <row r="203" spans="1:3">
      <c r="A203" s="38" t="str">
        <f t="shared" si="0"/>
        <v>06 04 99</v>
      </c>
      <c r="B203" s="41" t="s">
        <v>877</v>
      </c>
      <c r="C203" s="42" t="s">
        <v>591</v>
      </c>
    </row>
    <row r="204" spans="1:3">
      <c r="A204" s="38" t="str">
        <f t="shared" si="0"/>
        <v/>
      </c>
      <c r="B204" s="42"/>
      <c r="C204" s="42"/>
    </row>
    <row r="205" spans="1:3">
      <c r="A205" s="38" t="str">
        <f t="shared" si="0"/>
        <v>06 05</v>
      </c>
      <c r="B205" s="39" t="s">
        <v>878</v>
      </c>
      <c r="C205" s="40" t="s">
        <v>879</v>
      </c>
    </row>
    <row r="206" spans="1:3">
      <c r="A206" s="38" t="str">
        <f t="shared" si="0"/>
        <v>06 05 02*</v>
      </c>
      <c r="B206" s="41" t="s">
        <v>880</v>
      </c>
      <c r="C206" s="42" t="s">
        <v>775</v>
      </c>
    </row>
    <row r="207" spans="1:3">
      <c r="A207" s="38" t="str">
        <f t="shared" si="0"/>
        <v>06 05 03</v>
      </c>
      <c r="B207" s="41" t="s">
        <v>881</v>
      </c>
      <c r="C207" s="42" t="s">
        <v>882</v>
      </c>
    </row>
    <row r="208" spans="1:3">
      <c r="A208" s="38" t="str">
        <f t="shared" si="0"/>
        <v/>
      </c>
      <c r="B208" s="42"/>
      <c r="C208" s="42"/>
    </row>
    <row r="209" spans="1:3">
      <c r="A209" s="38" t="str">
        <f t="shared" si="0"/>
        <v>06 06</v>
      </c>
      <c r="B209" s="39" t="s">
        <v>883</v>
      </c>
      <c r="C209" s="40" t="s">
        <v>884</v>
      </c>
    </row>
    <row r="210" spans="1:3">
      <c r="A210" s="38" t="str">
        <f t="shared" si="0"/>
        <v>06 06 02*</v>
      </c>
      <c r="B210" s="41" t="s">
        <v>885</v>
      </c>
      <c r="C210" s="42" t="s">
        <v>886</v>
      </c>
    </row>
    <row r="211" spans="1:3">
      <c r="A211" s="38" t="str">
        <f t="shared" si="0"/>
        <v>06 06 03</v>
      </c>
      <c r="B211" s="41" t="s">
        <v>887</v>
      </c>
      <c r="C211" s="42" t="s">
        <v>888</v>
      </c>
    </row>
    <row r="212" spans="1:3">
      <c r="A212" s="38" t="str">
        <f t="shared" si="0"/>
        <v>06 06 99</v>
      </c>
      <c r="B212" s="41" t="s">
        <v>889</v>
      </c>
      <c r="C212" s="42" t="s">
        <v>591</v>
      </c>
    </row>
    <row r="213" spans="1:3">
      <c r="A213" s="38" t="str">
        <f t="shared" si="0"/>
        <v/>
      </c>
      <c r="B213" s="42"/>
      <c r="C213" s="42"/>
    </row>
    <row r="214" spans="1:3">
      <c r="A214" s="38" t="str">
        <f t="shared" si="0"/>
        <v xml:space="preserve">06 07 </v>
      </c>
      <c r="B214" s="39" t="s">
        <v>890</v>
      </c>
      <c r="C214" s="40" t="s">
        <v>891</v>
      </c>
    </row>
    <row r="215" spans="1:3">
      <c r="A215" s="38" t="str">
        <f t="shared" si="0"/>
        <v>06 07 01*</v>
      </c>
      <c r="B215" s="41" t="s">
        <v>892</v>
      </c>
      <c r="C215" s="42" t="s">
        <v>893</v>
      </c>
    </row>
    <row r="216" spans="1:3">
      <c r="A216" s="38" t="str">
        <f t="shared" si="0"/>
        <v>06 07 02*</v>
      </c>
      <c r="B216" s="41" t="s">
        <v>894</v>
      </c>
      <c r="C216" s="42" t="s">
        <v>895</v>
      </c>
    </row>
    <row r="217" spans="1:3">
      <c r="A217" s="38" t="str">
        <f t="shared" si="0"/>
        <v>06 07 03*</v>
      </c>
      <c r="B217" s="41" t="s">
        <v>896</v>
      </c>
      <c r="C217" s="42" t="s">
        <v>897</v>
      </c>
    </row>
    <row r="218" spans="1:3">
      <c r="A218" s="38" t="str">
        <f t="shared" si="0"/>
        <v>06 07 04*</v>
      </c>
      <c r="B218" s="41" t="s">
        <v>898</v>
      </c>
      <c r="C218" s="42" t="s">
        <v>899</v>
      </c>
    </row>
    <row r="219" spans="1:3">
      <c r="A219" s="38" t="str">
        <f t="shared" si="0"/>
        <v>06 07 99</v>
      </c>
      <c r="B219" s="41" t="s">
        <v>900</v>
      </c>
      <c r="C219" s="42" t="s">
        <v>591</v>
      </c>
    </row>
    <row r="220" spans="1:3">
      <c r="A220" s="38" t="str">
        <f t="shared" si="0"/>
        <v/>
      </c>
      <c r="B220" s="42"/>
      <c r="C220" s="42"/>
    </row>
    <row r="221" spans="1:3">
      <c r="A221" s="38" t="str">
        <f t="shared" si="0"/>
        <v>06 08</v>
      </c>
      <c r="B221" s="39" t="s">
        <v>901</v>
      </c>
      <c r="C221" s="40" t="s">
        <v>902</v>
      </c>
    </row>
    <row r="222" spans="1:3">
      <c r="A222" s="38" t="str">
        <f t="shared" si="0"/>
        <v>06 08 02*</v>
      </c>
      <c r="B222" s="41" t="s">
        <v>903</v>
      </c>
      <c r="C222" s="42" t="s">
        <v>904</v>
      </c>
    </row>
    <row r="223" spans="1:3">
      <c r="A223" s="38" t="str">
        <f t="shared" si="0"/>
        <v>06 08 99</v>
      </c>
      <c r="B223" s="41" t="s">
        <v>905</v>
      </c>
      <c r="C223" s="42" t="s">
        <v>591</v>
      </c>
    </row>
    <row r="224" spans="1:3">
      <c r="A224" s="38" t="str">
        <f t="shared" si="0"/>
        <v/>
      </c>
      <c r="B224" s="42"/>
      <c r="C224" s="42"/>
    </row>
    <row r="225" spans="1:3">
      <c r="A225" s="38" t="str">
        <f t="shared" si="0"/>
        <v>06 09</v>
      </c>
      <c r="B225" s="39" t="s">
        <v>906</v>
      </c>
      <c r="C225" s="40" t="s">
        <v>907</v>
      </c>
    </row>
    <row r="226" spans="1:3">
      <c r="A226" s="38" t="str">
        <f t="shared" si="0"/>
        <v>06 09 02</v>
      </c>
      <c r="B226" s="41" t="s">
        <v>908</v>
      </c>
      <c r="C226" s="42" t="s">
        <v>909</v>
      </c>
    </row>
    <row r="227" spans="1:3">
      <c r="A227" s="38" t="str">
        <f t="shared" si="0"/>
        <v>06 09 03*</v>
      </c>
      <c r="B227" s="41" t="s">
        <v>910</v>
      </c>
      <c r="C227" s="42" t="s">
        <v>911</v>
      </c>
    </row>
    <row r="228" spans="1:3">
      <c r="A228" s="38" t="str">
        <f t="shared" si="0"/>
        <v>06 09 04</v>
      </c>
      <c r="B228" s="41" t="s">
        <v>912</v>
      </c>
      <c r="C228" s="42" t="s">
        <v>913</v>
      </c>
    </row>
    <row r="229" spans="1:3">
      <c r="A229" s="38" t="str">
        <f t="shared" si="0"/>
        <v>06 09 99</v>
      </c>
      <c r="B229" s="41" t="s">
        <v>914</v>
      </c>
      <c r="C229" s="42" t="s">
        <v>591</v>
      </c>
    </row>
    <row r="230" spans="1:3">
      <c r="A230" s="38" t="str">
        <f t="shared" si="0"/>
        <v/>
      </c>
      <c r="B230" s="42"/>
      <c r="C230" s="42"/>
    </row>
    <row r="231" spans="1:3">
      <c r="A231" s="38" t="str">
        <f t="shared" si="0"/>
        <v>06 10</v>
      </c>
      <c r="B231" s="39" t="s">
        <v>915</v>
      </c>
      <c r="C231" s="40" t="s">
        <v>916</v>
      </c>
    </row>
    <row r="232" spans="1:3">
      <c r="A232" s="38" t="str">
        <f t="shared" si="0"/>
        <v>06 10 02*</v>
      </c>
      <c r="B232" s="41" t="s">
        <v>917</v>
      </c>
      <c r="C232" s="42" t="s">
        <v>918</v>
      </c>
    </row>
    <row r="233" spans="1:3">
      <c r="A233" s="38" t="str">
        <f t="shared" si="0"/>
        <v>06 10 99</v>
      </c>
      <c r="B233" s="41" t="s">
        <v>919</v>
      </c>
      <c r="C233" s="42" t="s">
        <v>591</v>
      </c>
    </row>
    <row r="234" spans="1:3">
      <c r="A234" s="38" t="str">
        <f t="shared" si="0"/>
        <v/>
      </c>
      <c r="B234" s="42"/>
      <c r="C234" s="42"/>
    </row>
    <row r="235" spans="1:3">
      <c r="A235" s="38" t="str">
        <f t="shared" si="0"/>
        <v>06 11</v>
      </c>
      <c r="B235" s="39" t="s">
        <v>920</v>
      </c>
      <c r="C235" s="40" t="s">
        <v>921</v>
      </c>
    </row>
    <row r="236" spans="1:3">
      <c r="A236" s="38" t="str">
        <f t="shared" si="0"/>
        <v>06 11 01</v>
      </c>
      <c r="B236" s="41" t="s">
        <v>922</v>
      </c>
      <c r="C236" s="42" t="s">
        <v>923</v>
      </c>
    </row>
    <row r="237" spans="1:3">
      <c r="A237" s="38" t="str">
        <f t="shared" si="0"/>
        <v>06 11 99</v>
      </c>
      <c r="B237" s="41" t="s">
        <v>924</v>
      </c>
      <c r="C237" s="42" t="s">
        <v>591</v>
      </c>
    </row>
    <row r="238" spans="1:3">
      <c r="A238" s="38" t="str">
        <f t="shared" si="0"/>
        <v/>
      </c>
      <c r="B238" s="42"/>
      <c r="C238" s="42"/>
    </row>
    <row r="239" spans="1:3">
      <c r="A239" s="38" t="str">
        <f t="shared" si="0"/>
        <v>06 13</v>
      </c>
      <c r="B239" s="39" t="s">
        <v>925</v>
      </c>
      <c r="C239" s="40" t="s">
        <v>926</v>
      </c>
    </row>
    <row r="240" spans="1:3">
      <c r="A240" s="38" t="str">
        <f t="shared" si="0"/>
        <v>06 13 01*</v>
      </c>
      <c r="B240" s="41" t="s">
        <v>927</v>
      </c>
      <c r="C240" s="42" t="s">
        <v>928</v>
      </c>
    </row>
    <row r="241" spans="1:3">
      <c r="A241" s="38" t="str">
        <f t="shared" si="0"/>
        <v>06 13 02*</v>
      </c>
      <c r="B241" s="41" t="s">
        <v>929</v>
      </c>
      <c r="C241" s="42" t="s">
        <v>930</v>
      </c>
    </row>
    <row r="242" spans="1:3">
      <c r="A242" s="38" t="str">
        <f t="shared" si="0"/>
        <v>06 13 03</v>
      </c>
      <c r="B242" s="41" t="s">
        <v>931</v>
      </c>
      <c r="C242" s="42" t="s">
        <v>932</v>
      </c>
    </row>
    <row r="243" spans="1:3">
      <c r="A243" s="38" t="str">
        <f t="shared" si="0"/>
        <v>06 13 04*</v>
      </c>
      <c r="B243" s="41" t="s">
        <v>933</v>
      </c>
      <c r="C243" s="42" t="s">
        <v>934</v>
      </c>
    </row>
    <row r="244" spans="1:3">
      <c r="A244" s="38" t="str">
        <f t="shared" si="0"/>
        <v>06 13 05*</v>
      </c>
      <c r="B244" s="41" t="s">
        <v>935</v>
      </c>
      <c r="C244" s="42" t="s">
        <v>936</v>
      </c>
    </row>
    <row r="245" spans="1:3">
      <c r="A245" s="38" t="str">
        <f t="shared" si="0"/>
        <v>06 13 99</v>
      </c>
      <c r="B245" s="41" t="s">
        <v>937</v>
      </c>
      <c r="C245" s="42" t="s">
        <v>591</v>
      </c>
    </row>
    <row r="246" spans="1:3">
      <c r="A246" s="38" t="str">
        <f t="shared" si="0"/>
        <v/>
      </c>
      <c r="B246" s="42"/>
      <c r="C246" s="42"/>
    </row>
    <row r="247" spans="1:3">
      <c r="A247" s="38" t="str">
        <f t="shared" si="0"/>
        <v>07 Déchets des procédés de la chimie organique :</v>
      </c>
      <c r="B247" s="40" t="s">
        <v>938</v>
      </c>
      <c r="C247" s="42"/>
    </row>
    <row r="248" spans="1:3">
      <c r="A248" s="38" t="str">
        <f t="shared" si="0"/>
        <v/>
      </c>
      <c r="B248" s="42"/>
      <c r="C248" s="42"/>
    </row>
    <row r="249" spans="1:3">
      <c r="A249" s="38" t="str">
        <f t="shared" si="0"/>
        <v>07 01</v>
      </c>
      <c r="B249" s="39" t="s">
        <v>939</v>
      </c>
      <c r="C249" s="40" t="s">
        <v>940</v>
      </c>
    </row>
    <row r="250" spans="1:3">
      <c r="A250" s="38" t="str">
        <f t="shared" si="0"/>
        <v>07 01 01*</v>
      </c>
      <c r="B250" s="41" t="s">
        <v>941</v>
      </c>
      <c r="C250" s="42" t="s">
        <v>942</v>
      </c>
    </row>
    <row r="251" spans="1:3">
      <c r="A251" s="38" t="str">
        <f t="shared" si="0"/>
        <v>07 01 03*</v>
      </c>
      <c r="B251" s="41" t="s">
        <v>943</v>
      </c>
      <c r="C251" s="42" t="s">
        <v>944</v>
      </c>
    </row>
    <row r="252" spans="1:3">
      <c r="A252" s="38" t="str">
        <f t="shared" si="0"/>
        <v>07 01 04*</v>
      </c>
      <c r="B252" s="41" t="s">
        <v>945</v>
      </c>
      <c r="C252" s="42" t="s">
        <v>946</v>
      </c>
    </row>
    <row r="253" spans="1:3">
      <c r="A253" s="38" t="str">
        <f t="shared" si="0"/>
        <v>07 01 07*</v>
      </c>
      <c r="B253" s="41" t="s">
        <v>947</v>
      </c>
      <c r="C253" s="42" t="s">
        <v>948</v>
      </c>
    </row>
    <row r="254" spans="1:3">
      <c r="A254" s="38" t="str">
        <f t="shared" si="0"/>
        <v>07 01 08*</v>
      </c>
      <c r="B254" s="41" t="s">
        <v>949</v>
      </c>
      <c r="C254" s="42" t="s">
        <v>950</v>
      </c>
    </row>
    <row r="255" spans="1:3">
      <c r="A255" s="38" t="str">
        <f t="shared" si="0"/>
        <v>07 01 09*</v>
      </c>
      <c r="B255" s="41" t="s">
        <v>951</v>
      </c>
      <c r="C255" s="42" t="s">
        <v>952</v>
      </c>
    </row>
    <row r="256" spans="1:3">
      <c r="A256" s="38" t="str">
        <f t="shared" ref="A256:A510" si="1">CLEAN(B256)</f>
        <v>07 01 10*</v>
      </c>
      <c r="B256" s="41" t="s">
        <v>953</v>
      </c>
      <c r="C256" s="42" t="s">
        <v>954</v>
      </c>
    </row>
    <row r="257" spans="1:3">
      <c r="A257" s="38" t="str">
        <f t="shared" si="1"/>
        <v>07 01 11*</v>
      </c>
      <c r="B257" s="41" t="s">
        <v>955</v>
      </c>
      <c r="C257" s="42" t="s">
        <v>775</v>
      </c>
    </row>
    <row r="258" spans="1:3">
      <c r="A258" s="38" t="str">
        <f t="shared" si="1"/>
        <v>07 01 12</v>
      </c>
      <c r="B258" s="41" t="s">
        <v>956</v>
      </c>
      <c r="C258" s="42" t="s">
        <v>957</v>
      </c>
    </row>
    <row r="259" spans="1:3">
      <c r="A259" s="38" t="str">
        <f t="shared" si="1"/>
        <v>07 01 99</v>
      </c>
      <c r="B259" s="41" t="s">
        <v>958</v>
      </c>
      <c r="C259" s="42" t="s">
        <v>591</v>
      </c>
    </row>
    <row r="260" spans="1:3">
      <c r="A260" s="38" t="str">
        <f t="shared" si="1"/>
        <v/>
      </c>
      <c r="B260" s="42"/>
      <c r="C260" s="42"/>
    </row>
    <row r="261" spans="1:3">
      <c r="A261" s="38" t="str">
        <f t="shared" si="1"/>
        <v>07 02</v>
      </c>
      <c r="B261" s="39" t="s">
        <v>959</v>
      </c>
      <c r="C261" s="40" t="s">
        <v>960</v>
      </c>
    </row>
    <row r="262" spans="1:3">
      <c r="A262" s="38" t="str">
        <f t="shared" si="1"/>
        <v>07 02 01*</v>
      </c>
      <c r="B262" s="41" t="s">
        <v>961</v>
      </c>
      <c r="C262" s="42" t="s">
        <v>942</v>
      </c>
    </row>
    <row r="263" spans="1:3">
      <c r="A263" s="38" t="str">
        <f t="shared" si="1"/>
        <v>07 02 03*</v>
      </c>
      <c r="B263" s="41" t="s">
        <v>962</v>
      </c>
      <c r="C263" s="42" t="s">
        <v>944</v>
      </c>
    </row>
    <row r="264" spans="1:3">
      <c r="A264" s="38" t="str">
        <f t="shared" si="1"/>
        <v>07 02 04*</v>
      </c>
      <c r="B264" s="41" t="s">
        <v>963</v>
      </c>
      <c r="C264" s="42" t="s">
        <v>946</v>
      </c>
    </row>
    <row r="265" spans="1:3">
      <c r="A265" s="38" t="str">
        <f t="shared" si="1"/>
        <v>07 02 07*</v>
      </c>
      <c r="B265" s="41" t="s">
        <v>964</v>
      </c>
      <c r="C265" s="42" t="s">
        <v>948</v>
      </c>
    </row>
    <row r="266" spans="1:3">
      <c r="A266" s="38" t="str">
        <f t="shared" si="1"/>
        <v>07 02 08*</v>
      </c>
      <c r="B266" s="41" t="s">
        <v>965</v>
      </c>
      <c r="C266" s="42" t="s">
        <v>950</v>
      </c>
    </row>
    <row r="267" spans="1:3">
      <c r="A267" s="38" t="str">
        <f t="shared" si="1"/>
        <v>07 02 09*</v>
      </c>
      <c r="B267" s="41" t="s">
        <v>966</v>
      </c>
      <c r="C267" s="42" t="s">
        <v>952</v>
      </c>
    </row>
    <row r="268" spans="1:3">
      <c r="A268" s="38" t="str">
        <f t="shared" si="1"/>
        <v>07 02 10*</v>
      </c>
      <c r="B268" s="41" t="s">
        <v>967</v>
      </c>
      <c r="C268" s="42" t="s">
        <v>954</v>
      </c>
    </row>
    <row r="269" spans="1:3">
      <c r="A269" s="38" t="str">
        <f t="shared" si="1"/>
        <v>07 02 11*</v>
      </c>
      <c r="B269" s="41" t="s">
        <v>968</v>
      </c>
      <c r="C269" s="42" t="s">
        <v>775</v>
      </c>
    </row>
    <row r="270" spans="1:3">
      <c r="A270" s="38" t="str">
        <f t="shared" si="1"/>
        <v>07 02 12</v>
      </c>
      <c r="B270" s="41" t="s">
        <v>969</v>
      </c>
      <c r="C270" s="42" t="s">
        <v>970</v>
      </c>
    </row>
    <row r="271" spans="1:3">
      <c r="A271" s="38" t="str">
        <f t="shared" si="1"/>
        <v>07 02 13</v>
      </c>
      <c r="B271" s="41" t="s">
        <v>971</v>
      </c>
      <c r="C271" s="42" t="s">
        <v>972</v>
      </c>
    </row>
    <row r="272" spans="1:3">
      <c r="A272" s="38" t="str">
        <f t="shared" si="1"/>
        <v>07 02 14*</v>
      </c>
      <c r="B272" s="41" t="s">
        <v>973</v>
      </c>
      <c r="C272" s="42" t="s">
        <v>974</v>
      </c>
    </row>
    <row r="273" spans="1:3">
      <c r="A273" s="38" t="str">
        <f t="shared" si="1"/>
        <v>07 02 15</v>
      </c>
      <c r="B273" s="41" t="s">
        <v>975</v>
      </c>
      <c r="C273" s="42" t="s">
        <v>976</v>
      </c>
    </row>
    <row r="274" spans="1:3">
      <c r="A274" s="38" t="str">
        <f t="shared" si="1"/>
        <v>07 02 16*</v>
      </c>
      <c r="B274" s="41" t="s">
        <v>977</v>
      </c>
      <c r="C274" s="42" t="s">
        <v>978</v>
      </c>
    </row>
    <row r="275" spans="1:3">
      <c r="A275" s="38" t="str">
        <f t="shared" si="1"/>
        <v>07 02 17</v>
      </c>
      <c r="B275" s="41" t="s">
        <v>979</v>
      </c>
      <c r="C275" s="42" t="s">
        <v>980</v>
      </c>
    </row>
    <row r="276" spans="1:3">
      <c r="A276" s="38" t="str">
        <f t="shared" si="1"/>
        <v>07 02 99</v>
      </c>
      <c r="B276" s="41" t="s">
        <v>981</v>
      </c>
      <c r="C276" s="42" t="s">
        <v>591</v>
      </c>
    </row>
    <row r="277" spans="1:3">
      <c r="A277" s="38" t="str">
        <f t="shared" si="1"/>
        <v/>
      </c>
      <c r="B277" s="42"/>
      <c r="C277" s="42"/>
    </row>
    <row r="278" spans="1:3">
      <c r="A278" s="38" t="str">
        <f t="shared" si="1"/>
        <v>07 03</v>
      </c>
      <c r="B278" s="39" t="s">
        <v>982</v>
      </c>
      <c r="C278" s="40" t="s">
        <v>983</v>
      </c>
    </row>
    <row r="279" spans="1:3">
      <c r="A279" s="38" t="str">
        <f t="shared" si="1"/>
        <v>07 03 01*</v>
      </c>
      <c r="B279" s="41" t="s">
        <v>984</v>
      </c>
      <c r="C279" s="42" t="s">
        <v>942</v>
      </c>
    </row>
    <row r="280" spans="1:3">
      <c r="A280" s="38" t="str">
        <f t="shared" si="1"/>
        <v>07 03 03*</v>
      </c>
      <c r="B280" s="41" t="s">
        <v>985</v>
      </c>
      <c r="C280" s="42" t="s">
        <v>944</v>
      </c>
    </row>
    <row r="281" spans="1:3">
      <c r="A281" s="38" t="str">
        <f t="shared" si="1"/>
        <v>07 03 04*</v>
      </c>
      <c r="B281" s="41" t="s">
        <v>986</v>
      </c>
      <c r="C281" s="42" t="s">
        <v>946</v>
      </c>
    </row>
    <row r="282" spans="1:3">
      <c r="A282" s="38" t="str">
        <f t="shared" si="1"/>
        <v>07 03 07*</v>
      </c>
      <c r="B282" s="41" t="s">
        <v>987</v>
      </c>
      <c r="C282" s="42" t="s">
        <v>948</v>
      </c>
    </row>
    <row r="283" spans="1:3">
      <c r="A283" s="38" t="str">
        <f t="shared" si="1"/>
        <v>07 03 08*</v>
      </c>
      <c r="B283" s="41" t="s">
        <v>988</v>
      </c>
      <c r="C283" s="42" t="s">
        <v>950</v>
      </c>
    </row>
    <row r="284" spans="1:3">
      <c r="A284" s="38" t="str">
        <f t="shared" si="1"/>
        <v>07 03 09*</v>
      </c>
      <c r="B284" s="41" t="s">
        <v>989</v>
      </c>
      <c r="C284" s="42" t="s">
        <v>952</v>
      </c>
    </row>
    <row r="285" spans="1:3">
      <c r="A285" s="38" t="str">
        <f t="shared" si="1"/>
        <v>07 03 10*</v>
      </c>
      <c r="B285" s="41" t="s">
        <v>990</v>
      </c>
      <c r="C285" s="42" t="s">
        <v>954</v>
      </c>
    </row>
    <row r="286" spans="1:3">
      <c r="A286" s="38" t="str">
        <f t="shared" si="1"/>
        <v>07 03 11*</v>
      </c>
      <c r="B286" s="41" t="s">
        <v>991</v>
      </c>
      <c r="C286" s="42" t="s">
        <v>775</v>
      </c>
    </row>
    <row r="287" spans="1:3">
      <c r="A287" s="38" t="str">
        <f t="shared" si="1"/>
        <v>07 03 12</v>
      </c>
      <c r="B287" s="41" t="s">
        <v>992</v>
      </c>
      <c r="C287" s="42" t="s">
        <v>993</v>
      </c>
    </row>
    <row r="288" spans="1:3">
      <c r="A288" s="38" t="str">
        <f t="shared" si="1"/>
        <v>07 03 99</v>
      </c>
      <c r="B288" s="41" t="s">
        <v>994</v>
      </c>
      <c r="C288" s="42" t="s">
        <v>591</v>
      </c>
    </row>
    <row r="289" spans="1:3">
      <c r="A289" s="38" t="str">
        <f t="shared" si="1"/>
        <v/>
      </c>
      <c r="B289" s="42"/>
      <c r="C289" s="42"/>
    </row>
    <row r="290" spans="1:3">
      <c r="A290" s="38" t="str">
        <f t="shared" si="1"/>
        <v xml:space="preserve">07 04 </v>
      </c>
      <c r="B290" s="39" t="s">
        <v>995</v>
      </c>
      <c r="C290" s="40" t="s">
        <v>996</v>
      </c>
    </row>
    <row r="291" spans="1:3">
      <c r="A291" s="38" t="str">
        <f t="shared" si="1"/>
        <v>07 04 01*</v>
      </c>
      <c r="B291" s="41" t="s">
        <v>997</v>
      </c>
      <c r="C291" s="42" t="s">
        <v>942</v>
      </c>
    </row>
    <row r="292" spans="1:3">
      <c r="A292" s="38" t="str">
        <f t="shared" si="1"/>
        <v>07 04 03*</v>
      </c>
      <c r="B292" s="41" t="s">
        <v>998</v>
      </c>
      <c r="C292" s="42" t="s">
        <v>944</v>
      </c>
    </row>
    <row r="293" spans="1:3">
      <c r="A293" s="38" t="str">
        <f t="shared" si="1"/>
        <v>07 04 04*</v>
      </c>
      <c r="B293" s="41" t="s">
        <v>999</v>
      </c>
      <c r="C293" s="42" t="s">
        <v>946</v>
      </c>
    </row>
    <row r="294" spans="1:3">
      <c r="A294" s="38" t="str">
        <f t="shared" si="1"/>
        <v>07 04 07*</v>
      </c>
      <c r="B294" s="41" t="s">
        <v>1000</v>
      </c>
      <c r="C294" s="42" t="s">
        <v>948</v>
      </c>
    </row>
    <row r="295" spans="1:3">
      <c r="A295" s="38" t="str">
        <f t="shared" si="1"/>
        <v>07 04 08*</v>
      </c>
      <c r="B295" s="41" t="s">
        <v>1001</v>
      </c>
      <c r="C295" s="42" t="s">
        <v>950</v>
      </c>
    </row>
    <row r="296" spans="1:3">
      <c r="A296" s="38" t="str">
        <f t="shared" si="1"/>
        <v>07 04 09*</v>
      </c>
      <c r="B296" s="41" t="s">
        <v>1002</v>
      </c>
      <c r="C296" s="42" t="s">
        <v>952</v>
      </c>
    </row>
    <row r="297" spans="1:3">
      <c r="A297" s="38" t="str">
        <f t="shared" si="1"/>
        <v>07 04 10*</v>
      </c>
      <c r="B297" s="41" t="s">
        <v>1003</v>
      </c>
      <c r="C297" s="42" t="s">
        <v>954</v>
      </c>
    </row>
    <row r="298" spans="1:3">
      <c r="A298" s="38" t="str">
        <f t="shared" si="1"/>
        <v>07 04 11*</v>
      </c>
      <c r="B298" s="41" t="s">
        <v>1004</v>
      </c>
      <c r="C298" s="42" t="s">
        <v>775</v>
      </c>
    </row>
    <row r="299" spans="1:3">
      <c r="A299" s="38" t="str">
        <f t="shared" si="1"/>
        <v>07 04 12</v>
      </c>
      <c r="B299" s="41" t="s">
        <v>1005</v>
      </c>
      <c r="C299" s="42" t="s">
        <v>1006</v>
      </c>
    </row>
    <row r="300" spans="1:3">
      <c r="A300" s="38" t="str">
        <f t="shared" si="1"/>
        <v>07 04 13*</v>
      </c>
      <c r="B300" s="41" t="s">
        <v>1007</v>
      </c>
      <c r="C300" s="42" t="s">
        <v>1008</v>
      </c>
    </row>
    <row r="301" spans="1:3">
      <c r="A301" s="38" t="str">
        <f t="shared" si="1"/>
        <v>07 04 99</v>
      </c>
      <c r="B301" s="41" t="s">
        <v>1009</v>
      </c>
      <c r="C301" s="42" t="s">
        <v>591</v>
      </c>
    </row>
    <row r="302" spans="1:3">
      <c r="A302" s="38" t="str">
        <f t="shared" si="1"/>
        <v/>
      </c>
      <c r="B302" s="42"/>
      <c r="C302" s="42"/>
    </row>
    <row r="303" spans="1:3">
      <c r="A303" s="38" t="str">
        <f t="shared" si="1"/>
        <v>07 05</v>
      </c>
      <c r="B303" s="39" t="s">
        <v>1010</v>
      </c>
      <c r="C303" s="40" t="s">
        <v>1011</v>
      </c>
    </row>
    <row r="304" spans="1:3">
      <c r="A304" s="38" t="str">
        <f t="shared" si="1"/>
        <v>07 05 01*</v>
      </c>
      <c r="B304" s="41" t="s">
        <v>1012</v>
      </c>
      <c r="C304" s="42" t="s">
        <v>942</v>
      </c>
    </row>
    <row r="305" spans="1:3">
      <c r="A305" s="38" t="str">
        <f t="shared" si="1"/>
        <v>07 05 03*</v>
      </c>
      <c r="B305" s="41" t="s">
        <v>1013</v>
      </c>
      <c r="C305" s="42" t="s">
        <v>944</v>
      </c>
    </row>
    <row r="306" spans="1:3">
      <c r="A306" s="38" t="str">
        <f t="shared" si="1"/>
        <v>07 05 04*</v>
      </c>
      <c r="B306" s="41" t="s">
        <v>1014</v>
      </c>
      <c r="C306" s="42" t="s">
        <v>946</v>
      </c>
    </row>
    <row r="307" spans="1:3">
      <c r="A307" s="38" t="str">
        <f t="shared" si="1"/>
        <v>07 05 07*</v>
      </c>
      <c r="B307" s="41" t="s">
        <v>1015</v>
      </c>
      <c r="C307" s="42" t="s">
        <v>948</v>
      </c>
    </row>
    <row r="308" spans="1:3">
      <c r="A308" s="38" t="str">
        <f t="shared" si="1"/>
        <v>07 05 08*</v>
      </c>
      <c r="B308" s="41" t="s">
        <v>1016</v>
      </c>
      <c r="C308" s="42" t="s">
        <v>950</v>
      </c>
    </row>
    <row r="309" spans="1:3">
      <c r="A309" s="38" t="str">
        <f t="shared" si="1"/>
        <v>07 05 09*</v>
      </c>
      <c r="B309" s="41" t="s">
        <v>1017</v>
      </c>
      <c r="C309" s="42" t="s">
        <v>952</v>
      </c>
    </row>
    <row r="310" spans="1:3">
      <c r="A310" s="38" t="str">
        <f t="shared" si="1"/>
        <v>07 05 10*</v>
      </c>
      <c r="B310" s="41" t="s">
        <v>1018</v>
      </c>
      <c r="C310" s="42" t="s">
        <v>954</v>
      </c>
    </row>
    <row r="311" spans="1:3">
      <c r="A311" s="38" t="str">
        <f t="shared" si="1"/>
        <v>07 05 11*</v>
      </c>
      <c r="B311" s="41" t="s">
        <v>1019</v>
      </c>
      <c r="C311" s="42" t="s">
        <v>775</v>
      </c>
    </row>
    <row r="312" spans="1:3">
      <c r="A312" s="38" t="str">
        <f t="shared" si="1"/>
        <v>07 05 12</v>
      </c>
      <c r="B312" s="41" t="s">
        <v>1020</v>
      </c>
      <c r="C312" s="42" t="s">
        <v>1021</v>
      </c>
    </row>
    <row r="313" spans="1:3">
      <c r="A313" s="38" t="str">
        <f t="shared" si="1"/>
        <v>07 05 13*</v>
      </c>
      <c r="B313" s="41" t="s">
        <v>1022</v>
      </c>
      <c r="C313" s="42" t="s">
        <v>1008</v>
      </c>
    </row>
    <row r="314" spans="1:3">
      <c r="A314" s="38" t="str">
        <f t="shared" si="1"/>
        <v>07 05 14</v>
      </c>
      <c r="B314" s="41" t="s">
        <v>1023</v>
      </c>
      <c r="C314" s="42" t="s">
        <v>1024</v>
      </c>
    </row>
    <row r="315" spans="1:3">
      <c r="A315" s="38" t="str">
        <f t="shared" si="1"/>
        <v>07 05 99</v>
      </c>
      <c r="B315" s="41" t="s">
        <v>1025</v>
      </c>
      <c r="C315" s="42" t="s">
        <v>591</v>
      </c>
    </row>
    <row r="316" spans="1:3">
      <c r="A316" s="38" t="str">
        <f t="shared" si="1"/>
        <v/>
      </c>
      <c r="B316" s="42"/>
      <c r="C316" s="42"/>
    </row>
    <row r="317" spans="1:3">
      <c r="A317" s="38" t="str">
        <f t="shared" si="1"/>
        <v>07 06</v>
      </c>
      <c r="B317" s="39" t="s">
        <v>1026</v>
      </c>
      <c r="C317" s="40" t="s">
        <v>1027</v>
      </c>
    </row>
    <row r="318" spans="1:3">
      <c r="A318" s="38" t="str">
        <f t="shared" si="1"/>
        <v>07 06 01*</v>
      </c>
      <c r="B318" s="41" t="s">
        <v>1028</v>
      </c>
      <c r="C318" s="42" t="s">
        <v>942</v>
      </c>
    </row>
    <row r="319" spans="1:3">
      <c r="A319" s="38" t="str">
        <f t="shared" si="1"/>
        <v>07 06 03*</v>
      </c>
      <c r="B319" s="41" t="s">
        <v>1029</v>
      </c>
      <c r="C319" s="42" t="s">
        <v>944</v>
      </c>
    </row>
    <row r="320" spans="1:3">
      <c r="A320" s="38" t="str">
        <f t="shared" si="1"/>
        <v>07 06 04*</v>
      </c>
      <c r="B320" s="41" t="s">
        <v>1030</v>
      </c>
      <c r="C320" s="42" t="s">
        <v>946</v>
      </c>
    </row>
    <row r="321" spans="1:3">
      <c r="A321" s="38" t="str">
        <f t="shared" si="1"/>
        <v>07 06 07*</v>
      </c>
      <c r="B321" s="41" t="s">
        <v>1031</v>
      </c>
      <c r="C321" s="42" t="s">
        <v>948</v>
      </c>
    </row>
    <row r="322" spans="1:3">
      <c r="A322" s="38" t="str">
        <f t="shared" si="1"/>
        <v>07 06 08*</v>
      </c>
      <c r="B322" s="41" t="s">
        <v>1032</v>
      </c>
      <c r="C322" s="42" t="s">
        <v>950</v>
      </c>
    </row>
    <row r="323" spans="1:3">
      <c r="A323" s="38" t="str">
        <f t="shared" si="1"/>
        <v>07 06 09*</v>
      </c>
      <c r="B323" s="41" t="s">
        <v>1033</v>
      </c>
      <c r="C323" s="42" t="s">
        <v>952</v>
      </c>
    </row>
    <row r="324" spans="1:3">
      <c r="A324" s="38" t="str">
        <f t="shared" si="1"/>
        <v>07 06 10*</v>
      </c>
      <c r="B324" s="41" t="s">
        <v>1034</v>
      </c>
      <c r="C324" s="42" t="s">
        <v>954</v>
      </c>
    </row>
    <row r="325" spans="1:3">
      <c r="A325" s="38" t="str">
        <f t="shared" si="1"/>
        <v>07 06 11*</v>
      </c>
      <c r="B325" s="41" t="s">
        <v>1035</v>
      </c>
      <c r="C325" s="42" t="s">
        <v>775</v>
      </c>
    </row>
    <row r="326" spans="1:3">
      <c r="A326" s="38" t="str">
        <f t="shared" si="1"/>
        <v>07 06 12</v>
      </c>
      <c r="B326" s="41" t="s">
        <v>1036</v>
      </c>
      <c r="C326" s="42" t="s">
        <v>1037</v>
      </c>
    </row>
    <row r="327" spans="1:3">
      <c r="A327" s="38" t="str">
        <f t="shared" si="1"/>
        <v>07 06 99</v>
      </c>
      <c r="B327" s="41" t="s">
        <v>1038</v>
      </c>
      <c r="C327" s="42" t="s">
        <v>591</v>
      </c>
    </row>
    <row r="328" spans="1:3">
      <c r="A328" s="38" t="str">
        <f t="shared" si="1"/>
        <v/>
      </c>
      <c r="B328" s="42"/>
      <c r="C328" s="42"/>
    </row>
    <row r="329" spans="1:3">
      <c r="A329" s="38" t="str">
        <f t="shared" si="1"/>
        <v>07 07</v>
      </c>
      <c r="B329" s="39" t="s">
        <v>1039</v>
      </c>
      <c r="C329" s="40" t="s">
        <v>1040</v>
      </c>
    </row>
    <row r="330" spans="1:3">
      <c r="A330" s="38" t="str">
        <f t="shared" si="1"/>
        <v>07 07 01*</v>
      </c>
      <c r="B330" s="41" t="s">
        <v>1041</v>
      </c>
      <c r="C330" s="42" t="s">
        <v>942</v>
      </c>
    </row>
    <row r="331" spans="1:3">
      <c r="A331" s="38" t="str">
        <f t="shared" si="1"/>
        <v>07 07 03*</v>
      </c>
      <c r="B331" s="41" t="s">
        <v>1042</v>
      </c>
      <c r="C331" s="42" t="s">
        <v>944</v>
      </c>
    </row>
    <row r="332" spans="1:3">
      <c r="A332" s="38" t="str">
        <f t="shared" si="1"/>
        <v>07 07 04*</v>
      </c>
      <c r="B332" s="41" t="s">
        <v>1043</v>
      </c>
      <c r="C332" s="42" t="s">
        <v>946</v>
      </c>
    </row>
    <row r="333" spans="1:3">
      <c r="A333" s="38" t="str">
        <f t="shared" si="1"/>
        <v>07 07 07*</v>
      </c>
      <c r="B333" s="41" t="s">
        <v>1044</v>
      </c>
      <c r="C333" s="42" t="s">
        <v>948</v>
      </c>
    </row>
    <row r="334" spans="1:3">
      <c r="A334" s="38" t="str">
        <f t="shared" si="1"/>
        <v>07 07 08*</v>
      </c>
      <c r="B334" s="41" t="s">
        <v>1045</v>
      </c>
      <c r="C334" s="42" t="s">
        <v>950</v>
      </c>
    </row>
    <row r="335" spans="1:3">
      <c r="A335" s="38" t="str">
        <f t="shared" si="1"/>
        <v>07 07 09*</v>
      </c>
      <c r="B335" s="41" t="s">
        <v>1046</v>
      </c>
      <c r="C335" s="42" t="s">
        <v>952</v>
      </c>
    </row>
    <row r="336" spans="1:3">
      <c r="A336" s="38" t="str">
        <f t="shared" si="1"/>
        <v>07 07 10*</v>
      </c>
      <c r="B336" s="41" t="s">
        <v>1047</v>
      </c>
      <c r="C336" s="42" t="s">
        <v>954</v>
      </c>
    </row>
    <row r="337" spans="1:3">
      <c r="A337" s="38" t="str">
        <f t="shared" si="1"/>
        <v>07 07 11*</v>
      </c>
      <c r="B337" s="41" t="s">
        <v>1048</v>
      </c>
      <c r="C337" s="42" t="s">
        <v>775</v>
      </c>
    </row>
    <row r="338" spans="1:3">
      <c r="A338" s="38" t="str">
        <f t="shared" si="1"/>
        <v>07 07 12</v>
      </c>
      <c r="B338" s="41" t="s">
        <v>1049</v>
      </c>
      <c r="C338" s="42" t="s">
        <v>1050</v>
      </c>
    </row>
    <row r="339" spans="1:3">
      <c r="A339" s="38" t="str">
        <f t="shared" si="1"/>
        <v>07 07 99</v>
      </c>
      <c r="B339" s="41" t="s">
        <v>1051</v>
      </c>
      <c r="C339" s="42" t="s">
        <v>591</v>
      </c>
    </row>
    <row r="340" spans="1:3">
      <c r="A340" s="38" t="str">
        <f t="shared" si="1"/>
        <v/>
      </c>
      <c r="B340" s="42"/>
      <c r="C340" s="42"/>
    </row>
    <row r="341" spans="1:3">
      <c r="A341" s="38" t="str">
        <f t="shared" si="1"/>
        <v>08 Déchets provenant de la fabrication, de la formulation, de la distribution et de l'utilisation (FFDU) de produits de revêtement (peintures, vernis et émaux vitrifiés), mastics et encres d'impression :</v>
      </c>
      <c r="B341" s="40" t="s">
        <v>1052</v>
      </c>
      <c r="C341" s="42"/>
    </row>
    <row r="342" spans="1:3">
      <c r="A342" s="38" t="str">
        <f t="shared" si="1"/>
        <v/>
      </c>
      <c r="B342" s="42"/>
      <c r="C342" s="42"/>
    </row>
    <row r="343" spans="1:3">
      <c r="A343" s="38" t="str">
        <f t="shared" si="1"/>
        <v>08 01</v>
      </c>
      <c r="B343" s="39" t="s">
        <v>1053</v>
      </c>
      <c r="C343" s="40" t="s">
        <v>1054</v>
      </c>
    </row>
    <row r="344" spans="1:3">
      <c r="A344" s="38" t="str">
        <f t="shared" si="1"/>
        <v>08 01 11*</v>
      </c>
      <c r="B344" s="41" t="s">
        <v>1055</v>
      </c>
      <c r="C344" s="42" t="s">
        <v>1056</v>
      </c>
    </row>
    <row r="345" spans="1:3">
      <c r="A345" s="38" t="str">
        <f t="shared" si="1"/>
        <v>08 01 12</v>
      </c>
      <c r="B345" s="41" t="s">
        <v>1057</v>
      </c>
      <c r="C345" s="42" t="s">
        <v>1058</v>
      </c>
    </row>
    <row r="346" spans="1:3">
      <c r="A346" s="38" t="str">
        <f t="shared" si="1"/>
        <v>08 01 13*</v>
      </c>
      <c r="B346" s="41" t="s">
        <v>1059</v>
      </c>
      <c r="C346" s="42" t="s">
        <v>1060</v>
      </c>
    </row>
    <row r="347" spans="1:3">
      <c r="A347" s="38" t="str">
        <f t="shared" si="1"/>
        <v>08 01 14</v>
      </c>
      <c r="B347" s="41" t="s">
        <v>1061</v>
      </c>
      <c r="C347" s="42" t="s">
        <v>1062</v>
      </c>
    </row>
    <row r="348" spans="1:3">
      <c r="A348" s="38" t="str">
        <f t="shared" si="1"/>
        <v>08 01 15*</v>
      </c>
      <c r="B348" s="41" t="s">
        <v>1063</v>
      </c>
      <c r="C348" s="42" t="s">
        <v>1064</v>
      </c>
    </row>
    <row r="349" spans="1:3">
      <c r="A349" s="38" t="str">
        <f t="shared" si="1"/>
        <v>08 01 16</v>
      </c>
      <c r="B349" s="41" t="s">
        <v>1065</v>
      </c>
      <c r="C349" s="42" t="s">
        <v>1066</v>
      </c>
    </row>
    <row r="350" spans="1:3">
      <c r="A350" s="38" t="str">
        <f t="shared" si="1"/>
        <v>08 01 17*</v>
      </c>
      <c r="B350" s="41" t="s">
        <v>1067</v>
      </c>
      <c r="C350" s="42" t="s">
        <v>1068</v>
      </c>
    </row>
    <row r="351" spans="1:3">
      <c r="A351" s="38" t="str">
        <f t="shared" si="1"/>
        <v>08 01 18</v>
      </c>
      <c r="B351" s="41" t="s">
        <v>1069</v>
      </c>
      <c r="C351" s="42" t="s">
        <v>1070</v>
      </c>
    </row>
    <row r="352" spans="1:3">
      <c r="A352" s="38" t="str">
        <f t="shared" si="1"/>
        <v>08 01 19*</v>
      </c>
      <c r="B352" s="41" t="s">
        <v>1071</v>
      </c>
      <c r="C352" s="42" t="s">
        <v>1064</v>
      </c>
    </row>
    <row r="353" spans="1:3">
      <c r="A353" s="38" t="str">
        <f t="shared" si="1"/>
        <v>08 01 20</v>
      </c>
      <c r="B353" s="41" t="s">
        <v>1072</v>
      </c>
      <c r="C353" s="42" t="s">
        <v>1073</v>
      </c>
    </row>
    <row r="354" spans="1:3">
      <c r="A354" s="38" t="str">
        <f t="shared" si="1"/>
        <v>08 01 21*</v>
      </c>
      <c r="B354" s="41" t="s">
        <v>1074</v>
      </c>
      <c r="C354" s="42" t="s">
        <v>1075</v>
      </c>
    </row>
    <row r="355" spans="1:3">
      <c r="A355" s="38" t="str">
        <f t="shared" si="1"/>
        <v>08 01 99</v>
      </c>
      <c r="B355" s="41" t="s">
        <v>1076</v>
      </c>
      <c r="C355" s="42" t="s">
        <v>591</v>
      </c>
    </row>
    <row r="356" spans="1:3">
      <c r="A356" s="38" t="str">
        <f t="shared" si="1"/>
        <v/>
      </c>
      <c r="B356" s="42"/>
      <c r="C356" s="42"/>
    </row>
    <row r="357" spans="1:3">
      <c r="A357" s="38" t="str">
        <f t="shared" si="1"/>
        <v>08 02</v>
      </c>
      <c r="B357" s="39" t="s">
        <v>1077</v>
      </c>
      <c r="C357" s="40" t="s">
        <v>1078</v>
      </c>
    </row>
    <row r="358" spans="1:3">
      <c r="A358" s="38" t="str">
        <f t="shared" si="1"/>
        <v>08 02 01</v>
      </c>
      <c r="B358" s="41" t="s">
        <v>1079</v>
      </c>
      <c r="C358" s="42" t="s">
        <v>1080</v>
      </c>
    </row>
    <row r="359" spans="1:3">
      <c r="A359" s="38" t="str">
        <f t="shared" si="1"/>
        <v>08 02 02</v>
      </c>
      <c r="B359" s="41" t="s">
        <v>1081</v>
      </c>
      <c r="C359" s="42" t="s">
        <v>1082</v>
      </c>
    </row>
    <row r="360" spans="1:3">
      <c r="A360" s="38" t="str">
        <f t="shared" si="1"/>
        <v>08 02 03</v>
      </c>
      <c r="B360" s="41" t="s">
        <v>1083</v>
      </c>
      <c r="C360" s="42" t="s">
        <v>1084</v>
      </c>
    </row>
    <row r="361" spans="1:3">
      <c r="A361" s="38" t="str">
        <f t="shared" si="1"/>
        <v>08 02 99</v>
      </c>
      <c r="B361" s="41" t="s">
        <v>1085</v>
      </c>
      <c r="C361" s="42" t="s">
        <v>591</v>
      </c>
    </row>
    <row r="362" spans="1:3">
      <c r="A362" s="38" t="str">
        <f t="shared" si="1"/>
        <v/>
      </c>
      <c r="B362" s="42"/>
      <c r="C362" s="42"/>
    </row>
    <row r="363" spans="1:3">
      <c r="A363" s="38" t="str">
        <f t="shared" si="1"/>
        <v>08 03</v>
      </c>
      <c r="B363" s="39" t="s">
        <v>1086</v>
      </c>
      <c r="C363" s="40" t="s">
        <v>1087</v>
      </c>
    </row>
    <row r="364" spans="1:3">
      <c r="A364" s="38" t="str">
        <f t="shared" si="1"/>
        <v>08 03 07</v>
      </c>
      <c r="B364" s="41" t="s">
        <v>1088</v>
      </c>
      <c r="C364" s="42" t="s">
        <v>1089</v>
      </c>
    </row>
    <row r="365" spans="1:3">
      <c r="A365" s="38" t="str">
        <f t="shared" si="1"/>
        <v>08 03 08</v>
      </c>
      <c r="B365" s="41" t="s">
        <v>1090</v>
      </c>
      <c r="C365" s="42" t="s">
        <v>1091</v>
      </c>
    </row>
    <row r="366" spans="1:3">
      <c r="A366" s="38" t="str">
        <f t="shared" si="1"/>
        <v>08 03 12*</v>
      </c>
      <c r="B366" s="41" t="s">
        <v>1092</v>
      </c>
      <c r="C366" s="42" t="s">
        <v>1093</v>
      </c>
    </row>
    <row r="367" spans="1:3">
      <c r="A367" s="38" t="str">
        <f t="shared" si="1"/>
        <v>08 03 13</v>
      </c>
      <c r="B367" s="41" t="s">
        <v>1094</v>
      </c>
      <c r="C367" s="42" t="s">
        <v>1095</v>
      </c>
    </row>
    <row r="368" spans="1:3">
      <c r="A368" s="38" t="str">
        <f t="shared" si="1"/>
        <v>08 03 14*</v>
      </c>
      <c r="B368" s="41" t="s">
        <v>1096</v>
      </c>
      <c r="C368" s="42" t="s">
        <v>1097</v>
      </c>
    </row>
    <row r="369" spans="1:3">
      <c r="A369" s="38" t="str">
        <f t="shared" si="1"/>
        <v>08 03 15</v>
      </c>
      <c r="B369" s="41" t="s">
        <v>1098</v>
      </c>
      <c r="C369" s="42" t="s">
        <v>1099</v>
      </c>
    </row>
    <row r="370" spans="1:3">
      <c r="A370" s="38" t="str">
        <f t="shared" si="1"/>
        <v>08 03 16*</v>
      </c>
      <c r="B370" s="41" t="s">
        <v>1100</v>
      </c>
      <c r="C370" s="42" t="s">
        <v>1101</v>
      </c>
    </row>
    <row r="371" spans="1:3">
      <c r="A371" s="38" t="str">
        <f t="shared" si="1"/>
        <v>08 03 17*</v>
      </c>
      <c r="B371" s="41" t="s">
        <v>1102</v>
      </c>
      <c r="C371" s="42" t="s">
        <v>1103</v>
      </c>
    </row>
    <row r="372" spans="1:3">
      <c r="A372" s="38" t="str">
        <f t="shared" si="1"/>
        <v>08 03 18</v>
      </c>
      <c r="B372" s="41" t="s">
        <v>1104</v>
      </c>
      <c r="C372" s="42" t="s">
        <v>1105</v>
      </c>
    </row>
    <row r="373" spans="1:3">
      <c r="A373" s="38" t="str">
        <f t="shared" si="1"/>
        <v>08 03 19*</v>
      </c>
      <c r="B373" s="41" t="s">
        <v>1106</v>
      </c>
      <c r="C373" s="42" t="s">
        <v>1107</v>
      </c>
    </row>
    <row r="374" spans="1:3">
      <c r="A374" s="38" t="str">
        <f t="shared" si="1"/>
        <v>08 03 99</v>
      </c>
      <c r="B374" s="41" t="s">
        <v>1108</v>
      </c>
      <c r="C374" s="42" t="s">
        <v>591</v>
      </c>
    </row>
    <row r="375" spans="1:3">
      <c r="A375" s="38" t="str">
        <f t="shared" si="1"/>
        <v/>
      </c>
      <c r="B375" s="42"/>
      <c r="C375" s="42"/>
    </row>
    <row r="376" spans="1:3">
      <c r="A376" s="38" t="str">
        <f t="shared" si="1"/>
        <v>08 04</v>
      </c>
      <c r="B376" s="39" t="s">
        <v>1109</v>
      </c>
      <c r="C376" s="40" t="s">
        <v>1110</v>
      </c>
    </row>
    <row r="377" spans="1:3">
      <c r="A377" s="38" t="str">
        <f t="shared" si="1"/>
        <v>08 04 09*</v>
      </c>
      <c r="B377" s="41" t="s">
        <v>1111</v>
      </c>
      <c r="C377" s="42" t="s">
        <v>1112</v>
      </c>
    </row>
    <row r="378" spans="1:3">
      <c r="A378" s="38" t="str">
        <f t="shared" si="1"/>
        <v>08 04 10</v>
      </c>
      <c r="B378" s="41" t="s">
        <v>1113</v>
      </c>
      <c r="C378" s="42" t="s">
        <v>1114</v>
      </c>
    </row>
    <row r="379" spans="1:3">
      <c r="A379" s="38" t="str">
        <f t="shared" si="1"/>
        <v>08 04 11*</v>
      </c>
      <c r="B379" s="41" t="s">
        <v>1115</v>
      </c>
      <c r="C379" s="42" t="s">
        <v>1116</v>
      </c>
    </row>
    <row r="380" spans="1:3">
      <c r="A380" s="38" t="str">
        <f t="shared" si="1"/>
        <v>08 04 12</v>
      </c>
      <c r="B380" s="41" t="s">
        <v>1117</v>
      </c>
      <c r="C380" s="42" t="s">
        <v>1118</v>
      </c>
    </row>
    <row r="381" spans="1:3">
      <c r="A381" s="38" t="str">
        <f t="shared" si="1"/>
        <v>08 04 13*</v>
      </c>
      <c r="B381" s="41" t="s">
        <v>1119</v>
      </c>
      <c r="C381" s="42" t="s">
        <v>1120</v>
      </c>
    </row>
    <row r="382" spans="1:3">
      <c r="A382" s="38" t="str">
        <f t="shared" si="1"/>
        <v>08 04 14</v>
      </c>
      <c r="B382" s="41" t="s">
        <v>1121</v>
      </c>
      <c r="C382" s="42" t="s">
        <v>1122</v>
      </c>
    </row>
    <row r="383" spans="1:3">
      <c r="A383" s="38" t="str">
        <f t="shared" si="1"/>
        <v>08 04 15*</v>
      </c>
      <c r="B383" s="41" t="s">
        <v>1123</v>
      </c>
      <c r="C383" s="42" t="s">
        <v>1124</v>
      </c>
    </row>
    <row r="384" spans="1:3">
      <c r="A384" s="38" t="str">
        <f t="shared" si="1"/>
        <v>08 04 16</v>
      </c>
      <c r="B384" s="41" t="s">
        <v>1125</v>
      </c>
      <c r="C384" s="42" t="s">
        <v>1126</v>
      </c>
    </row>
    <row r="385" spans="1:3">
      <c r="A385" s="38" t="str">
        <f t="shared" si="1"/>
        <v>08 04 17*</v>
      </c>
      <c r="B385" s="41" t="s">
        <v>1127</v>
      </c>
      <c r="C385" s="42" t="s">
        <v>1128</v>
      </c>
    </row>
    <row r="386" spans="1:3">
      <c r="A386" s="38" t="str">
        <f t="shared" si="1"/>
        <v>08 04 99</v>
      </c>
      <c r="B386" s="41" t="s">
        <v>1129</v>
      </c>
      <c r="C386" s="42" t="s">
        <v>591</v>
      </c>
    </row>
    <row r="387" spans="1:3">
      <c r="A387" s="38" t="str">
        <f t="shared" si="1"/>
        <v/>
      </c>
      <c r="B387" s="42"/>
      <c r="C387" s="42"/>
    </row>
    <row r="388" spans="1:3">
      <c r="A388" s="38" t="str">
        <f t="shared" si="1"/>
        <v xml:space="preserve">08 05 </v>
      </c>
      <c r="B388" s="39" t="s">
        <v>1130</v>
      </c>
      <c r="C388" s="40" t="s">
        <v>1131</v>
      </c>
    </row>
    <row r="389" spans="1:3">
      <c r="A389" s="38" t="str">
        <f t="shared" si="1"/>
        <v>08 05 01*</v>
      </c>
      <c r="B389" s="41" t="s">
        <v>1132</v>
      </c>
      <c r="C389" s="42" t="s">
        <v>1133</v>
      </c>
    </row>
    <row r="390" spans="1:3">
      <c r="A390" s="38" t="str">
        <f t="shared" si="1"/>
        <v/>
      </c>
      <c r="B390" s="42"/>
      <c r="C390" s="42"/>
    </row>
    <row r="391" spans="1:3">
      <c r="A391" s="38" t="str">
        <f t="shared" si="1"/>
        <v>09 Déchets provenant de l'industrie photographique :</v>
      </c>
      <c r="B391" s="40" t="s">
        <v>1134</v>
      </c>
      <c r="C391" s="42"/>
    </row>
    <row r="392" spans="1:3">
      <c r="A392" s="38" t="str">
        <f t="shared" si="1"/>
        <v/>
      </c>
      <c r="B392" s="42"/>
      <c r="C392" s="42"/>
    </row>
    <row r="393" spans="1:3">
      <c r="A393" s="38" t="str">
        <f t="shared" si="1"/>
        <v>09 01</v>
      </c>
      <c r="B393" s="39" t="s">
        <v>1135</v>
      </c>
      <c r="C393" s="40" t="s">
        <v>1136</v>
      </c>
    </row>
    <row r="394" spans="1:3">
      <c r="A394" s="38" t="str">
        <f t="shared" si="1"/>
        <v>09 01 01*</v>
      </c>
      <c r="B394" s="41" t="s">
        <v>1137</v>
      </c>
      <c r="C394" s="42" t="s">
        <v>1138</v>
      </c>
    </row>
    <row r="395" spans="1:3">
      <c r="A395" s="38" t="str">
        <f t="shared" si="1"/>
        <v>09 01 02*</v>
      </c>
      <c r="B395" s="41" t="s">
        <v>1139</v>
      </c>
      <c r="C395" s="42" t="s">
        <v>1140</v>
      </c>
    </row>
    <row r="396" spans="1:3">
      <c r="A396" s="38" t="str">
        <f t="shared" si="1"/>
        <v>09 01 03*</v>
      </c>
      <c r="B396" s="41" t="s">
        <v>1141</v>
      </c>
      <c r="C396" s="42" t="s">
        <v>1142</v>
      </c>
    </row>
    <row r="397" spans="1:3">
      <c r="A397" s="38" t="str">
        <f t="shared" si="1"/>
        <v>09 01 04*</v>
      </c>
      <c r="B397" s="41" t="s">
        <v>1143</v>
      </c>
      <c r="C397" s="42" t="s">
        <v>1144</v>
      </c>
    </row>
    <row r="398" spans="1:3">
      <c r="A398" s="38" t="str">
        <f t="shared" si="1"/>
        <v>09 01 05*</v>
      </c>
      <c r="B398" s="41" t="s">
        <v>1145</v>
      </c>
      <c r="C398" s="42" t="s">
        <v>1146</v>
      </c>
    </row>
    <row r="399" spans="1:3">
      <c r="A399" s="38" t="str">
        <f t="shared" si="1"/>
        <v>09 01 06*</v>
      </c>
      <c r="B399" s="41" t="s">
        <v>1147</v>
      </c>
      <c r="C399" s="42" t="s">
        <v>1148</v>
      </c>
    </row>
    <row r="400" spans="1:3">
      <c r="A400" s="38" t="str">
        <f t="shared" si="1"/>
        <v>09 01 07</v>
      </c>
      <c r="B400" s="41" t="s">
        <v>1149</v>
      </c>
      <c r="C400" s="42" t="s">
        <v>1150</v>
      </c>
    </row>
    <row r="401" spans="1:3">
      <c r="A401" s="38" t="str">
        <f t="shared" si="1"/>
        <v>09 01 08</v>
      </c>
      <c r="B401" s="41" t="s">
        <v>1151</v>
      </c>
      <c r="C401" s="42" t="s">
        <v>1152</v>
      </c>
    </row>
    <row r="402" spans="1:3">
      <c r="A402" s="38" t="str">
        <f t="shared" si="1"/>
        <v>09 01 10</v>
      </c>
      <c r="B402" s="41" t="s">
        <v>1153</v>
      </c>
      <c r="C402" s="42" t="s">
        <v>1154</v>
      </c>
    </row>
    <row r="403" spans="1:3">
      <c r="A403" s="38" t="str">
        <f t="shared" si="1"/>
        <v>09 01 11*</v>
      </c>
      <c r="B403" s="41" t="s">
        <v>1155</v>
      </c>
      <c r="C403" s="42" t="s">
        <v>1156</v>
      </c>
    </row>
    <row r="404" spans="1:3">
      <c r="A404" s="38" t="str">
        <f t="shared" si="1"/>
        <v>09 01 12</v>
      </c>
      <c r="B404" s="41" t="s">
        <v>1157</v>
      </c>
      <c r="C404" s="42" t="s">
        <v>1158</v>
      </c>
    </row>
    <row r="405" spans="1:3">
      <c r="A405" s="38" t="str">
        <f t="shared" si="1"/>
        <v>09 01 13*</v>
      </c>
      <c r="B405" s="41" t="s">
        <v>1159</v>
      </c>
      <c r="C405" s="42" t="s">
        <v>1160</v>
      </c>
    </row>
    <row r="406" spans="1:3">
      <c r="A406" s="38" t="str">
        <f t="shared" si="1"/>
        <v>09 01 99</v>
      </c>
      <c r="B406" s="41" t="s">
        <v>1161</v>
      </c>
      <c r="C406" s="42" t="s">
        <v>591</v>
      </c>
    </row>
    <row r="407" spans="1:3">
      <c r="A407" s="38" t="str">
        <f t="shared" si="1"/>
        <v/>
      </c>
      <c r="B407" s="42"/>
      <c r="C407" s="42"/>
    </row>
    <row r="408" spans="1:3">
      <c r="A408" s="38" t="str">
        <f t="shared" si="1"/>
        <v>10 Déchets provenant de procédés thermiques :</v>
      </c>
      <c r="B408" s="40" t="s">
        <v>1162</v>
      </c>
      <c r="C408" s="42"/>
    </row>
    <row r="409" spans="1:3">
      <c r="A409" s="38" t="str">
        <f t="shared" si="1"/>
        <v/>
      </c>
      <c r="B409" s="42"/>
      <c r="C409" s="42"/>
    </row>
    <row r="410" spans="1:3">
      <c r="A410" s="38" t="str">
        <f t="shared" si="1"/>
        <v>10 01</v>
      </c>
      <c r="B410" s="39" t="s">
        <v>1163</v>
      </c>
      <c r="C410" s="40" t="s">
        <v>1164</v>
      </c>
    </row>
    <row r="411" spans="1:3">
      <c r="A411" s="38" t="str">
        <f t="shared" si="1"/>
        <v>10 01 01</v>
      </c>
      <c r="B411" s="41" t="s">
        <v>1165</v>
      </c>
      <c r="C411" s="42" t="s">
        <v>1166</v>
      </c>
    </row>
    <row r="412" spans="1:3">
      <c r="A412" s="38" t="str">
        <f t="shared" si="1"/>
        <v>10 01 02</v>
      </c>
      <c r="B412" s="41" t="s">
        <v>1167</v>
      </c>
      <c r="C412" s="42" t="s">
        <v>1168</v>
      </c>
    </row>
    <row r="413" spans="1:3">
      <c r="A413" s="38" t="str">
        <f t="shared" si="1"/>
        <v>10 01 03</v>
      </c>
      <c r="B413" s="41" t="s">
        <v>1169</v>
      </c>
      <c r="C413" s="42" t="s">
        <v>1170</v>
      </c>
    </row>
    <row r="414" spans="1:3">
      <c r="A414" s="38" t="str">
        <f t="shared" si="1"/>
        <v>10 01 04*</v>
      </c>
      <c r="B414" s="41" t="s">
        <v>1171</v>
      </c>
      <c r="C414" s="42" t="s">
        <v>1172</v>
      </c>
    </row>
    <row r="415" spans="1:3">
      <c r="A415" s="38" t="str">
        <f t="shared" si="1"/>
        <v>10 01 05</v>
      </c>
      <c r="B415" s="41" t="s">
        <v>1173</v>
      </c>
      <c r="C415" s="42" t="s">
        <v>1174</v>
      </c>
    </row>
    <row r="416" spans="1:3">
      <c r="A416" s="38" t="str">
        <f t="shared" si="1"/>
        <v>10 01 07</v>
      </c>
      <c r="B416" s="41" t="s">
        <v>1175</v>
      </c>
      <c r="C416" s="42" t="s">
        <v>1176</v>
      </c>
    </row>
    <row r="417" spans="1:3">
      <c r="A417" s="38" t="str">
        <f t="shared" si="1"/>
        <v>10 01 09*</v>
      </c>
      <c r="B417" s="41" t="s">
        <v>1177</v>
      </c>
      <c r="C417" s="42" t="s">
        <v>1178</v>
      </c>
    </row>
    <row r="418" spans="1:3">
      <c r="A418" s="38" t="str">
        <f t="shared" si="1"/>
        <v>10 01 13*</v>
      </c>
      <c r="B418" s="41" t="s">
        <v>1179</v>
      </c>
      <c r="C418" s="42" t="s">
        <v>1180</v>
      </c>
    </row>
    <row r="419" spans="1:3">
      <c r="A419" s="38" t="str">
        <f t="shared" si="1"/>
        <v>10 01 14*</v>
      </c>
      <c r="B419" s="41" t="s">
        <v>1181</v>
      </c>
      <c r="C419" s="42" t="s">
        <v>1182</v>
      </c>
    </row>
    <row r="420" spans="1:3">
      <c r="A420" s="38" t="str">
        <f t="shared" si="1"/>
        <v>10 01 15</v>
      </c>
      <c r="B420" s="41" t="s">
        <v>1183</v>
      </c>
      <c r="C420" s="42" t="s">
        <v>1184</v>
      </c>
    </row>
    <row r="421" spans="1:3">
      <c r="A421" s="38" t="str">
        <f t="shared" si="1"/>
        <v>10 01 16*</v>
      </c>
      <c r="B421" s="41" t="s">
        <v>1185</v>
      </c>
      <c r="C421" s="42" t="s">
        <v>1186</v>
      </c>
    </row>
    <row r="422" spans="1:3">
      <c r="A422" s="38" t="str">
        <f t="shared" si="1"/>
        <v>10 01 17</v>
      </c>
      <c r="B422" s="41" t="s">
        <v>1187</v>
      </c>
      <c r="C422" s="42" t="s">
        <v>1188</v>
      </c>
    </row>
    <row r="423" spans="1:3">
      <c r="A423" s="38" t="str">
        <f t="shared" si="1"/>
        <v>10 01 18*</v>
      </c>
      <c r="B423" s="41" t="s">
        <v>1189</v>
      </c>
      <c r="C423" s="42" t="s">
        <v>1190</v>
      </c>
    </row>
    <row r="424" spans="1:3">
      <c r="A424" s="38" t="str">
        <f t="shared" si="1"/>
        <v>10 01 19</v>
      </c>
      <c r="B424" s="41" t="s">
        <v>1191</v>
      </c>
      <c r="C424" s="42" t="s">
        <v>1192</v>
      </c>
    </row>
    <row r="425" spans="1:3">
      <c r="A425" s="38" t="str">
        <f t="shared" si="1"/>
        <v>10 01 20*</v>
      </c>
      <c r="B425" s="41" t="s">
        <v>1193</v>
      </c>
      <c r="C425" s="42" t="s">
        <v>775</v>
      </c>
    </row>
    <row r="426" spans="1:3">
      <c r="A426" s="38" t="str">
        <f t="shared" si="1"/>
        <v>10 01 21</v>
      </c>
      <c r="B426" s="41" t="s">
        <v>1194</v>
      </c>
      <c r="C426" s="42" t="s">
        <v>1195</v>
      </c>
    </row>
    <row r="427" spans="1:3">
      <c r="A427" s="38" t="str">
        <f t="shared" si="1"/>
        <v>10 01 22*</v>
      </c>
      <c r="B427" s="41" t="s">
        <v>1196</v>
      </c>
      <c r="C427" s="42" t="s">
        <v>1197</v>
      </c>
    </row>
    <row r="428" spans="1:3">
      <c r="A428" s="38" t="str">
        <f t="shared" si="1"/>
        <v>10 01 23</v>
      </c>
      <c r="B428" s="41" t="s">
        <v>1198</v>
      </c>
      <c r="C428" s="42" t="s">
        <v>1199</v>
      </c>
    </row>
    <row r="429" spans="1:3">
      <c r="A429" s="38" t="str">
        <f t="shared" si="1"/>
        <v>10 01 24</v>
      </c>
      <c r="B429" s="41" t="s">
        <v>1200</v>
      </c>
      <c r="C429" s="42" t="s">
        <v>1201</v>
      </c>
    </row>
    <row r="430" spans="1:3">
      <c r="A430" s="38" t="str">
        <f t="shared" si="1"/>
        <v>10 01 25</v>
      </c>
      <c r="B430" s="41" t="s">
        <v>1202</v>
      </c>
      <c r="C430" s="42" t="s">
        <v>1203</v>
      </c>
    </row>
    <row r="431" spans="1:3">
      <c r="A431" s="38" t="str">
        <f t="shared" si="1"/>
        <v>10 01 26</v>
      </c>
      <c r="B431" s="41" t="s">
        <v>1204</v>
      </c>
      <c r="C431" s="42" t="s">
        <v>1205</v>
      </c>
    </row>
    <row r="432" spans="1:3">
      <c r="A432" s="38" t="str">
        <f t="shared" si="1"/>
        <v>10 01 99</v>
      </c>
      <c r="B432" s="41" t="s">
        <v>1206</v>
      </c>
      <c r="C432" s="42" t="s">
        <v>591</v>
      </c>
    </row>
    <row r="433" spans="1:3">
      <c r="A433" s="38" t="str">
        <f t="shared" si="1"/>
        <v/>
      </c>
      <c r="B433" s="42"/>
      <c r="C433" s="42"/>
    </row>
    <row r="434" spans="1:3">
      <c r="A434" s="38" t="str">
        <f t="shared" si="1"/>
        <v>10 02</v>
      </c>
      <c r="B434" s="39" t="s">
        <v>1207</v>
      </c>
      <c r="C434" s="40" t="s">
        <v>1208</v>
      </c>
    </row>
    <row r="435" spans="1:3">
      <c r="A435" s="38" t="str">
        <f t="shared" si="1"/>
        <v>10 02 01</v>
      </c>
      <c r="B435" s="41" t="s">
        <v>1209</v>
      </c>
      <c r="C435" s="42" t="s">
        <v>1210</v>
      </c>
    </row>
    <row r="436" spans="1:3">
      <c r="A436" s="38" t="str">
        <f t="shared" si="1"/>
        <v>10 02 02</v>
      </c>
      <c r="B436" s="41" t="s">
        <v>1211</v>
      </c>
      <c r="C436" s="42" t="s">
        <v>1212</v>
      </c>
    </row>
    <row r="437" spans="1:3">
      <c r="A437" s="38" t="str">
        <f t="shared" si="1"/>
        <v>10 02 07*</v>
      </c>
      <c r="B437" s="41" t="s">
        <v>1213</v>
      </c>
      <c r="C437" s="42" t="s">
        <v>1214</v>
      </c>
    </row>
    <row r="438" spans="1:3">
      <c r="A438" s="38" t="str">
        <f t="shared" si="1"/>
        <v>10 02 08</v>
      </c>
      <c r="B438" s="41" t="s">
        <v>1215</v>
      </c>
      <c r="C438" s="42" t="s">
        <v>1216</v>
      </c>
    </row>
    <row r="439" spans="1:3">
      <c r="A439" s="38" t="str">
        <f t="shared" si="1"/>
        <v>10 02 10</v>
      </c>
      <c r="B439" s="41" t="s">
        <v>1217</v>
      </c>
      <c r="C439" s="42" t="s">
        <v>1218</v>
      </c>
    </row>
    <row r="440" spans="1:3">
      <c r="A440" s="38" t="str">
        <f t="shared" si="1"/>
        <v>10 02 11*</v>
      </c>
      <c r="B440" s="41" t="s">
        <v>1219</v>
      </c>
      <c r="C440" s="42" t="s">
        <v>1220</v>
      </c>
    </row>
    <row r="441" spans="1:3">
      <c r="A441" s="38" t="str">
        <f t="shared" si="1"/>
        <v>10 02 12</v>
      </c>
      <c r="B441" s="41" t="s">
        <v>1221</v>
      </c>
      <c r="C441" s="42" t="s">
        <v>1222</v>
      </c>
    </row>
    <row r="442" spans="1:3">
      <c r="A442" s="38" t="str">
        <f t="shared" si="1"/>
        <v>10 02 13*</v>
      </c>
      <c r="B442" s="41" t="s">
        <v>1223</v>
      </c>
      <c r="C442" s="42" t="s">
        <v>1224</v>
      </c>
    </row>
    <row r="443" spans="1:3">
      <c r="A443" s="38" t="str">
        <f t="shared" si="1"/>
        <v>10 02 14</v>
      </c>
      <c r="B443" s="41" t="s">
        <v>1225</v>
      </c>
      <c r="C443" s="42" t="s">
        <v>1226</v>
      </c>
    </row>
    <row r="444" spans="1:3">
      <c r="A444" s="38" t="str">
        <f t="shared" si="1"/>
        <v>10 02 15</v>
      </c>
      <c r="B444" s="41" t="s">
        <v>1227</v>
      </c>
      <c r="C444" s="42" t="s">
        <v>1228</v>
      </c>
    </row>
    <row r="445" spans="1:3">
      <c r="A445" s="38" t="str">
        <f t="shared" si="1"/>
        <v>10 02 99</v>
      </c>
      <c r="B445" s="41" t="s">
        <v>1229</v>
      </c>
      <c r="C445" s="42" t="s">
        <v>591</v>
      </c>
    </row>
    <row r="446" spans="1:3">
      <c r="A446" s="38" t="str">
        <f t="shared" si="1"/>
        <v/>
      </c>
      <c r="B446" s="42"/>
      <c r="C446" s="42"/>
    </row>
    <row r="447" spans="1:3">
      <c r="A447" s="38" t="str">
        <f t="shared" si="1"/>
        <v>10 03</v>
      </c>
      <c r="B447" s="39" t="s">
        <v>1230</v>
      </c>
      <c r="C447" s="40" t="s">
        <v>1231</v>
      </c>
    </row>
    <row r="448" spans="1:3">
      <c r="A448" s="38" t="str">
        <f t="shared" si="1"/>
        <v>10 03 02</v>
      </c>
      <c r="B448" s="41" t="s">
        <v>1232</v>
      </c>
      <c r="C448" s="42" t="s">
        <v>1233</v>
      </c>
    </row>
    <row r="449" spans="1:3">
      <c r="A449" s="38" t="str">
        <f t="shared" si="1"/>
        <v>10 03 04*</v>
      </c>
      <c r="B449" s="41" t="s">
        <v>1234</v>
      </c>
      <c r="C449" s="42" t="s">
        <v>1235</v>
      </c>
    </row>
    <row r="450" spans="1:3">
      <c r="A450" s="38" t="str">
        <f t="shared" si="1"/>
        <v>10 03 05</v>
      </c>
      <c r="B450" s="41" t="s">
        <v>1236</v>
      </c>
      <c r="C450" s="42" t="s">
        <v>1237</v>
      </c>
    </row>
    <row r="451" spans="1:3">
      <c r="A451" s="38" t="str">
        <f t="shared" si="1"/>
        <v>10 03 08*</v>
      </c>
      <c r="B451" s="41" t="s">
        <v>1238</v>
      </c>
      <c r="C451" s="42" t="s">
        <v>1239</v>
      </c>
    </row>
    <row r="452" spans="1:3">
      <c r="A452" s="38" t="str">
        <f t="shared" si="1"/>
        <v>10 03 09*</v>
      </c>
      <c r="B452" s="41" t="s">
        <v>1240</v>
      </c>
      <c r="C452" s="42" t="s">
        <v>1241</v>
      </c>
    </row>
    <row r="453" spans="1:3">
      <c r="A453" s="38" t="str">
        <f t="shared" si="1"/>
        <v>10 03 15*</v>
      </c>
      <c r="B453" s="41" t="s">
        <v>1242</v>
      </c>
      <c r="C453" s="42" t="s">
        <v>1243</v>
      </c>
    </row>
    <row r="454" spans="1:3">
      <c r="A454" s="38" t="str">
        <f t="shared" si="1"/>
        <v>10 03 16</v>
      </c>
      <c r="B454" s="41" t="s">
        <v>1244</v>
      </c>
      <c r="C454" s="42" t="s">
        <v>1245</v>
      </c>
    </row>
    <row r="455" spans="1:3">
      <c r="A455" s="38" t="str">
        <f t="shared" si="1"/>
        <v>10 03 17*</v>
      </c>
      <c r="B455" s="41" t="s">
        <v>1246</v>
      </c>
      <c r="C455" s="42" t="s">
        <v>1247</v>
      </c>
    </row>
    <row r="456" spans="1:3">
      <c r="A456" s="38" t="str">
        <f t="shared" si="1"/>
        <v>10 03 18</v>
      </c>
      <c r="B456" s="41" t="s">
        <v>1248</v>
      </c>
      <c r="C456" s="42" t="s">
        <v>1249</v>
      </c>
    </row>
    <row r="457" spans="1:3">
      <c r="A457" s="38" t="str">
        <f t="shared" si="1"/>
        <v>10 03 19*</v>
      </c>
      <c r="B457" s="41" t="s">
        <v>1250</v>
      </c>
      <c r="C457" s="42" t="s">
        <v>1251</v>
      </c>
    </row>
    <row r="458" spans="1:3">
      <c r="A458" s="38" t="str">
        <f t="shared" si="1"/>
        <v>10 03 20</v>
      </c>
      <c r="B458" s="41" t="s">
        <v>1252</v>
      </c>
      <c r="C458" s="42" t="s">
        <v>1253</v>
      </c>
    </row>
    <row r="459" spans="1:3">
      <c r="A459" s="38" t="str">
        <f t="shared" si="1"/>
        <v>10 03 21*</v>
      </c>
      <c r="B459" s="41" t="s">
        <v>1254</v>
      </c>
      <c r="C459" s="42" t="s">
        <v>1255</v>
      </c>
    </row>
    <row r="460" spans="1:3">
      <c r="A460" s="38" t="str">
        <f t="shared" si="1"/>
        <v>10 03 22</v>
      </c>
      <c r="B460" s="41" t="s">
        <v>1256</v>
      </c>
      <c r="C460" s="42" t="s">
        <v>1257</v>
      </c>
    </row>
    <row r="461" spans="1:3">
      <c r="A461" s="38" t="str">
        <f t="shared" si="1"/>
        <v>10 03 23*</v>
      </c>
      <c r="B461" s="41" t="s">
        <v>1258</v>
      </c>
      <c r="C461" s="42" t="s">
        <v>1214</v>
      </c>
    </row>
    <row r="462" spans="1:3">
      <c r="A462" s="38" t="str">
        <f t="shared" si="1"/>
        <v>10 03 24</v>
      </c>
      <c r="B462" s="41" t="s">
        <v>1259</v>
      </c>
      <c r="C462" s="42" t="s">
        <v>1260</v>
      </c>
    </row>
    <row r="463" spans="1:3">
      <c r="A463" s="38" t="str">
        <f t="shared" si="1"/>
        <v>10 03 25*</v>
      </c>
      <c r="B463" s="41" t="s">
        <v>1261</v>
      </c>
      <c r="C463" s="42" t="s">
        <v>1224</v>
      </c>
    </row>
    <row r="464" spans="1:3">
      <c r="A464" s="38" t="str">
        <f t="shared" si="1"/>
        <v>10 03 26</v>
      </c>
      <c r="B464" s="41" t="s">
        <v>1262</v>
      </c>
      <c r="C464" s="42" t="s">
        <v>1263</v>
      </c>
    </row>
    <row r="465" spans="1:3">
      <c r="A465" s="38" t="str">
        <f t="shared" si="1"/>
        <v>10 03 27*</v>
      </c>
      <c r="B465" s="41" t="s">
        <v>1264</v>
      </c>
      <c r="C465" s="42" t="s">
        <v>1220</v>
      </c>
    </row>
    <row r="466" spans="1:3">
      <c r="A466" s="38" t="str">
        <f t="shared" si="1"/>
        <v>10 03 28</v>
      </c>
      <c r="B466" s="41" t="s">
        <v>1265</v>
      </c>
      <c r="C466" s="42" t="s">
        <v>1266</v>
      </c>
    </row>
    <row r="467" spans="1:3">
      <c r="A467" s="38" t="str">
        <f t="shared" si="1"/>
        <v>10 03 29*</v>
      </c>
      <c r="B467" s="41" t="s">
        <v>1267</v>
      </c>
      <c r="C467" s="42" t="s">
        <v>1268</v>
      </c>
    </row>
    <row r="468" spans="1:3">
      <c r="A468" s="38" t="str">
        <f t="shared" si="1"/>
        <v>10 03 30</v>
      </c>
      <c r="B468" s="41" t="s">
        <v>1269</v>
      </c>
      <c r="C468" s="42" t="s">
        <v>1270</v>
      </c>
    </row>
    <row r="469" spans="1:3">
      <c r="A469" s="38" t="str">
        <f t="shared" si="1"/>
        <v>10 03 99</v>
      </c>
      <c r="B469" s="41" t="s">
        <v>1271</v>
      </c>
      <c r="C469" s="42" t="s">
        <v>591</v>
      </c>
    </row>
    <row r="470" spans="1:3">
      <c r="A470" s="38" t="str">
        <f t="shared" si="1"/>
        <v/>
      </c>
      <c r="B470" s="42"/>
      <c r="C470" s="42"/>
    </row>
    <row r="471" spans="1:3">
      <c r="A471" s="38" t="str">
        <f t="shared" si="1"/>
        <v>10 04</v>
      </c>
      <c r="B471" s="39" t="s">
        <v>1272</v>
      </c>
      <c r="C471" s="40" t="s">
        <v>1273</v>
      </c>
    </row>
    <row r="472" spans="1:3">
      <c r="A472" s="38" t="str">
        <f t="shared" si="1"/>
        <v>10 04 01*</v>
      </c>
      <c r="B472" s="41" t="s">
        <v>1274</v>
      </c>
      <c r="C472" s="42" t="s">
        <v>1275</v>
      </c>
    </row>
    <row r="473" spans="1:3">
      <c r="A473" s="38" t="str">
        <f t="shared" si="1"/>
        <v>10 04 02*</v>
      </c>
      <c r="B473" s="41" t="s">
        <v>1276</v>
      </c>
      <c r="C473" s="42" t="s">
        <v>1277</v>
      </c>
    </row>
    <row r="474" spans="1:3">
      <c r="A474" s="38" t="str">
        <f t="shared" si="1"/>
        <v>10 04 03*</v>
      </c>
      <c r="B474" s="41" t="s">
        <v>1278</v>
      </c>
      <c r="C474" s="42" t="s">
        <v>1279</v>
      </c>
    </row>
    <row r="475" spans="1:3">
      <c r="A475" s="38" t="str">
        <f t="shared" si="1"/>
        <v>10 04 04*</v>
      </c>
      <c r="B475" s="41" t="s">
        <v>1280</v>
      </c>
      <c r="C475" s="42" t="s">
        <v>1281</v>
      </c>
    </row>
    <row r="476" spans="1:3">
      <c r="A476" s="38" t="str">
        <f t="shared" si="1"/>
        <v>10 04 05*</v>
      </c>
      <c r="B476" s="41" t="s">
        <v>1282</v>
      </c>
      <c r="C476" s="42" t="s">
        <v>1283</v>
      </c>
    </row>
    <row r="477" spans="1:3">
      <c r="A477" s="38" t="str">
        <f t="shared" si="1"/>
        <v>10 04 06*</v>
      </c>
      <c r="B477" s="41" t="s">
        <v>1284</v>
      </c>
      <c r="C477" s="42" t="s">
        <v>1285</v>
      </c>
    </row>
    <row r="478" spans="1:3">
      <c r="A478" s="38" t="str">
        <f t="shared" si="1"/>
        <v>10 04 07*</v>
      </c>
      <c r="B478" s="41" t="s">
        <v>1286</v>
      </c>
      <c r="C478" s="42" t="s">
        <v>1287</v>
      </c>
    </row>
    <row r="479" spans="1:3">
      <c r="A479" s="38" t="str">
        <f t="shared" si="1"/>
        <v>10 04 09*</v>
      </c>
      <c r="B479" s="41" t="s">
        <v>1288</v>
      </c>
      <c r="C479" s="42" t="s">
        <v>1220</v>
      </c>
    </row>
    <row r="480" spans="1:3">
      <c r="A480" s="38" t="str">
        <f t="shared" si="1"/>
        <v>10 04 10</v>
      </c>
      <c r="B480" s="41" t="s">
        <v>1289</v>
      </c>
      <c r="C480" s="42" t="s">
        <v>1290</v>
      </c>
    </row>
    <row r="481" spans="1:3">
      <c r="A481" s="38" t="str">
        <f t="shared" si="1"/>
        <v>10 04 99</v>
      </c>
      <c r="B481" s="41" t="s">
        <v>1291</v>
      </c>
      <c r="C481" s="42" t="s">
        <v>591</v>
      </c>
    </row>
    <row r="482" spans="1:3">
      <c r="A482" s="38" t="str">
        <f t="shared" si="1"/>
        <v/>
      </c>
      <c r="B482" s="42"/>
      <c r="C482" s="42"/>
    </row>
    <row r="483" spans="1:3">
      <c r="A483" s="38" t="str">
        <f t="shared" si="1"/>
        <v>10 05</v>
      </c>
      <c r="B483" s="39" t="s">
        <v>1292</v>
      </c>
      <c r="C483" s="40" t="s">
        <v>1293</v>
      </c>
    </row>
    <row r="484" spans="1:3">
      <c r="A484" s="38" t="str">
        <f t="shared" si="1"/>
        <v>10 05 01</v>
      </c>
      <c r="B484" s="41" t="s">
        <v>1294</v>
      </c>
      <c r="C484" s="42" t="s">
        <v>1275</v>
      </c>
    </row>
    <row r="485" spans="1:3">
      <c r="A485" s="38" t="str">
        <f t="shared" si="1"/>
        <v>10 05 03*</v>
      </c>
      <c r="B485" s="41" t="s">
        <v>1295</v>
      </c>
      <c r="C485" s="42" t="s">
        <v>1281</v>
      </c>
    </row>
    <row r="486" spans="1:3">
      <c r="A486" s="38" t="str">
        <f t="shared" si="1"/>
        <v>10 05 04</v>
      </c>
      <c r="B486" s="41" t="s">
        <v>1296</v>
      </c>
      <c r="C486" s="42" t="s">
        <v>1283</v>
      </c>
    </row>
    <row r="487" spans="1:3">
      <c r="A487" s="38" t="str">
        <f t="shared" si="1"/>
        <v>10 05 05*</v>
      </c>
      <c r="B487" s="41" t="s">
        <v>1297</v>
      </c>
      <c r="C487" s="42" t="s">
        <v>1285</v>
      </c>
    </row>
    <row r="488" spans="1:3">
      <c r="A488" s="38" t="str">
        <f t="shared" si="1"/>
        <v>10 05 06*</v>
      </c>
      <c r="B488" s="41" t="s">
        <v>1298</v>
      </c>
      <c r="C488" s="42" t="s">
        <v>1287</v>
      </c>
    </row>
    <row r="489" spans="1:3">
      <c r="A489" s="38" t="str">
        <f t="shared" si="1"/>
        <v>10 05 08*</v>
      </c>
      <c r="B489" s="41" t="s">
        <v>1299</v>
      </c>
      <c r="C489" s="42" t="s">
        <v>1220</v>
      </c>
    </row>
    <row r="490" spans="1:3">
      <c r="A490" s="38" t="str">
        <f t="shared" si="1"/>
        <v>10 05 09</v>
      </c>
      <c r="B490" s="41" t="s">
        <v>1300</v>
      </c>
      <c r="C490" s="42" t="s">
        <v>1301</v>
      </c>
    </row>
    <row r="491" spans="1:3">
      <c r="A491" s="38" t="str">
        <f t="shared" si="1"/>
        <v>10 05 10*</v>
      </c>
      <c r="B491" s="41" t="s">
        <v>1302</v>
      </c>
      <c r="C491" s="42" t="s">
        <v>1303</v>
      </c>
    </row>
    <row r="492" spans="1:3">
      <c r="A492" s="38" t="str">
        <f t="shared" si="1"/>
        <v>10 05 11</v>
      </c>
      <c r="B492" s="41" t="s">
        <v>1304</v>
      </c>
      <c r="C492" s="42" t="s">
        <v>1305</v>
      </c>
    </row>
    <row r="493" spans="1:3">
      <c r="A493" s="38" t="str">
        <f t="shared" si="1"/>
        <v>10 05 99</v>
      </c>
      <c r="B493" s="41" t="s">
        <v>1306</v>
      </c>
      <c r="C493" s="42" t="s">
        <v>591</v>
      </c>
    </row>
    <row r="494" spans="1:3">
      <c r="A494" s="38" t="str">
        <f t="shared" si="1"/>
        <v/>
      </c>
      <c r="B494" s="42"/>
      <c r="C494" s="42"/>
    </row>
    <row r="495" spans="1:3">
      <c r="A495" s="38" t="str">
        <f t="shared" si="1"/>
        <v>10 06</v>
      </c>
      <c r="B495" s="39" t="s">
        <v>1307</v>
      </c>
      <c r="C495" s="40" t="s">
        <v>1308</v>
      </c>
    </row>
    <row r="496" spans="1:3">
      <c r="A496" s="38" t="str">
        <f t="shared" si="1"/>
        <v>10 06 01</v>
      </c>
      <c r="B496" s="41" t="s">
        <v>1309</v>
      </c>
      <c r="C496" s="42" t="s">
        <v>1275</v>
      </c>
    </row>
    <row r="497" spans="1:3">
      <c r="A497" s="38" t="str">
        <f t="shared" si="1"/>
        <v>10 06 02</v>
      </c>
      <c r="B497" s="41" t="s">
        <v>1310</v>
      </c>
      <c r="C497" s="42" t="s">
        <v>1277</v>
      </c>
    </row>
    <row r="498" spans="1:3">
      <c r="A498" s="38" t="str">
        <f t="shared" si="1"/>
        <v>10 06 03*</v>
      </c>
      <c r="B498" s="41" t="s">
        <v>1311</v>
      </c>
      <c r="C498" s="42" t="s">
        <v>1281</v>
      </c>
    </row>
    <row r="499" spans="1:3">
      <c r="A499" s="38" t="str">
        <f t="shared" si="1"/>
        <v>10 06 04</v>
      </c>
      <c r="B499" s="41" t="s">
        <v>1312</v>
      </c>
      <c r="C499" s="42" t="s">
        <v>1283</v>
      </c>
    </row>
    <row r="500" spans="1:3">
      <c r="A500" s="38" t="str">
        <f t="shared" si="1"/>
        <v>10 06 06*</v>
      </c>
      <c r="B500" s="41" t="s">
        <v>1313</v>
      </c>
      <c r="C500" s="42" t="s">
        <v>1285</v>
      </c>
    </row>
    <row r="501" spans="1:3">
      <c r="A501" s="38" t="str">
        <f t="shared" si="1"/>
        <v>10 06 07*</v>
      </c>
      <c r="B501" s="41" t="s">
        <v>1314</v>
      </c>
      <c r="C501" s="42" t="s">
        <v>1287</v>
      </c>
    </row>
    <row r="502" spans="1:3">
      <c r="A502" s="38" t="str">
        <f t="shared" si="1"/>
        <v>10 06 09*</v>
      </c>
      <c r="B502" s="41" t="s">
        <v>1315</v>
      </c>
      <c r="C502" s="42" t="s">
        <v>1220</v>
      </c>
    </row>
    <row r="503" spans="1:3">
      <c r="A503" s="38" t="str">
        <f t="shared" si="1"/>
        <v>10 06 10</v>
      </c>
      <c r="B503" s="41" t="s">
        <v>1316</v>
      </c>
      <c r="C503" s="42" t="s">
        <v>1317</v>
      </c>
    </row>
    <row r="504" spans="1:3">
      <c r="A504" s="38" t="str">
        <f t="shared" si="1"/>
        <v>10 06 99</v>
      </c>
      <c r="B504" s="41" t="s">
        <v>1318</v>
      </c>
      <c r="C504" s="42" t="s">
        <v>591</v>
      </c>
    </row>
    <row r="505" spans="1:3">
      <c r="A505" s="38" t="str">
        <f t="shared" si="1"/>
        <v/>
      </c>
      <c r="B505" s="42"/>
      <c r="C505" s="42"/>
    </row>
    <row r="506" spans="1:3">
      <c r="A506" s="38" t="str">
        <f t="shared" si="1"/>
        <v>10 07</v>
      </c>
      <c r="B506" s="39" t="s">
        <v>1319</v>
      </c>
      <c r="C506" s="40" t="s">
        <v>1320</v>
      </c>
    </row>
    <row r="507" spans="1:3">
      <c r="A507" s="38" t="str">
        <f t="shared" si="1"/>
        <v>10 07 01</v>
      </c>
      <c r="B507" s="41" t="s">
        <v>1321</v>
      </c>
      <c r="C507" s="42" t="s">
        <v>1275</v>
      </c>
    </row>
    <row r="508" spans="1:3">
      <c r="A508" s="38" t="str">
        <f t="shared" si="1"/>
        <v>10 07 02</v>
      </c>
      <c r="B508" s="41" t="s">
        <v>1322</v>
      </c>
      <c r="C508" s="42" t="s">
        <v>1277</v>
      </c>
    </row>
    <row r="509" spans="1:3">
      <c r="A509" s="38" t="str">
        <f t="shared" si="1"/>
        <v>10 07 03</v>
      </c>
      <c r="B509" s="41" t="s">
        <v>1323</v>
      </c>
      <c r="C509" s="42" t="s">
        <v>1285</v>
      </c>
    </row>
    <row r="510" spans="1:3">
      <c r="A510" s="38" t="str">
        <f t="shared" si="1"/>
        <v>10 07 04</v>
      </c>
      <c r="B510" s="41" t="s">
        <v>1324</v>
      </c>
      <c r="C510" s="42" t="s">
        <v>1283</v>
      </c>
    </row>
    <row r="511" spans="1:3">
      <c r="A511" s="38" t="str">
        <f t="shared" ref="A511:A765" si="2">CLEAN(B511)</f>
        <v>10 07 05</v>
      </c>
      <c r="B511" s="41" t="s">
        <v>1325</v>
      </c>
      <c r="C511" s="42" t="s">
        <v>1287</v>
      </c>
    </row>
    <row r="512" spans="1:3">
      <c r="A512" s="38" t="str">
        <f t="shared" si="2"/>
        <v>10 07 07*</v>
      </c>
      <c r="B512" s="41" t="s">
        <v>1326</v>
      </c>
      <c r="C512" s="42" t="s">
        <v>1220</v>
      </c>
    </row>
    <row r="513" spans="1:3">
      <c r="A513" s="38" t="str">
        <f t="shared" si="2"/>
        <v>10 07 08</v>
      </c>
      <c r="B513" s="41" t="s">
        <v>1327</v>
      </c>
      <c r="C513" s="42" t="s">
        <v>1328</v>
      </c>
    </row>
    <row r="514" spans="1:3">
      <c r="A514" s="38" t="str">
        <f t="shared" si="2"/>
        <v>10 07 99</v>
      </c>
      <c r="B514" s="41" t="s">
        <v>1329</v>
      </c>
      <c r="C514" s="42" t="s">
        <v>591</v>
      </c>
    </row>
    <row r="515" spans="1:3">
      <c r="A515" s="38" t="str">
        <f t="shared" si="2"/>
        <v/>
      </c>
      <c r="B515" s="42"/>
      <c r="C515" s="42"/>
    </row>
    <row r="516" spans="1:3">
      <c r="A516" s="38" t="str">
        <f t="shared" si="2"/>
        <v>10 08</v>
      </c>
      <c r="B516" s="39" t="s">
        <v>1330</v>
      </c>
      <c r="C516" s="40" t="s">
        <v>1331</v>
      </c>
    </row>
    <row r="517" spans="1:3">
      <c r="A517" s="38" t="str">
        <f t="shared" si="2"/>
        <v>10 08 04</v>
      </c>
      <c r="B517" s="41" t="s">
        <v>1332</v>
      </c>
      <c r="C517" s="42" t="s">
        <v>1333</v>
      </c>
    </row>
    <row r="518" spans="1:3">
      <c r="A518" s="38" t="str">
        <f t="shared" si="2"/>
        <v>10 08 08*</v>
      </c>
      <c r="B518" s="41" t="s">
        <v>1334</v>
      </c>
      <c r="C518" s="42" t="s">
        <v>1335</v>
      </c>
    </row>
    <row r="519" spans="1:3">
      <c r="A519" s="38" t="str">
        <f t="shared" si="2"/>
        <v>10 08 09</v>
      </c>
      <c r="B519" s="41" t="s">
        <v>1336</v>
      </c>
      <c r="C519" s="42" t="s">
        <v>1337</v>
      </c>
    </row>
    <row r="520" spans="1:3">
      <c r="A520" s="38" t="str">
        <f t="shared" si="2"/>
        <v>10 08 10*</v>
      </c>
      <c r="B520" s="41" t="s">
        <v>1338</v>
      </c>
      <c r="C520" s="42" t="s">
        <v>1303</v>
      </c>
    </row>
    <row r="521" spans="1:3">
      <c r="A521" s="38" t="str">
        <f t="shared" si="2"/>
        <v>10 08 11</v>
      </c>
      <c r="B521" s="41" t="s">
        <v>1339</v>
      </c>
      <c r="C521" s="42" t="s">
        <v>1340</v>
      </c>
    </row>
    <row r="522" spans="1:3">
      <c r="A522" s="38" t="str">
        <f t="shared" si="2"/>
        <v>10 08 12*</v>
      </c>
      <c r="B522" s="41" t="s">
        <v>1341</v>
      </c>
      <c r="C522" s="42" t="s">
        <v>1247</v>
      </c>
    </row>
    <row r="523" spans="1:3">
      <c r="A523" s="38" t="str">
        <f t="shared" si="2"/>
        <v>10 08 13</v>
      </c>
      <c r="B523" s="41" t="s">
        <v>1342</v>
      </c>
      <c r="C523" s="42" t="s">
        <v>1343</v>
      </c>
    </row>
    <row r="524" spans="1:3">
      <c r="A524" s="38" t="str">
        <f t="shared" si="2"/>
        <v>10 08 14</v>
      </c>
      <c r="B524" s="41" t="s">
        <v>1344</v>
      </c>
      <c r="C524" s="42" t="s">
        <v>1233</v>
      </c>
    </row>
    <row r="525" spans="1:3">
      <c r="A525" s="38" t="str">
        <f t="shared" si="2"/>
        <v>10 08 15*</v>
      </c>
      <c r="B525" s="41" t="s">
        <v>1345</v>
      </c>
      <c r="C525" s="42" t="s">
        <v>1251</v>
      </c>
    </row>
    <row r="526" spans="1:3">
      <c r="A526" s="38" t="str">
        <f t="shared" si="2"/>
        <v>10 08 16</v>
      </c>
      <c r="B526" s="41" t="s">
        <v>1346</v>
      </c>
      <c r="C526" s="42" t="s">
        <v>1347</v>
      </c>
    </row>
    <row r="527" spans="1:3">
      <c r="A527" s="38" t="str">
        <f t="shared" si="2"/>
        <v>10 08 17*</v>
      </c>
      <c r="B527" s="41" t="s">
        <v>1348</v>
      </c>
      <c r="C527" s="42" t="s">
        <v>1224</v>
      </c>
    </row>
    <row r="528" spans="1:3">
      <c r="A528" s="38" t="str">
        <f t="shared" si="2"/>
        <v>10 08 18</v>
      </c>
      <c r="B528" s="41" t="s">
        <v>1349</v>
      </c>
      <c r="C528" s="42" t="s">
        <v>1350</v>
      </c>
    </row>
    <row r="529" spans="1:3">
      <c r="A529" s="38" t="str">
        <f t="shared" si="2"/>
        <v>10 08 19*</v>
      </c>
      <c r="B529" s="41" t="s">
        <v>1351</v>
      </c>
      <c r="C529" s="42" t="s">
        <v>1220</v>
      </c>
    </row>
    <row r="530" spans="1:3">
      <c r="A530" s="38" t="str">
        <f t="shared" si="2"/>
        <v>10 08 20</v>
      </c>
      <c r="B530" s="41" t="s">
        <v>1352</v>
      </c>
      <c r="C530" s="42" t="s">
        <v>1353</v>
      </c>
    </row>
    <row r="531" spans="1:3">
      <c r="A531" s="38" t="str">
        <f t="shared" si="2"/>
        <v>10 08 99</v>
      </c>
      <c r="B531" s="41" t="s">
        <v>1354</v>
      </c>
      <c r="C531" s="42" t="s">
        <v>591</v>
      </c>
    </row>
    <row r="532" spans="1:3">
      <c r="A532" s="38" t="str">
        <f t="shared" si="2"/>
        <v/>
      </c>
      <c r="B532" s="42"/>
      <c r="C532" s="42"/>
    </row>
    <row r="533" spans="1:3">
      <c r="A533" s="38" t="str">
        <f t="shared" si="2"/>
        <v xml:space="preserve">10 09 </v>
      </c>
      <c r="B533" s="39" t="s">
        <v>1355</v>
      </c>
      <c r="C533" s="40" t="s">
        <v>1356</v>
      </c>
    </row>
    <row r="534" spans="1:3">
      <c r="A534" s="38" t="str">
        <f t="shared" si="2"/>
        <v>10 09 03</v>
      </c>
      <c r="B534" s="41" t="s">
        <v>1357</v>
      </c>
      <c r="C534" s="42" t="s">
        <v>1358</v>
      </c>
    </row>
    <row r="535" spans="1:3">
      <c r="A535" s="38" t="str">
        <f t="shared" si="2"/>
        <v>10 09 05*</v>
      </c>
      <c r="B535" s="41" t="s">
        <v>1359</v>
      </c>
      <c r="C535" s="42" t="s">
        <v>1360</v>
      </c>
    </row>
    <row r="536" spans="1:3">
      <c r="A536" s="38" t="str">
        <f t="shared" si="2"/>
        <v>10 09 06</v>
      </c>
      <c r="B536" s="41" t="s">
        <v>1361</v>
      </c>
      <c r="C536" s="42" t="s">
        <v>1362</v>
      </c>
    </row>
    <row r="537" spans="1:3">
      <c r="A537" s="38" t="str">
        <f t="shared" si="2"/>
        <v>10 09 07*</v>
      </c>
      <c r="B537" s="41" t="s">
        <v>1363</v>
      </c>
      <c r="C537" s="42" t="s">
        <v>1364</v>
      </c>
    </row>
    <row r="538" spans="1:3">
      <c r="A538" s="38" t="str">
        <f t="shared" si="2"/>
        <v>10 09 08</v>
      </c>
      <c r="B538" s="41" t="s">
        <v>1365</v>
      </c>
      <c r="C538" s="42" t="s">
        <v>1366</v>
      </c>
    </row>
    <row r="539" spans="1:3">
      <c r="A539" s="38" t="str">
        <f t="shared" si="2"/>
        <v>10 09 09*</v>
      </c>
      <c r="B539" s="41" t="s">
        <v>1367</v>
      </c>
      <c r="C539" s="42" t="s">
        <v>1251</v>
      </c>
    </row>
    <row r="540" spans="1:3">
      <c r="A540" s="38" t="str">
        <f t="shared" si="2"/>
        <v>10 09 10</v>
      </c>
      <c r="B540" s="41" t="s">
        <v>1368</v>
      </c>
      <c r="C540" s="42" t="s">
        <v>1369</v>
      </c>
    </row>
    <row r="541" spans="1:3">
      <c r="A541" s="38" t="str">
        <f t="shared" si="2"/>
        <v>10 09 11*</v>
      </c>
      <c r="B541" s="41" t="s">
        <v>1370</v>
      </c>
      <c r="C541" s="42" t="s">
        <v>1371</v>
      </c>
    </row>
    <row r="542" spans="1:3">
      <c r="A542" s="38" t="str">
        <f t="shared" si="2"/>
        <v>10 09 12</v>
      </c>
      <c r="B542" s="41" t="s">
        <v>1372</v>
      </c>
      <c r="C542" s="42" t="s">
        <v>1373</v>
      </c>
    </row>
    <row r="543" spans="1:3">
      <c r="A543" s="38" t="str">
        <f t="shared" si="2"/>
        <v>10 09 13*</v>
      </c>
      <c r="B543" s="41" t="s">
        <v>1374</v>
      </c>
      <c r="C543" s="42" t="s">
        <v>1375</v>
      </c>
    </row>
    <row r="544" spans="1:3">
      <c r="A544" s="38" t="str">
        <f t="shared" si="2"/>
        <v>10 09 14</v>
      </c>
      <c r="B544" s="41" t="s">
        <v>1376</v>
      </c>
      <c r="C544" s="42" t="s">
        <v>1377</v>
      </c>
    </row>
    <row r="545" spans="1:3">
      <c r="A545" s="38" t="str">
        <f t="shared" si="2"/>
        <v>10 09 15*</v>
      </c>
      <c r="B545" s="41" t="s">
        <v>1378</v>
      </c>
      <c r="C545" s="42" t="s">
        <v>1379</v>
      </c>
    </row>
    <row r="546" spans="1:3">
      <c r="A546" s="38" t="str">
        <f t="shared" si="2"/>
        <v>10 09 16</v>
      </c>
      <c r="B546" s="41" t="s">
        <v>1380</v>
      </c>
      <c r="C546" s="42" t="s">
        <v>1381</v>
      </c>
    </row>
    <row r="547" spans="1:3">
      <c r="A547" s="38" t="str">
        <f t="shared" si="2"/>
        <v>10 09 99</v>
      </c>
      <c r="B547" s="41" t="s">
        <v>1382</v>
      </c>
      <c r="C547" s="42" t="s">
        <v>591</v>
      </c>
    </row>
    <row r="548" spans="1:3">
      <c r="A548" s="38" t="str">
        <f t="shared" si="2"/>
        <v/>
      </c>
      <c r="B548" s="42"/>
      <c r="C548" s="42"/>
    </row>
    <row r="549" spans="1:3">
      <c r="A549" s="38" t="str">
        <f t="shared" si="2"/>
        <v>10 10</v>
      </c>
      <c r="B549" s="39" t="s">
        <v>1383</v>
      </c>
      <c r="C549" s="40" t="s">
        <v>1384</v>
      </c>
    </row>
    <row r="550" spans="1:3">
      <c r="A550" s="38" t="str">
        <f t="shared" si="2"/>
        <v>10 10 03</v>
      </c>
      <c r="B550" s="41" t="s">
        <v>1385</v>
      </c>
      <c r="C550" s="42" t="s">
        <v>1358</v>
      </c>
    </row>
    <row r="551" spans="1:3">
      <c r="A551" s="38" t="str">
        <f t="shared" si="2"/>
        <v>10 10 05*</v>
      </c>
      <c r="B551" s="41" t="s">
        <v>1386</v>
      </c>
      <c r="C551" s="42" t="s">
        <v>1360</v>
      </c>
    </row>
    <row r="552" spans="1:3">
      <c r="A552" s="38" t="str">
        <f t="shared" si="2"/>
        <v>10 10 06</v>
      </c>
      <c r="B552" s="41" t="s">
        <v>1387</v>
      </c>
      <c r="C552" s="42" t="s">
        <v>1388</v>
      </c>
    </row>
    <row r="553" spans="1:3">
      <c r="A553" s="38" t="str">
        <f t="shared" si="2"/>
        <v>10 10 07*</v>
      </c>
      <c r="B553" s="41" t="s">
        <v>1389</v>
      </c>
      <c r="C553" s="42" t="s">
        <v>1364</v>
      </c>
    </row>
    <row r="554" spans="1:3">
      <c r="A554" s="38" t="str">
        <f t="shared" si="2"/>
        <v>10 10 08</v>
      </c>
      <c r="B554" s="41" t="s">
        <v>1390</v>
      </c>
      <c r="C554" s="42" t="s">
        <v>1391</v>
      </c>
    </row>
    <row r="555" spans="1:3">
      <c r="A555" s="38" t="str">
        <f t="shared" si="2"/>
        <v>10 10 09*</v>
      </c>
      <c r="B555" s="41" t="s">
        <v>1392</v>
      </c>
      <c r="C555" s="42" t="s">
        <v>1251</v>
      </c>
    </row>
    <row r="556" spans="1:3">
      <c r="A556" s="38" t="str">
        <f t="shared" si="2"/>
        <v>10 10 10</v>
      </c>
      <c r="B556" s="41" t="s">
        <v>1393</v>
      </c>
      <c r="C556" s="42" t="s">
        <v>1394</v>
      </c>
    </row>
    <row r="557" spans="1:3">
      <c r="A557" s="38" t="str">
        <f t="shared" si="2"/>
        <v>10 10 11*</v>
      </c>
      <c r="B557" s="41" t="s">
        <v>1395</v>
      </c>
      <c r="C557" s="42" t="s">
        <v>1371</v>
      </c>
    </row>
    <row r="558" spans="1:3">
      <c r="A558" s="38" t="str">
        <f t="shared" si="2"/>
        <v>10 10 12</v>
      </c>
      <c r="B558" s="41" t="s">
        <v>1396</v>
      </c>
      <c r="C558" s="42" t="s">
        <v>1397</v>
      </c>
    </row>
    <row r="559" spans="1:3">
      <c r="A559" s="38" t="str">
        <f t="shared" si="2"/>
        <v>10 10 13*</v>
      </c>
      <c r="B559" s="41" t="s">
        <v>1398</v>
      </c>
      <c r="C559" s="42" t="s">
        <v>1375</v>
      </c>
    </row>
    <row r="560" spans="1:3">
      <c r="A560" s="38" t="str">
        <f t="shared" si="2"/>
        <v>10 10 14</v>
      </c>
      <c r="B560" s="41" t="s">
        <v>1399</v>
      </c>
      <c r="C560" s="42" t="s">
        <v>1400</v>
      </c>
    </row>
    <row r="561" spans="1:3">
      <c r="A561" s="38" t="str">
        <f t="shared" si="2"/>
        <v>10 10 15*</v>
      </c>
      <c r="B561" s="41" t="s">
        <v>1401</v>
      </c>
      <c r="C561" s="42" t="s">
        <v>1379</v>
      </c>
    </row>
    <row r="562" spans="1:3">
      <c r="A562" s="38" t="str">
        <f t="shared" si="2"/>
        <v>10 10 16</v>
      </c>
      <c r="B562" s="41" t="s">
        <v>1402</v>
      </c>
      <c r="C562" s="42" t="s">
        <v>1403</v>
      </c>
    </row>
    <row r="563" spans="1:3">
      <c r="A563" s="38" t="str">
        <f t="shared" si="2"/>
        <v>10 10 99</v>
      </c>
      <c r="B563" s="41" t="s">
        <v>1404</v>
      </c>
      <c r="C563" s="42" t="s">
        <v>591</v>
      </c>
    </row>
    <row r="564" spans="1:3">
      <c r="A564" s="38" t="str">
        <f t="shared" si="2"/>
        <v/>
      </c>
      <c r="B564" s="42"/>
      <c r="C564" s="42"/>
    </row>
    <row r="565" spans="1:3">
      <c r="A565" s="38" t="str">
        <f t="shared" si="2"/>
        <v>10 11</v>
      </c>
      <c r="B565" s="39" t="s">
        <v>1405</v>
      </c>
      <c r="C565" s="40" t="s">
        <v>1406</v>
      </c>
    </row>
    <row r="566" spans="1:3">
      <c r="A566" s="38" t="str">
        <f t="shared" si="2"/>
        <v>10 11 03</v>
      </c>
      <c r="B566" s="41" t="s">
        <v>1407</v>
      </c>
      <c r="C566" s="42" t="s">
        <v>1408</v>
      </c>
    </row>
    <row r="567" spans="1:3">
      <c r="A567" s="38" t="str">
        <f t="shared" si="2"/>
        <v>10 11 05</v>
      </c>
      <c r="B567" s="41" t="s">
        <v>1409</v>
      </c>
      <c r="C567" s="42" t="s">
        <v>1333</v>
      </c>
    </row>
    <row r="568" spans="1:3">
      <c r="A568" s="38" t="str">
        <f t="shared" si="2"/>
        <v>10 11 09*</v>
      </c>
      <c r="B568" s="41" t="s">
        <v>1410</v>
      </c>
      <c r="C568" s="42" t="s">
        <v>1411</v>
      </c>
    </row>
    <row r="569" spans="1:3">
      <c r="A569" s="38" t="str">
        <f t="shared" si="2"/>
        <v>10 11 10</v>
      </c>
      <c r="B569" s="41" t="s">
        <v>1412</v>
      </c>
      <c r="C569" s="42" t="s">
        <v>1413</v>
      </c>
    </row>
    <row r="570" spans="1:3">
      <c r="A570" s="38" t="str">
        <f t="shared" si="2"/>
        <v>10 11 11*</v>
      </c>
      <c r="B570" s="41" t="s">
        <v>1414</v>
      </c>
      <c r="C570" s="42" t="s">
        <v>1415</v>
      </c>
    </row>
    <row r="571" spans="1:3">
      <c r="A571" s="38" t="str">
        <f t="shared" si="2"/>
        <v>10 11 12</v>
      </c>
      <c r="B571" s="41" t="s">
        <v>1416</v>
      </c>
      <c r="C571" s="42" t="s">
        <v>1417</v>
      </c>
    </row>
    <row r="572" spans="1:3">
      <c r="A572" s="38" t="str">
        <f t="shared" si="2"/>
        <v>10 11 13*</v>
      </c>
      <c r="B572" s="41" t="s">
        <v>1418</v>
      </c>
      <c r="C572" s="42" t="s">
        <v>1419</v>
      </c>
    </row>
    <row r="573" spans="1:3">
      <c r="A573" s="38" t="str">
        <f t="shared" si="2"/>
        <v>10 11 14</v>
      </c>
      <c r="B573" s="41" t="s">
        <v>1420</v>
      </c>
      <c r="C573" s="42" t="s">
        <v>1421</v>
      </c>
    </row>
    <row r="574" spans="1:3">
      <c r="A574" s="38" t="str">
        <f t="shared" si="2"/>
        <v>10 11 15*</v>
      </c>
      <c r="B574" s="41" t="s">
        <v>1422</v>
      </c>
      <c r="C574" s="42" t="s">
        <v>1214</v>
      </c>
    </row>
    <row r="575" spans="1:3">
      <c r="A575" s="38" t="str">
        <f t="shared" si="2"/>
        <v>10 11 16</v>
      </c>
      <c r="B575" s="41" t="s">
        <v>1423</v>
      </c>
      <c r="C575" s="42" t="s">
        <v>1424</v>
      </c>
    </row>
    <row r="576" spans="1:3">
      <c r="A576" s="38" t="str">
        <f t="shared" si="2"/>
        <v>10 11 17*</v>
      </c>
      <c r="B576" s="41" t="s">
        <v>1425</v>
      </c>
      <c r="C576" s="42" t="s">
        <v>1224</v>
      </c>
    </row>
    <row r="577" spans="1:3">
      <c r="A577" s="38" t="str">
        <f t="shared" si="2"/>
        <v>10 11 18</v>
      </c>
      <c r="B577" s="41" t="s">
        <v>1426</v>
      </c>
      <c r="C577" s="42" t="s">
        <v>1427</v>
      </c>
    </row>
    <row r="578" spans="1:3">
      <c r="A578" s="38" t="str">
        <f t="shared" si="2"/>
        <v>10 11 19*</v>
      </c>
      <c r="B578" s="41" t="s">
        <v>1428</v>
      </c>
      <c r="C578" s="42" t="s">
        <v>1429</v>
      </c>
    </row>
    <row r="579" spans="1:3">
      <c r="A579" s="38" t="str">
        <f t="shared" si="2"/>
        <v>10 11 20</v>
      </c>
      <c r="B579" s="41" t="s">
        <v>1430</v>
      </c>
      <c r="C579" s="42" t="s">
        <v>1431</v>
      </c>
    </row>
    <row r="580" spans="1:3">
      <c r="A580" s="38" t="str">
        <f t="shared" si="2"/>
        <v>10 11 99</v>
      </c>
      <c r="B580" s="41" t="s">
        <v>1432</v>
      </c>
      <c r="C580" s="42" t="s">
        <v>591</v>
      </c>
    </row>
    <row r="581" spans="1:3">
      <c r="A581" s="38" t="str">
        <f t="shared" si="2"/>
        <v/>
      </c>
      <c r="B581" s="42"/>
      <c r="C581" s="42"/>
    </row>
    <row r="582" spans="1:3">
      <c r="A582" s="38" t="str">
        <f t="shared" si="2"/>
        <v>10 12</v>
      </c>
      <c r="B582" s="39" t="s">
        <v>1433</v>
      </c>
      <c r="C582" s="40" t="s">
        <v>1434</v>
      </c>
    </row>
    <row r="583" spans="1:3">
      <c r="A583" s="38" t="str">
        <f t="shared" si="2"/>
        <v>10 12 01</v>
      </c>
      <c r="B583" s="41" t="s">
        <v>1435</v>
      </c>
      <c r="C583" s="42" t="s">
        <v>1436</v>
      </c>
    </row>
    <row r="584" spans="1:3">
      <c r="A584" s="38" t="str">
        <f t="shared" si="2"/>
        <v>10 12 03</v>
      </c>
      <c r="B584" s="41" t="s">
        <v>1437</v>
      </c>
      <c r="C584" s="42" t="s">
        <v>1333</v>
      </c>
    </row>
    <row r="585" spans="1:3">
      <c r="A585" s="38" t="str">
        <f t="shared" si="2"/>
        <v>10 12 05</v>
      </c>
      <c r="B585" s="41" t="s">
        <v>1438</v>
      </c>
      <c r="C585" s="42" t="s">
        <v>1287</v>
      </c>
    </row>
    <row r="586" spans="1:3">
      <c r="A586" s="38" t="str">
        <f t="shared" si="2"/>
        <v>10 12 06</v>
      </c>
      <c r="B586" s="41" t="s">
        <v>1439</v>
      </c>
      <c r="C586" s="42" t="s">
        <v>1440</v>
      </c>
    </row>
    <row r="587" spans="1:3">
      <c r="A587" s="38" t="str">
        <f t="shared" si="2"/>
        <v>10 12 08</v>
      </c>
      <c r="B587" s="41" t="s">
        <v>1441</v>
      </c>
      <c r="C587" s="42" t="s">
        <v>1442</v>
      </c>
    </row>
    <row r="588" spans="1:3">
      <c r="A588" s="38" t="str">
        <f t="shared" si="2"/>
        <v>10 12 09*</v>
      </c>
      <c r="B588" s="41" t="s">
        <v>1443</v>
      </c>
      <c r="C588" s="42" t="s">
        <v>1214</v>
      </c>
    </row>
    <row r="589" spans="1:3">
      <c r="A589" s="38" t="str">
        <f t="shared" si="2"/>
        <v>10 12 10</v>
      </c>
      <c r="B589" s="41" t="s">
        <v>1444</v>
      </c>
      <c r="C589" s="42" t="s">
        <v>1445</v>
      </c>
    </row>
    <row r="590" spans="1:3">
      <c r="A590" s="38" t="str">
        <f t="shared" si="2"/>
        <v>10 12 11*</v>
      </c>
      <c r="B590" s="41" t="s">
        <v>1446</v>
      </c>
      <c r="C590" s="42" t="s">
        <v>1447</v>
      </c>
    </row>
    <row r="591" spans="1:3">
      <c r="A591" s="38" t="str">
        <f t="shared" si="2"/>
        <v>10 12 12</v>
      </c>
      <c r="B591" s="41" t="s">
        <v>1448</v>
      </c>
      <c r="C591" s="42" t="s">
        <v>1449</v>
      </c>
    </row>
    <row r="592" spans="1:3">
      <c r="A592" s="38" t="str">
        <f t="shared" si="2"/>
        <v>10 12 13</v>
      </c>
      <c r="B592" s="41" t="s">
        <v>1450</v>
      </c>
      <c r="C592" s="42" t="s">
        <v>652</v>
      </c>
    </row>
    <row r="593" spans="1:3">
      <c r="A593" s="38" t="str">
        <f t="shared" si="2"/>
        <v>10 12 99</v>
      </c>
      <c r="B593" s="41" t="s">
        <v>1451</v>
      </c>
      <c r="C593" s="42" t="s">
        <v>591</v>
      </c>
    </row>
    <row r="594" spans="1:3">
      <c r="A594" s="38" t="str">
        <f t="shared" si="2"/>
        <v/>
      </c>
      <c r="B594" s="42"/>
      <c r="C594" s="42"/>
    </row>
    <row r="595" spans="1:3">
      <c r="A595" s="38" t="str">
        <f t="shared" si="2"/>
        <v xml:space="preserve">10 13 </v>
      </c>
      <c r="B595" s="39" t="s">
        <v>1452</v>
      </c>
      <c r="C595" s="40" t="s">
        <v>1453</v>
      </c>
    </row>
    <row r="596" spans="1:3">
      <c r="A596" s="38" t="str">
        <f t="shared" si="2"/>
        <v>10 13 01</v>
      </c>
      <c r="B596" s="41" t="s">
        <v>1454</v>
      </c>
      <c r="C596" s="42" t="s">
        <v>1436</v>
      </c>
    </row>
    <row r="597" spans="1:3">
      <c r="A597" s="38" t="str">
        <f t="shared" si="2"/>
        <v>10 13 04</v>
      </c>
      <c r="B597" s="41" t="s">
        <v>1455</v>
      </c>
      <c r="C597" s="42" t="s">
        <v>1456</v>
      </c>
    </row>
    <row r="598" spans="1:3">
      <c r="A598" s="38" t="str">
        <f t="shared" si="2"/>
        <v>10 13 06</v>
      </c>
      <c r="B598" s="41" t="s">
        <v>1457</v>
      </c>
      <c r="C598" s="42" t="s">
        <v>1458</v>
      </c>
    </row>
    <row r="599" spans="1:3">
      <c r="A599" s="38" t="str">
        <f t="shared" si="2"/>
        <v>10 13 07</v>
      </c>
      <c r="B599" s="41" t="s">
        <v>1459</v>
      </c>
      <c r="C599" s="42" t="s">
        <v>1287</v>
      </c>
    </row>
    <row r="600" spans="1:3">
      <c r="A600" s="38" t="str">
        <f t="shared" si="2"/>
        <v>10 13 09*</v>
      </c>
      <c r="B600" s="41" t="s">
        <v>1460</v>
      </c>
      <c r="C600" s="42" t="s">
        <v>1461</v>
      </c>
    </row>
    <row r="601" spans="1:3">
      <c r="A601" s="38" t="str">
        <f t="shared" si="2"/>
        <v>10 13 10</v>
      </c>
      <c r="B601" s="41" t="s">
        <v>1462</v>
      </c>
      <c r="C601" s="42" t="s">
        <v>1463</v>
      </c>
    </row>
    <row r="602" spans="1:3">
      <c r="A602" s="38" t="str">
        <f t="shared" si="2"/>
        <v>10 13 11</v>
      </c>
      <c r="B602" s="41" t="s">
        <v>1464</v>
      </c>
      <c r="C602" s="42" t="s">
        <v>1465</v>
      </c>
    </row>
    <row r="603" spans="1:3">
      <c r="A603" s="38" t="str">
        <f t="shared" si="2"/>
        <v>10 13 12*</v>
      </c>
      <c r="B603" s="41" t="s">
        <v>1466</v>
      </c>
      <c r="C603" s="42" t="s">
        <v>1214</v>
      </c>
    </row>
    <row r="604" spans="1:3">
      <c r="A604" s="38" t="str">
        <f t="shared" si="2"/>
        <v>10 13 13</v>
      </c>
      <c r="B604" s="41" t="s">
        <v>1467</v>
      </c>
      <c r="C604" s="42" t="s">
        <v>1468</v>
      </c>
    </row>
    <row r="605" spans="1:3">
      <c r="A605" s="38" t="str">
        <f t="shared" si="2"/>
        <v>10 13 14</v>
      </c>
      <c r="B605" s="41" t="s">
        <v>1469</v>
      </c>
      <c r="C605" s="42" t="s">
        <v>1470</v>
      </c>
    </row>
    <row r="606" spans="1:3">
      <c r="A606" s="38" t="str">
        <f t="shared" si="2"/>
        <v>10 13 99</v>
      </c>
      <c r="B606" s="41" t="s">
        <v>1471</v>
      </c>
      <c r="C606" s="42" t="s">
        <v>591</v>
      </c>
    </row>
    <row r="607" spans="1:3">
      <c r="A607" s="38" t="str">
        <f t="shared" si="2"/>
        <v/>
      </c>
      <c r="B607" s="42"/>
      <c r="C607" s="42"/>
    </row>
    <row r="608" spans="1:3">
      <c r="A608" s="38" t="str">
        <f t="shared" si="2"/>
        <v>10 14</v>
      </c>
      <c r="B608" s="39" t="s">
        <v>1472</v>
      </c>
      <c r="C608" s="40" t="s">
        <v>1473</v>
      </c>
    </row>
    <row r="609" spans="1:3">
      <c r="A609" s="38" t="str">
        <f t="shared" si="2"/>
        <v>10 14 01*</v>
      </c>
      <c r="B609" s="41" t="s">
        <v>1474</v>
      </c>
      <c r="C609" s="42" t="s">
        <v>1475</v>
      </c>
    </row>
    <row r="610" spans="1:3">
      <c r="A610" s="38" t="str">
        <f t="shared" si="2"/>
        <v/>
      </c>
      <c r="B610" s="42"/>
      <c r="C610" s="42"/>
    </row>
    <row r="611" spans="1:3">
      <c r="A611" s="38" t="str">
        <f t="shared" si="2"/>
        <v>11 Déchets provenant du traitement chimique de surface et du revêtement des métaux et autres matériaux, et de l'hydrométallurgie des métaux non ferreux :</v>
      </c>
      <c r="B611" s="40" t="s">
        <v>1476</v>
      </c>
      <c r="C611" s="42"/>
    </row>
    <row r="612" spans="1:3">
      <c r="A612" s="38" t="str">
        <f t="shared" si="2"/>
        <v/>
      </c>
      <c r="B612" s="42"/>
      <c r="C612" s="42"/>
    </row>
    <row r="613" spans="1:3">
      <c r="A613" s="38" t="str">
        <f t="shared" si="2"/>
        <v>11 01</v>
      </c>
      <c r="B613" s="39" t="s">
        <v>1477</v>
      </c>
      <c r="C613" s="40" t="s">
        <v>1478</v>
      </c>
    </row>
    <row r="614" spans="1:3">
      <c r="A614" s="38" t="str">
        <f t="shared" si="2"/>
        <v>11 01 05*</v>
      </c>
      <c r="B614" s="41" t="s">
        <v>1479</v>
      </c>
      <c r="C614" s="42" t="s">
        <v>1480</v>
      </c>
    </row>
    <row r="615" spans="1:3">
      <c r="A615" s="38" t="str">
        <f t="shared" si="2"/>
        <v>11 01 06*</v>
      </c>
      <c r="B615" s="41" t="s">
        <v>1481</v>
      </c>
      <c r="C615" s="42" t="s">
        <v>1482</v>
      </c>
    </row>
    <row r="616" spans="1:3">
      <c r="A616" s="38" t="str">
        <f t="shared" si="2"/>
        <v>11 01 07*</v>
      </c>
      <c r="B616" s="41" t="s">
        <v>1483</v>
      </c>
      <c r="C616" s="42" t="s">
        <v>1484</v>
      </c>
    </row>
    <row r="617" spans="1:3">
      <c r="A617" s="38" t="str">
        <f t="shared" si="2"/>
        <v>11 01 08*</v>
      </c>
      <c r="B617" s="41" t="s">
        <v>1485</v>
      </c>
      <c r="C617" s="42" t="s">
        <v>1486</v>
      </c>
    </row>
    <row r="618" spans="1:3">
      <c r="A618" s="38" t="str">
        <f t="shared" si="2"/>
        <v>11 01 09*</v>
      </c>
      <c r="B618" s="41" t="s">
        <v>1487</v>
      </c>
      <c r="C618" s="42" t="s">
        <v>1488</v>
      </c>
    </row>
    <row r="619" spans="1:3">
      <c r="A619" s="38" t="str">
        <f t="shared" si="2"/>
        <v>11 01 10</v>
      </c>
      <c r="B619" s="41" t="s">
        <v>1489</v>
      </c>
      <c r="C619" s="42" t="s">
        <v>1490</v>
      </c>
    </row>
    <row r="620" spans="1:3">
      <c r="A620" s="38" t="str">
        <f t="shared" si="2"/>
        <v>11 01 11*</v>
      </c>
      <c r="B620" s="41" t="s">
        <v>1491</v>
      </c>
      <c r="C620" s="42" t="s">
        <v>1492</v>
      </c>
    </row>
    <row r="621" spans="1:3">
      <c r="A621" s="38" t="str">
        <f t="shared" si="2"/>
        <v>11 01 12</v>
      </c>
      <c r="B621" s="41" t="s">
        <v>1493</v>
      </c>
      <c r="C621" s="42" t="s">
        <v>1494</v>
      </c>
    </row>
    <row r="622" spans="1:3">
      <c r="A622" s="38" t="str">
        <f t="shared" si="2"/>
        <v>11 01 13*</v>
      </c>
      <c r="B622" s="41" t="s">
        <v>1495</v>
      </c>
      <c r="C622" s="42" t="s">
        <v>1496</v>
      </c>
    </row>
    <row r="623" spans="1:3">
      <c r="A623" s="38" t="str">
        <f t="shared" si="2"/>
        <v>11 01 14</v>
      </c>
      <c r="B623" s="41" t="s">
        <v>1497</v>
      </c>
      <c r="C623" s="42" t="s">
        <v>1498</v>
      </c>
    </row>
    <row r="624" spans="1:3">
      <c r="A624" s="38" t="str">
        <f t="shared" si="2"/>
        <v>11 01 15*</v>
      </c>
      <c r="B624" s="41" t="s">
        <v>1499</v>
      </c>
      <c r="C624" s="42" t="s">
        <v>1500</v>
      </c>
    </row>
    <row r="625" spans="1:3">
      <c r="A625" s="38" t="str">
        <f t="shared" si="2"/>
        <v>11 01 16*</v>
      </c>
      <c r="B625" s="41" t="s">
        <v>1501</v>
      </c>
      <c r="C625" s="42" t="s">
        <v>1502</v>
      </c>
    </row>
    <row r="626" spans="1:3">
      <c r="A626" s="38" t="str">
        <f t="shared" si="2"/>
        <v>11 01 98*</v>
      </c>
      <c r="B626" s="41" t="s">
        <v>1503</v>
      </c>
      <c r="C626" s="42" t="s">
        <v>1504</v>
      </c>
    </row>
    <row r="627" spans="1:3">
      <c r="A627" s="38" t="str">
        <f t="shared" si="2"/>
        <v>11 01 99</v>
      </c>
      <c r="B627" s="41" t="s">
        <v>1505</v>
      </c>
      <c r="C627" s="42" t="s">
        <v>591</v>
      </c>
    </row>
    <row r="628" spans="1:3">
      <c r="A628" s="38" t="str">
        <f t="shared" si="2"/>
        <v/>
      </c>
      <c r="B628" s="42"/>
      <c r="C628" s="42"/>
    </row>
    <row r="629" spans="1:3">
      <c r="A629" s="38" t="str">
        <f t="shared" si="2"/>
        <v>11 02</v>
      </c>
      <c r="B629" s="39" t="s">
        <v>1506</v>
      </c>
      <c r="C629" s="40" t="s">
        <v>1507</v>
      </c>
    </row>
    <row r="630" spans="1:3">
      <c r="A630" s="38" t="str">
        <f t="shared" si="2"/>
        <v>11 02 02*</v>
      </c>
      <c r="B630" s="41" t="s">
        <v>1508</v>
      </c>
      <c r="C630" s="42" t="s">
        <v>1509</v>
      </c>
    </row>
    <row r="631" spans="1:3">
      <c r="A631" s="38" t="str">
        <f t="shared" si="2"/>
        <v>11 02 03</v>
      </c>
      <c r="B631" s="41" t="s">
        <v>1510</v>
      </c>
      <c r="C631" s="42" t="s">
        <v>1511</v>
      </c>
    </row>
    <row r="632" spans="1:3">
      <c r="A632" s="38" t="str">
        <f t="shared" si="2"/>
        <v>11 02 05*</v>
      </c>
      <c r="B632" s="41" t="s">
        <v>1512</v>
      </c>
      <c r="C632" s="42" t="s">
        <v>1513</v>
      </c>
    </row>
    <row r="633" spans="1:3">
      <c r="A633" s="38" t="str">
        <f t="shared" si="2"/>
        <v>11 02 06</v>
      </c>
      <c r="B633" s="41" t="s">
        <v>1514</v>
      </c>
      <c r="C633" s="42" t="s">
        <v>1515</v>
      </c>
    </row>
    <row r="634" spans="1:3">
      <c r="A634" s="38" t="str">
        <f t="shared" si="2"/>
        <v>11 02 07*</v>
      </c>
      <c r="B634" s="41" t="s">
        <v>1516</v>
      </c>
      <c r="C634" s="42" t="s">
        <v>1504</v>
      </c>
    </row>
    <row r="635" spans="1:3">
      <c r="A635" s="38" t="str">
        <f t="shared" si="2"/>
        <v>11 02 99</v>
      </c>
      <c r="B635" s="41" t="s">
        <v>1517</v>
      </c>
      <c r="C635" s="42" t="s">
        <v>591</v>
      </c>
    </row>
    <row r="636" spans="1:3">
      <c r="A636" s="38" t="str">
        <f t="shared" si="2"/>
        <v/>
      </c>
      <c r="B636" s="42"/>
      <c r="C636" s="42"/>
    </row>
    <row r="637" spans="1:3">
      <c r="A637" s="38" t="str">
        <f t="shared" si="2"/>
        <v>11 03</v>
      </c>
      <c r="B637" s="39" t="s">
        <v>1518</v>
      </c>
      <c r="C637" s="40" t="s">
        <v>1519</v>
      </c>
    </row>
    <row r="638" spans="1:3">
      <c r="A638" s="38" t="str">
        <f t="shared" si="2"/>
        <v>11 03 01*</v>
      </c>
      <c r="B638" s="41" t="s">
        <v>1520</v>
      </c>
      <c r="C638" s="42" t="s">
        <v>1521</v>
      </c>
    </row>
    <row r="639" spans="1:3">
      <c r="A639" s="38" t="str">
        <f t="shared" si="2"/>
        <v>11 03 02*</v>
      </c>
      <c r="B639" s="41" t="s">
        <v>1522</v>
      </c>
      <c r="C639" s="42" t="s">
        <v>1523</v>
      </c>
    </row>
    <row r="640" spans="1:3">
      <c r="A640" s="38" t="str">
        <f t="shared" si="2"/>
        <v/>
      </c>
      <c r="B640" s="42"/>
      <c r="C640" s="42"/>
    </row>
    <row r="641" spans="1:3">
      <c r="A641" s="38" t="str">
        <f t="shared" si="2"/>
        <v>11 05</v>
      </c>
      <c r="B641" s="39" t="s">
        <v>1524</v>
      </c>
      <c r="C641" s="40" t="s">
        <v>1525</v>
      </c>
    </row>
    <row r="642" spans="1:3">
      <c r="A642" s="38" t="str">
        <f t="shared" si="2"/>
        <v>11 05 01</v>
      </c>
      <c r="B642" s="41" t="s">
        <v>1526</v>
      </c>
      <c r="C642" s="42" t="s">
        <v>1527</v>
      </c>
    </row>
    <row r="643" spans="1:3">
      <c r="A643" s="38" t="str">
        <f t="shared" si="2"/>
        <v>11 05 02</v>
      </c>
      <c r="B643" s="41" t="s">
        <v>1528</v>
      </c>
      <c r="C643" s="42" t="s">
        <v>1529</v>
      </c>
    </row>
    <row r="644" spans="1:3">
      <c r="A644" s="38" t="str">
        <f t="shared" si="2"/>
        <v>11 05 03*</v>
      </c>
      <c r="B644" s="41" t="s">
        <v>1530</v>
      </c>
      <c r="C644" s="42" t="s">
        <v>1285</v>
      </c>
    </row>
    <row r="645" spans="1:3">
      <c r="A645" s="38" t="str">
        <f t="shared" si="2"/>
        <v>11 05 04*</v>
      </c>
      <c r="B645" s="41" t="s">
        <v>1531</v>
      </c>
      <c r="C645" s="42" t="s">
        <v>1532</v>
      </c>
    </row>
    <row r="646" spans="1:3">
      <c r="A646" s="38" t="str">
        <f t="shared" si="2"/>
        <v>11 05 99</v>
      </c>
      <c r="B646" s="41" t="s">
        <v>1533</v>
      </c>
      <c r="C646" s="42" t="s">
        <v>591</v>
      </c>
    </row>
    <row r="647" spans="1:3">
      <c r="A647" s="38" t="str">
        <f t="shared" si="2"/>
        <v/>
      </c>
      <c r="B647" s="42"/>
      <c r="C647" s="42"/>
    </row>
    <row r="648" spans="1:3">
      <c r="A648" s="38" t="str">
        <f t="shared" si="2"/>
        <v>12 Déchets provenant de la mise en forme du traitement physique et mécanique de surface des métaux et matières plastiques :</v>
      </c>
      <c r="B648" s="40" t="s">
        <v>1534</v>
      </c>
      <c r="C648" s="42"/>
    </row>
    <row r="649" spans="1:3">
      <c r="A649" s="38" t="str">
        <f t="shared" si="2"/>
        <v/>
      </c>
      <c r="B649" s="42"/>
      <c r="C649" s="42"/>
    </row>
    <row r="650" spans="1:3">
      <c r="A650" s="38" t="str">
        <f t="shared" si="2"/>
        <v>12 01</v>
      </c>
      <c r="B650" s="39" t="s">
        <v>1535</v>
      </c>
      <c r="C650" s="40" t="s">
        <v>1536</v>
      </c>
    </row>
    <row r="651" spans="1:3">
      <c r="A651" s="38" t="str">
        <f t="shared" si="2"/>
        <v>12 01 01</v>
      </c>
      <c r="B651" s="41" t="s">
        <v>1537</v>
      </c>
      <c r="C651" s="42" t="s">
        <v>1538</v>
      </c>
    </row>
    <row r="652" spans="1:3">
      <c r="A652" s="38" t="str">
        <f t="shared" si="2"/>
        <v>12 01 02</v>
      </c>
      <c r="B652" s="41" t="s">
        <v>1539</v>
      </c>
      <c r="C652" s="42" t="s">
        <v>1540</v>
      </c>
    </row>
    <row r="653" spans="1:3">
      <c r="A653" s="38" t="str">
        <f t="shared" si="2"/>
        <v>12 01 03</v>
      </c>
      <c r="B653" s="41" t="s">
        <v>1541</v>
      </c>
      <c r="C653" s="42" t="s">
        <v>1542</v>
      </c>
    </row>
    <row r="654" spans="1:3">
      <c r="A654" s="38" t="str">
        <f t="shared" si="2"/>
        <v>12 01 04</v>
      </c>
      <c r="B654" s="41" t="s">
        <v>1543</v>
      </c>
      <c r="C654" s="42" t="s">
        <v>1544</v>
      </c>
    </row>
    <row r="655" spans="1:3">
      <c r="A655" s="38" t="str">
        <f t="shared" si="2"/>
        <v>12 01 05</v>
      </c>
      <c r="B655" s="41" t="s">
        <v>1545</v>
      </c>
      <c r="C655" s="42" t="s">
        <v>1546</v>
      </c>
    </row>
    <row r="656" spans="1:3">
      <c r="A656" s="38" t="str">
        <f t="shared" si="2"/>
        <v>12 01 06*</v>
      </c>
      <c r="B656" s="41" t="s">
        <v>1547</v>
      </c>
      <c r="C656" s="42" t="s">
        <v>1548</v>
      </c>
    </row>
    <row r="657" spans="1:3">
      <c r="A657" s="38" t="str">
        <f t="shared" si="2"/>
        <v>12 01 07*</v>
      </c>
      <c r="B657" s="41" t="s">
        <v>1549</v>
      </c>
      <c r="C657" s="42" t="s">
        <v>1550</v>
      </c>
    </row>
    <row r="658" spans="1:3">
      <c r="A658" s="38" t="str">
        <f t="shared" si="2"/>
        <v>12 01 08*</v>
      </c>
      <c r="B658" s="41" t="s">
        <v>1551</v>
      </c>
      <c r="C658" s="42" t="s">
        <v>1552</v>
      </c>
    </row>
    <row r="659" spans="1:3">
      <c r="A659" s="38" t="str">
        <f t="shared" si="2"/>
        <v>12 01 09*</v>
      </c>
      <c r="B659" s="41" t="s">
        <v>1553</v>
      </c>
      <c r="C659" s="42" t="s">
        <v>1554</v>
      </c>
    </row>
    <row r="660" spans="1:3">
      <c r="A660" s="38" t="str">
        <f t="shared" si="2"/>
        <v>12 01 10*</v>
      </c>
      <c r="B660" s="41" t="s">
        <v>1555</v>
      </c>
      <c r="C660" s="42" t="s">
        <v>1556</v>
      </c>
    </row>
    <row r="661" spans="1:3">
      <c r="A661" s="38" t="str">
        <f t="shared" si="2"/>
        <v>12 01 12*</v>
      </c>
      <c r="B661" s="41" t="s">
        <v>1557</v>
      </c>
      <c r="C661" s="42" t="s">
        <v>1558</v>
      </c>
    </row>
    <row r="662" spans="1:3">
      <c r="A662" s="38" t="str">
        <f t="shared" si="2"/>
        <v>12 01 13</v>
      </c>
      <c r="B662" s="41" t="s">
        <v>1559</v>
      </c>
      <c r="C662" s="42" t="s">
        <v>1560</v>
      </c>
    </row>
    <row r="663" spans="1:3">
      <c r="A663" s="38" t="str">
        <f t="shared" si="2"/>
        <v>12 01 14*</v>
      </c>
      <c r="B663" s="41" t="s">
        <v>1561</v>
      </c>
      <c r="C663" s="42" t="s">
        <v>1562</v>
      </c>
    </row>
    <row r="664" spans="1:3">
      <c r="A664" s="38" t="str">
        <f t="shared" si="2"/>
        <v>12 01 15</v>
      </c>
      <c r="B664" s="41" t="s">
        <v>1563</v>
      </c>
      <c r="C664" s="42" t="s">
        <v>1564</v>
      </c>
    </row>
    <row r="665" spans="1:3">
      <c r="A665" s="38" t="str">
        <f t="shared" si="2"/>
        <v>12 01 16*</v>
      </c>
      <c r="B665" s="41" t="s">
        <v>1565</v>
      </c>
      <c r="C665" s="42" t="s">
        <v>1566</v>
      </c>
    </row>
    <row r="666" spans="1:3">
      <c r="A666" s="38" t="str">
        <f t="shared" si="2"/>
        <v>12 01 17</v>
      </c>
      <c r="B666" s="41" t="s">
        <v>1567</v>
      </c>
      <c r="C666" s="42" t="s">
        <v>1568</v>
      </c>
    </row>
    <row r="667" spans="1:3">
      <c r="A667" s="38" t="str">
        <f t="shared" si="2"/>
        <v>12 01 18*</v>
      </c>
      <c r="B667" s="41" t="s">
        <v>1569</v>
      </c>
      <c r="C667" s="42" t="s">
        <v>1570</v>
      </c>
    </row>
    <row r="668" spans="1:3">
      <c r="A668" s="38" t="str">
        <f t="shared" si="2"/>
        <v>12 01 19*</v>
      </c>
      <c r="B668" s="41" t="s">
        <v>1571</v>
      </c>
      <c r="C668" s="42" t="s">
        <v>1572</v>
      </c>
    </row>
    <row r="669" spans="1:3">
      <c r="A669" s="38" t="str">
        <f t="shared" si="2"/>
        <v>12 01 20*</v>
      </c>
      <c r="B669" s="41" t="s">
        <v>1573</v>
      </c>
      <c r="C669" s="42" t="s">
        <v>1574</v>
      </c>
    </row>
    <row r="670" spans="1:3">
      <c r="A670" s="38" t="str">
        <f t="shared" si="2"/>
        <v>12 01 21</v>
      </c>
      <c r="B670" s="41" t="s">
        <v>1575</v>
      </c>
      <c r="C670" s="42" t="s">
        <v>1576</v>
      </c>
    </row>
    <row r="671" spans="1:3">
      <c r="A671" s="38" t="str">
        <f t="shared" si="2"/>
        <v>12 01 99</v>
      </c>
      <c r="B671" s="41" t="s">
        <v>1577</v>
      </c>
      <c r="C671" s="42" t="s">
        <v>591</v>
      </c>
    </row>
    <row r="672" spans="1:3">
      <c r="A672" s="38" t="str">
        <f t="shared" si="2"/>
        <v/>
      </c>
      <c r="B672" s="42"/>
      <c r="C672" s="42"/>
    </row>
    <row r="673" spans="1:3">
      <c r="A673" s="38" t="str">
        <f t="shared" si="2"/>
        <v xml:space="preserve">12 03 </v>
      </c>
      <c r="B673" s="39" t="s">
        <v>1578</v>
      </c>
      <c r="C673" s="40" t="s">
        <v>1579</v>
      </c>
    </row>
    <row r="674" spans="1:3">
      <c r="A674" s="38" t="str">
        <f t="shared" si="2"/>
        <v>12 03 01*</v>
      </c>
      <c r="B674" s="41" t="s">
        <v>1580</v>
      </c>
      <c r="C674" s="42" t="s">
        <v>1581</v>
      </c>
    </row>
    <row r="675" spans="1:3">
      <c r="A675" s="38" t="str">
        <f t="shared" si="2"/>
        <v>12 03 02*</v>
      </c>
      <c r="B675" s="41" t="s">
        <v>1582</v>
      </c>
      <c r="C675" s="42" t="s">
        <v>1583</v>
      </c>
    </row>
    <row r="676" spans="1:3">
      <c r="A676" s="38" t="str">
        <f t="shared" si="2"/>
        <v/>
      </c>
      <c r="B676" s="42"/>
      <c r="C676" s="42"/>
    </row>
    <row r="677" spans="1:3">
      <c r="A677" s="38" t="str">
        <f t="shared" si="2"/>
        <v>13 Huiles et combustibles liquides usagés (sauf huiles alimentaires et huiles figurant aux chapitres 05, 12 et 19)</v>
      </c>
      <c r="B677" s="40" t="s">
        <v>1584</v>
      </c>
      <c r="C677" s="42"/>
    </row>
    <row r="678" spans="1:3">
      <c r="A678" s="38" t="str">
        <f t="shared" si="2"/>
        <v/>
      </c>
      <c r="B678" s="42"/>
      <c r="C678" s="42"/>
    </row>
    <row r="679" spans="1:3">
      <c r="A679" s="38" t="str">
        <f t="shared" si="2"/>
        <v>13 01</v>
      </c>
      <c r="B679" s="39" t="s">
        <v>1585</v>
      </c>
      <c r="C679" s="40" t="s">
        <v>1586</v>
      </c>
    </row>
    <row r="680" spans="1:3">
      <c r="A680" s="38" t="str">
        <f t="shared" si="2"/>
        <v>13 01 01*</v>
      </c>
      <c r="B680" s="41" t="s">
        <v>1587</v>
      </c>
      <c r="C680" s="42" t="s">
        <v>1588</v>
      </c>
    </row>
    <row r="681" spans="1:3">
      <c r="A681" s="38" t="str">
        <f t="shared" si="2"/>
        <v>13 01 04*</v>
      </c>
      <c r="B681" s="41" t="s">
        <v>1589</v>
      </c>
      <c r="C681" s="42" t="s">
        <v>1590</v>
      </c>
    </row>
    <row r="682" spans="1:3">
      <c r="A682" s="38" t="str">
        <f t="shared" si="2"/>
        <v>13 01 05*</v>
      </c>
      <c r="B682" s="41" t="s">
        <v>1591</v>
      </c>
      <c r="C682" s="42" t="s">
        <v>1592</v>
      </c>
    </row>
    <row r="683" spans="1:3">
      <c r="A683" s="38" t="str">
        <f t="shared" si="2"/>
        <v>13 01 09*</v>
      </c>
      <c r="B683" s="41" t="s">
        <v>1593</v>
      </c>
      <c r="C683" s="42" t="s">
        <v>1594</v>
      </c>
    </row>
    <row r="684" spans="1:3">
      <c r="A684" s="38" t="str">
        <f t="shared" si="2"/>
        <v>13 01 10*</v>
      </c>
      <c r="B684" s="41" t="s">
        <v>1595</v>
      </c>
      <c r="C684" s="42" t="s">
        <v>1596</v>
      </c>
    </row>
    <row r="685" spans="1:3">
      <c r="A685" s="38" t="str">
        <f t="shared" si="2"/>
        <v>13 01 11*</v>
      </c>
      <c r="B685" s="41" t="s">
        <v>1597</v>
      </c>
      <c r="C685" s="42" t="s">
        <v>1598</v>
      </c>
    </row>
    <row r="686" spans="1:3">
      <c r="A686" s="38" t="str">
        <f t="shared" si="2"/>
        <v>13 01 12*</v>
      </c>
      <c r="B686" s="41" t="s">
        <v>1599</v>
      </c>
      <c r="C686" s="42" t="s">
        <v>1600</v>
      </c>
    </row>
    <row r="687" spans="1:3">
      <c r="A687" s="38" t="str">
        <f t="shared" si="2"/>
        <v>13 01 13*</v>
      </c>
      <c r="B687" s="41" t="s">
        <v>1601</v>
      </c>
      <c r="C687" s="42" t="s">
        <v>1602</v>
      </c>
    </row>
    <row r="688" spans="1:3">
      <c r="A688" s="38" t="str">
        <f t="shared" si="2"/>
        <v/>
      </c>
      <c r="B688" s="42"/>
      <c r="C688" s="42"/>
    </row>
    <row r="689" spans="1:3">
      <c r="A689" s="38" t="str">
        <f t="shared" si="2"/>
        <v>13 02</v>
      </c>
      <c r="B689" s="39" t="s">
        <v>1603</v>
      </c>
      <c r="C689" s="40" t="s">
        <v>1604</v>
      </c>
    </row>
    <row r="690" spans="1:3">
      <c r="A690" s="38" t="str">
        <f t="shared" si="2"/>
        <v>13 02 04*</v>
      </c>
      <c r="B690" s="41" t="s">
        <v>1605</v>
      </c>
      <c r="C690" s="42" t="s">
        <v>1606</v>
      </c>
    </row>
    <row r="691" spans="1:3">
      <c r="A691" s="38" t="str">
        <f t="shared" si="2"/>
        <v>13 02 05*</v>
      </c>
      <c r="B691" s="41" t="s">
        <v>1607</v>
      </c>
      <c r="C691" s="42" t="s">
        <v>1608</v>
      </c>
    </row>
    <row r="692" spans="1:3">
      <c r="A692" s="38" t="str">
        <f t="shared" si="2"/>
        <v>13 02 06*</v>
      </c>
      <c r="B692" s="41" t="s">
        <v>1609</v>
      </c>
      <c r="C692" s="42" t="s">
        <v>1610</v>
      </c>
    </row>
    <row r="693" spans="1:3">
      <c r="A693" s="38" t="str">
        <f t="shared" si="2"/>
        <v>13 02 07*</v>
      </c>
      <c r="B693" s="41" t="s">
        <v>1611</v>
      </c>
      <c r="C693" s="42" t="s">
        <v>1612</v>
      </c>
    </row>
    <row r="694" spans="1:3">
      <c r="A694" s="38" t="str">
        <f t="shared" si="2"/>
        <v>13 02 08*</v>
      </c>
      <c r="B694" s="41" t="s">
        <v>1613</v>
      </c>
      <c r="C694" s="42" t="s">
        <v>1614</v>
      </c>
    </row>
    <row r="695" spans="1:3">
      <c r="A695" s="38" t="str">
        <f t="shared" si="2"/>
        <v/>
      </c>
      <c r="B695" s="42"/>
      <c r="C695" s="42"/>
    </row>
    <row r="696" spans="1:3">
      <c r="A696" s="38" t="str">
        <f t="shared" si="2"/>
        <v>13 03</v>
      </c>
      <c r="B696" s="39" t="s">
        <v>1615</v>
      </c>
      <c r="C696" s="40" t="s">
        <v>1616</v>
      </c>
    </row>
    <row r="697" spans="1:3">
      <c r="A697" s="38" t="str">
        <f t="shared" si="2"/>
        <v>13 03 01*</v>
      </c>
      <c r="B697" s="41" t="s">
        <v>1617</v>
      </c>
      <c r="C697" s="42" t="s">
        <v>1618</v>
      </c>
    </row>
    <row r="698" spans="1:3">
      <c r="A698" s="38" t="str">
        <f t="shared" si="2"/>
        <v>13 03 06*</v>
      </c>
      <c r="B698" s="41" t="s">
        <v>1619</v>
      </c>
      <c r="C698" s="42" t="s">
        <v>1620</v>
      </c>
    </row>
    <row r="699" spans="1:3">
      <c r="A699" s="38" t="str">
        <f t="shared" si="2"/>
        <v>13 03 07*</v>
      </c>
      <c r="B699" s="41" t="s">
        <v>1621</v>
      </c>
      <c r="C699" s="42" t="s">
        <v>1622</v>
      </c>
    </row>
    <row r="700" spans="1:3">
      <c r="A700" s="38" t="str">
        <f t="shared" si="2"/>
        <v>13 03 08*</v>
      </c>
      <c r="B700" s="41" t="s">
        <v>1623</v>
      </c>
      <c r="C700" s="42" t="s">
        <v>1624</v>
      </c>
    </row>
    <row r="701" spans="1:3">
      <c r="A701" s="38" t="str">
        <f t="shared" si="2"/>
        <v>13 03 09*</v>
      </c>
      <c r="B701" s="41" t="s">
        <v>1625</v>
      </c>
      <c r="C701" s="42" t="s">
        <v>1626</v>
      </c>
    </row>
    <row r="702" spans="1:3">
      <c r="A702" s="38" t="str">
        <f t="shared" si="2"/>
        <v>13 03 10*</v>
      </c>
      <c r="B702" s="41" t="s">
        <v>1627</v>
      </c>
      <c r="C702" s="42" t="s">
        <v>1628</v>
      </c>
    </row>
    <row r="703" spans="1:3">
      <c r="A703" s="38" t="str">
        <f t="shared" si="2"/>
        <v/>
      </c>
      <c r="B703" s="42"/>
      <c r="C703" s="42"/>
    </row>
    <row r="704" spans="1:3">
      <c r="A704" s="38" t="str">
        <f t="shared" si="2"/>
        <v>13 04</v>
      </c>
      <c r="B704" s="39" t="s">
        <v>1629</v>
      </c>
      <c r="C704" s="40" t="s">
        <v>1630</v>
      </c>
    </row>
    <row r="705" spans="1:3">
      <c r="A705" s="38" t="str">
        <f t="shared" si="2"/>
        <v>13 04 01*</v>
      </c>
      <c r="B705" s="41" t="s">
        <v>1631</v>
      </c>
      <c r="C705" s="42" t="s">
        <v>1632</v>
      </c>
    </row>
    <row r="706" spans="1:3">
      <c r="A706" s="38" t="str">
        <f t="shared" si="2"/>
        <v>13 04 02*</v>
      </c>
      <c r="B706" s="41" t="s">
        <v>1633</v>
      </c>
      <c r="C706" s="42" t="s">
        <v>1634</v>
      </c>
    </row>
    <row r="707" spans="1:3">
      <c r="A707" s="38" t="str">
        <f t="shared" si="2"/>
        <v>13 04 03*</v>
      </c>
      <c r="B707" s="41" t="s">
        <v>1635</v>
      </c>
      <c r="C707" s="42" t="s">
        <v>1636</v>
      </c>
    </row>
    <row r="708" spans="1:3">
      <c r="A708" s="38" t="str">
        <f t="shared" si="2"/>
        <v/>
      </c>
      <c r="B708" s="42"/>
      <c r="C708" s="42"/>
    </row>
    <row r="709" spans="1:3">
      <c r="A709" s="38" t="str">
        <f t="shared" si="2"/>
        <v>13 05</v>
      </c>
      <c r="B709" s="39" t="s">
        <v>1637</v>
      </c>
      <c r="C709" s="40" t="s">
        <v>1638</v>
      </c>
    </row>
    <row r="710" spans="1:3">
      <c r="A710" s="38" t="str">
        <f t="shared" si="2"/>
        <v>13 05 01*</v>
      </c>
      <c r="B710" s="41" t="s">
        <v>1639</v>
      </c>
      <c r="C710" s="42" t="s">
        <v>1640</v>
      </c>
    </row>
    <row r="711" spans="1:3">
      <c r="A711" s="38" t="str">
        <f t="shared" si="2"/>
        <v>13 05 02*</v>
      </c>
      <c r="B711" s="41" t="s">
        <v>1641</v>
      </c>
      <c r="C711" s="42" t="s">
        <v>1642</v>
      </c>
    </row>
    <row r="712" spans="1:3">
      <c r="A712" s="38" t="str">
        <f t="shared" si="2"/>
        <v>13 05 03*</v>
      </c>
      <c r="B712" s="41" t="s">
        <v>1643</v>
      </c>
      <c r="C712" s="42" t="s">
        <v>1644</v>
      </c>
    </row>
    <row r="713" spans="1:3">
      <c r="A713" s="38" t="str">
        <f t="shared" si="2"/>
        <v>13 05 06*</v>
      </c>
      <c r="B713" s="41" t="s">
        <v>1645</v>
      </c>
      <c r="C713" s="42" t="s">
        <v>1646</v>
      </c>
    </row>
    <row r="714" spans="1:3">
      <c r="A714" s="38" t="str">
        <f t="shared" si="2"/>
        <v>13 05 07*</v>
      </c>
      <c r="B714" s="41" t="s">
        <v>1647</v>
      </c>
      <c r="C714" s="42" t="s">
        <v>1648</v>
      </c>
    </row>
    <row r="715" spans="1:3">
      <c r="A715" s="38" t="str">
        <f t="shared" si="2"/>
        <v>13 05 08*</v>
      </c>
      <c r="B715" s="41" t="s">
        <v>1649</v>
      </c>
      <c r="C715" s="42" t="s">
        <v>1650</v>
      </c>
    </row>
    <row r="716" spans="1:3">
      <c r="A716" s="38" t="str">
        <f t="shared" si="2"/>
        <v/>
      </c>
      <c r="B716" s="42"/>
      <c r="C716" s="42"/>
    </row>
    <row r="717" spans="1:3">
      <c r="A717" s="38" t="str">
        <f t="shared" si="2"/>
        <v>13 07</v>
      </c>
      <c r="B717" s="39" t="s">
        <v>1651</v>
      </c>
      <c r="C717" s="40" t="s">
        <v>1652</v>
      </c>
    </row>
    <row r="718" spans="1:3">
      <c r="A718" s="38" t="str">
        <f t="shared" si="2"/>
        <v>13 07 01*</v>
      </c>
      <c r="B718" s="41" t="s">
        <v>1653</v>
      </c>
      <c r="C718" s="42" t="s">
        <v>1654</v>
      </c>
    </row>
    <row r="719" spans="1:3">
      <c r="A719" s="38" t="str">
        <f t="shared" si="2"/>
        <v>13 07 02*</v>
      </c>
      <c r="B719" s="41" t="s">
        <v>1655</v>
      </c>
      <c r="C719" s="42" t="s">
        <v>1656</v>
      </c>
    </row>
    <row r="720" spans="1:3">
      <c r="A720" s="38" t="str">
        <f t="shared" si="2"/>
        <v>13 07 03*</v>
      </c>
      <c r="B720" s="41" t="s">
        <v>1657</v>
      </c>
      <c r="C720" s="42" t="s">
        <v>1658</v>
      </c>
    </row>
    <row r="721" spans="1:3">
      <c r="A721" s="38" t="str">
        <f t="shared" si="2"/>
        <v/>
      </c>
      <c r="B721" s="42"/>
      <c r="C721" s="42"/>
    </row>
    <row r="722" spans="1:3">
      <c r="A722" s="38" t="str">
        <f t="shared" si="2"/>
        <v>13 08</v>
      </c>
      <c r="B722" s="39" t="s">
        <v>1659</v>
      </c>
      <c r="C722" s="40" t="s">
        <v>1660</v>
      </c>
    </row>
    <row r="723" spans="1:3">
      <c r="A723" s="38" t="str">
        <f t="shared" si="2"/>
        <v>13 08 01*</v>
      </c>
      <c r="B723" s="41" t="s">
        <v>1661</v>
      </c>
      <c r="C723" s="42" t="s">
        <v>1662</v>
      </c>
    </row>
    <row r="724" spans="1:3">
      <c r="A724" s="38" t="str">
        <f t="shared" si="2"/>
        <v>13 08 02*</v>
      </c>
      <c r="B724" s="41" t="s">
        <v>1663</v>
      </c>
      <c r="C724" s="42" t="s">
        <v>1664</v>
      </c>
    </row>
    <row r="725" spans="1:3">
      <c r="A725" s="38" t="str">
        <f t="shared" si="2"/>
        <v>13 08 99*</v>
      </c>
      <c r="B725" s="41" t="s">
        <v>1665</v>
      </c>
      <c r="C725" s="42" t="s">
        <v>591</v>
      </c>
    </row>
    <row r="726" spans="1:3">
      <c r="A726" s="38" t="str">
        <f t="shared" si="2"/>
        <v/>
      </c>
      <c r="B726" s="42"/>
      <c r="C726" s="42"/>
    </row>
    <row r="727" spans="1:3">
      <c r="A727" s="38" t="str">
        <f t="shared" si="2"/>
        <v>14 Déchets de solvants organiques, d'agents réfrigérants et propulseurs (sauf chapitres 07 et 08) :</v>
      </c>
      <c r="B727" s="40" t="s">
        <v>1666</v>
      </c>
      <c r="C727" s="42"/>
    </row>
    <row r="728" spans="1:3">
      <c r="A728" s="38" t="str">
        <f t="shared" si="2"/>
        <v/>
      </c>
      <c r="B728" s="42"/>
      <c r="C728" s="42"/>
    </row>
    <row r="729" spans="1:3">
      <c r="A729" s="38" t="str">
        <f t="shared" si="2"/>
        <v>14 06</v>
      </c>
      <c r="B729" s="39" t="s">
        <v>1667</v>
      </c>
      <c r="C729" s="40" t="s">
        <v>1668</v>
      </c>
    </row>
    <row r="730" spans="1:3">
      <c r="A730" s="38" t="str">
        <f t="shared" si="2"/>
        <v>14 06 01*</v>
      </c>
      <c r="B730" s="41" t="s">
        <v>1669</v>
      </c>
      <c r="C730" s="42" t="s">
        <v>1670</v>
      </c>
    </row>
    <row r="731" spans="1:3">
      <c r="A731" s="38" t="str">
        <f t="shared" si="2"/>
        <v>14 06 02*</v>
      </c>
      <c r="B731" s="41" t="s">
        <v>1671</v>
      </c>
      <c r="C731" s="42" t="s">
        <v>1672</v>
      </c>
    </row>
    <row r="732" spans="1:3">
      <c r="A732" s="38" t="str">
        <f t="shared" si="2"/>
        <v>14 06 03*</v>
      </c>
      <c r="B732" s="41" t="s">
        <v>1673</v>
      </c>
      <c r="C732" s="42" t="s">
        <v>1674</v>
      </c>
    </row>
    <row r="733" spans="1:3">
      <c r="A733" s="38" t="str">
        <f t="shared" si="2"/>
        <v>14 06 04*</v>
      </c>
      <c r="B733" s="41" t="s">
        <v>1675</v>
      </c>
      <c r="C733" s="42" t="s">
        <v>1676</v>
      </c>
    </row>
    <row r="734" spans="1:3">
      <c r="A734" s="38" t="str">
        <f t="shared" si="2"/>
        <v>14 06 05*</v>
      </c>
      <c r="B734" s="41" t="s">
        <v>1677</v>
      </c>
      <c r="C734" s="42" t="s">
        <v>1678</v>
      </c>
    </row>
    <row r="735" spans="1:3">
      <c r="A735" s="38" t="str">
        <f t="shared" si="2"/>
        <v/>
      </c>
      <c r="B735" s="42"/>
      <c r="C735" s="42"/>
    </row>
    <row r="736" spans="1:3">
      <c r="A736" s="38" t="str">
        <f t="shared" si="2"/>
        <v>15 Emballages et déchets d'emballages, absorbants, chiffons d'essuyage, matériaux filtrants et vêtements de protection non spécifiés ailleurs :</v>
      </c>
      <c r="B736" s="40" t="s">
        <v>1679</v>
      </c>
      <c r="C736" s="42"/>
    </row>
    <row r="737" spans="1:3">
      <c r="A737" s="38" t="str">
        <f t="shared" si="2"/>
        <v/>
      </c>
      <c r="B737" s="42"/>
      <c r="C737" s="42"/>
    </row>
    <row r="738" spans="1:3">
      <c r="A738" s="38" t="str">
        <f t="shared" si="2"/>
        <v>15 01</v>
      </c>
      <c r="B738" s="39" t="s">
        <v>1680</v>
      </c>
      <c r="C738" s="40" t="s">
        <v>1681</v>
      </c>
    </row>
    <row r="739" spans="1:3">
      <c r="A739" s="38" t="str">
        <f t="shared" si="2"/>
        <v>15 01 01</v>
      </c>
      <c r="B739" s="41" t="s">
        <v>1682</v>
      </c>
      <c r="C739" s="42" t="s">
        <v>1683</v>
      </c>
    </row>
    <row r="740" spans="1:3">
      <c r="A740" s="38" t="str">
        <f t="shared" si="2"/>
        <v>15 01 02</v>
      </c>
      <c r="B740" s="41" t="s">
        <v>1684</v>
      </c>
      <c r="C740" s="42" t="s">
        <v>1685</v>
      </c>
    </row>
    <row r="741" spans="1:3">
      <c r="A741" s="38" t="str">
        <f t="shared" si="2"/>
        <v>15 01 03</v>
      </c>
      <c r="B741" s="41" t="s">
        <v>1686</v>
      </c>
      <c r="C741" s="42" t="s">
        <v>1687</v>
      </c>
    </row>
    <row r="742" spans="1:3">
      <c r="A742" s="38" t="str">
        <f t="shared" si="2"/>
        <v>15 01 04</v>
      </c>
      <c r="B742" s="41" t="s">
        <v>1688</v>
      </c>
      <c r="C742" s="42" t="s">
        <v>1689</v>
      </c>
    </row>
    <row r="743" spans="1:3">
      <c r="A743" s="38" t="str">
        <f t="shared" si="2"/>
        <v>15 01 05</v>
      </c>
      <c r="B743" s="41" t="s">
        <v>1690</v>
      </c>
      <c r="C743" s="42" t="s">
        <v>1691</v>
      </c>
    </row>
    <row r="744" spans="1:3">
      <c r="A744" s="38" t="str">
        <f t="shared" si="2"/>
        <v>15 01 06</v>
      </c>
      <c r="B744" s="41" t="s">
        <v>1692</v>
      </c>
      <c r="C744" s="42" t="s">
        <v>1693</v>
      </c>
    </row>
    <row r="745" spans="1:3">
      <c r="A745" s="38" t="str">
        <f t="shared" si="2"/>
        <v>15 01 07</v>
      </c>
      <c r="B745" s="41" t="s">
        <v>1694</v>
      </c>
      <c r="C745" s="42" t="s">
        <v>1695</v>
      </c>
    </row>
    <row r="746" spans="1:3">
      <c r="A746" s="38" t="str">
        <f t="shared" si="2"/>
        <v>15 01 09</v>
      </c>
      <c r="B746" s="41" t="s">
        <v>1696</v>
      </c>
      <c r="C746" s="42" t="s">
        <v>1697</v>
      </c>
    </row>
    <row r="747" spans="1:3">
      <c r="A747" s="38" t="str">
        <f t="shared" si="2"/>
        <v>15 01 10*</v>
      </c>
      <c r="B747" s="41" t="s">
        <v>1698</v>
      </c>
      <c r="C747" s="42" t="s">
        <v>1699</v>
      </c>
    </row>
    <row r="748" spans="1:3">
      <c r="A748" s="38" t="str">
        <f t="shared" si="2"/>
        <v>15 01 11*</v>
      </c>
      <c r="B748" s="41" t="s">
        <v>1700</v>
      </c>
      <c r="C748" s="42" t="s">
        <v>1701</v>
      </c>
    </row>
    <row r="749" spans="1:3">
      <c r="A749" s="38" t="str">
        <f t="shared" si="2"/>
        <v/>
      </c>
      <c r="B749" s="42"/>
      <c r="C749" s="42"/>
    </row>
    <row r="750" spans="1:3">
      <c r="A750" s="38" t="str">
        <f t="shared" si="2"/>
        <v>15 02</v>
      </c>
      <c r="B750" s="39" t="s">
        <v>1702</v>
      </c>
      <c r="C750" s="40" t="s">
        <v>1703</v>
      </c>
    </row>
    <row r="751" spans="1:3">
      <c r="A751" s="38" t="str">
        <f t="shared" si="2"/>
        <v>15 02 02*</v>
      </c>
      <c r="B751" s="41" t="s">
        <v>1704</v>
      </c>
      <c r="C751" s="42" t="s">
        <v>1705</v>
      </c>
    </row>
    <row r="752" spans="1:3">
      <c r="A752" s="38" t="str">
        <f t="shared" si="2"/>
        <v>15 02 03</v>
      </c>
      <c r="B752" s="41" t="s">
        <v>1706</v>
      </c>
      <c r="C752" s="42" t="s">
        <v>1707</v>
      </c>
    </row>
    <row r="753" spans="1:3">
      <c r="A753" s="38" t="str">
        <f t="shared" si="2"/>
        <v/>
      </c>
      <c r="B753" s="42"/>
      <c r="C753" s="42"/>
    </row>
    <row r="754" spans="1:3">
      <c r="A754" s="38" t="str">
        <f t="shared" si="2"/>
        <v>16 déchets non décrits ailleurs dans la liste :</v>
      </c>
      <c r="B754" s="40" t="s">
        <v>1708</v>
      </c>
      <c r="C754" s="42"/>
    </row>
    <row r="755" spans="1:3">
      <c r="A755" s="38" t="str">
        <f t="shared" si="2"/>
        <v/>
      </c>
      <c r="B755" s="42"/>
      <c r="C755" s="42"/>
    </row>
    <row r="756" spans="1:3">
      <c r="A756" s="38" t="str">
        <f t="shared" si="2"/>
        <v>16 01</v>
      </c>
      <c r="B756" s="39" t="s">
        <v>1709</v>
      </c>
      <c r="C756" s="40" t="s">
        <v>1710</v>
      </c>
    </row>
    <row r="757" spans="1:3">
      <c r="A757" s="38" t="str">
        <f t="shared" si="2"/>
        <v>16 01 03</v>
      </c>
      <c r="B757" s="41" t="s">
        <v>1711</v>
      </c>
      <c r="C757" s="42" t="s">
        <v>1712</v>
      </c>
    </row>
    <row r="758" spans="1:3">
      <c r="A758" s="38" t="str">
        <f t="shared" si="2"/>
        <v>16 01 04*</v>
      </c>
      <c r="B758" s="41" t="s">
        <v>1713</v>
      </c>
      <c r="C758" s="42" t="s">
        <v>1714</v>
      </c>
    </row>
    <row r="759" spans="1:3">
      <c r="A759" s="38" t="str">
        <f t="shared" si="2"/>
        <v>16 01 06</v>
      </c>
      <c r="B759" s="41" t="s">
        <v>1715</v>
      </c>
      <c r="C759" s="42" t="s">
        <v>1716</v>
      </c>
    </row>
    <row r="760" spans="1:3">
      <c r="A760" s="38" t="str">
        <f t="shared" si="2"/>
        <v>16 01 07*</v>
      </c>
      <c r="B760" s="41" t="s">
        <v>1717</v>
      </c>
      <c r="C760" s="42" t="s">
        <v>1718</v>
      </c>
    </row>
    <row r="761" spans="1:3">
      <c r="A761" s="38" t="str">
        <f t="shared" si="2"/>
        <v>16 01 08*</v>
      </c>
      <c r="B761" s="41" t="s">
        <v>1719</v>
      </c>
      <c r="C761" s="42" t="s">
        <v>1720</v>
      </c>
    </row>
    <row r="762" spans="1:3">
      <c r="A762" s="38" t="str">
        <f t="shared" si="2"/>
        <v>16 01 09*</v>
      </c>
      <c r="B762" s="41" t="s">
        <v>1721</v>
      </c>
      <c r="C762" s="42" t="s">
        <v>1722</v>
      </c>
    </row>
    <row r="763" spans="1:3">
      <c r="A763" s="38" t="str">
        <f t="shared" si="2"/>
        <v>16 01 10*</v>
      </c>
      <c r="B763" s="41" t="s">
        <v>1723</v>
      </c>
      <c r="C763" s="42" t="s">
        <v>1724</v>
      </c>
    </row>
    <row r="764" spans="1:3">
      <c r="A764" s="38" t="str">
        <f t="shared" si="2"/>
        <v>16 01 11*</v>
      </c>
      <c r="B764" s="41" t="s">
        <v>1725</v>
      </c>
      <c r="C764" s="42" t="s">
        <v>1726</v>
      </c>
    </row>
    <row r="765" spans="1:3">
      <c r="A765" s="38" t="str">
        <f t="shared" si="2"/>
        <v>16 01 12</v>
      </c>
      <c r="B765" s="41" t="s">
        <v>1727</v>
      </c>
      <c r="C765" s="42" t="s">
        <v>1728</v>
      </c>
    </row>
    <row r="766" spans="1:3">
      <c r="A766" s="38" t="str">
        <f t="shared" ref="A766:A1020" si="3">CLEAN(B766)</f>
        <v>16 01 13*</v>
      </c>
      <c r="B766" s="41" t="s">
        <v>1729</v>
      </c>
      <c r="C766" s="42" t="s">
        <v>1730</v>
      </c>
    </row>
    <row r="767" spans="1:3">
      <c r="A767" s="38" t="str">
        <f t="shared" si="3"/>
        <v>16 01 14*</v>
      </c>
      <c r="B767" s="41" t="s">
        <v>1731</v>
      </c>
      <c r="C767" s="42" t="s">
        <v>1732</v>
      </c>
    </row>
    <row r="768" spans="1:3">
      <c r="A768" s="38" t="str">
        <f t="shared" si="3"/>
        <v>16 01 15</v>
      </c>
      <c r="B768" s="41" t="s">
        <v>1733</v>
      </c>
      <c r="C768" s="42" t="s">
        <v>1734</v>
      </c>
    </row>
    <row r="769" spans="1:3">
      <c r="A769" s="38" t="str">
        <f t="shared" si="3"/>
        <v>16 01 16</v>
      </c>
      <c r="B769" s="41" t="s">
        <v>1735</v>
      </c>
      <c r="C769" s="42" t="s">
        <v>1736</v>
      </c>
    </row>
    <row r="770" spans="1:3">
      <c r="A770" s="38" t="str">
        <f t="shared" si="3"/>
        <v>16 01 17</v>
      </c>
      <c r="B770" s="41" t="s">
        <v>1737</v>
      </c>
      <c r="C770" s="42" t="s">
        <v>1738</v>
      </c>
    </row>
    <row r="771" spans="1:3">
      <c r="A771" s="38" t="str">
        <f t="shared" si="3"/>
        <v>16 01 18</v>
      </c>
      <c r="B771" s="41" t="s">
        <v>1739</v>
      </c>
      <c r="C771" s="42" t="s">
        <v>1740</v>
      </c>
    </row>
    <row r="772" spans="1:3">
      <c r="A772" s="38" t="str">
        <f t="shared" si="3"/>
        <v>16 01 19</v>
      </c>
      <c r="B772" s="41" t="s">
        <v>1741</v>
      </c>
      <c r="C772" s="42" t="s">
        <v>1742</v>
      </c>
    </row>
    <row r="773" spans="1:3">
      <c r="A773" s="38" t="str">
        <f t="shared" si="3"/>
        <v>16 01 20</v>
      </c>
      <c r="B773" s="41" t="s">
        <v>1743</v>
      </c>
      <c r="C773" s="42" t="s">
        <v>1744</v>
      </c>
    </row>
    <row r="774" spans="1:3">
      <c r="A774" s="38" t="str">
        <f t="shared" si="3"/>
        <v>16 01 21*</v>
      </c>
      <c r="B774" s="41" t="s">
        <v>1745</v>
      </c>
      <c r="C774" s="42" t="s">
        <v>1746</v>
      </c>
    </row>
    <row r="775" spans="1:3">
      <c r="A775" s="38" t="str">
        <f t="shared" si="3"/>
        <v>16 01 22</v>
      </c>
      <c r="B775" s="41" t="s">
        <v>1747</v>
      </c>
      <c r="C775" s="42" t="s">
        <v>1748</v>
      </c>
    </row>
    <row r="776" spans="1:3">
      <c r="A776" s="38" t="str">
        <f t="shared" si="3"/>
        <v>16 01 99</v>
      </c>
      <c r="B776" s="41" t="s">
        <v>1749</v>
      </c>
      <c r="C776" s="42" t="s">
        <v>591</v>
      </c>
    </row>
    <row r="777" spans="1:3">
      <c r="A777" s="38" t="str">
        <f t="shared" si="3"/>
        <v/>
      </c>
      <c r="B777" s="42"/>
      <c r="C777" s="42"/>
    </row>
    <row r="778" spans="1:3">
      <c r="A778" s="38" t="str">
        <f t="shared" si="3"/>
        <v xml:space="preserve">16 02 </v>
      </c>
      <c r="B778" s="39" t="s">
        <v>1750</v>
      </c>
      <c r="C778" s="40" t="s">
        <v>1751</v>
      </c>
    </row>
    <row r="779" spans="1:3">
      <c r="A779" s="38" t="str">
        <f t="shared" si="3"/>
        <v>16 02 09*</v>
      </c>
      <c r="B779" s="41" t="s">
        <v>1752</v>
      </c>
      <c r="C779" s="42" t="s">
        <v>1753</v>
      </c>
    </row>
    <row r="780" spans="1:3">
      <c r="A780" s="38" t="str">
        <f t="shared" si="3"/>
        <v>16 02 10*</v>
      </c>
      <c r="B780" s="41" t="s">
        <v>1754</v>
      </c>
      <c r="C780" s="42" t="s">
        <v>1755</v>
      </c>
    </row>
    <row r="781" spans="1:3">
      <c r="A781" s="38" t="str">
        <f t="shared" si="3"/>
        <v>16 02 11*</v>
      </c>
      <c r="B781" s="41" t="s">
        <v>1756</v>
      </c>
      <c r="C781" s="42" t="s">
        <v>1757</v>
      </c>
    </row>
    <row r="782" spans="1:3">
      <c r="A782" s="38" t="str">
        <f t="shared" si="3"/>
        <v>16 02 12*</v>
      </c>
      <c r="B782" s="41" t="s">
        <v>1758</v>
      </c>
      <c r="C782" s="42" t="s">
        <v>1759</v>
      </c>
    </row>
    <row r="783" spans="1:3">
      <c r="A783" s="38" t="str">
        <f t="shared" si="3"/>
        <v>16 02 13*</v>
      </c>
      <c r="B783" s="41" t="s">
        <v>1760</v>
      </c>
      <c r="C783" s="42" t="s">
        <v>1761</v>
      </c>
    </row>
    <row r="784" spans="1:3">
      <c r="A784" s="38" t="str">
        <f t="shared" si="3"/>
        <v>16 02 14</v>
      </c>
      <c r="B784" s="41" t="s">
        <v>1762</v>
      </c>
      <c r="C784" s="42" t="s">
        <v>1763</v>
      </c>
    </row>
    <row r="785" spans="1:9">
      <c r="A785" s="38" t="str">
        <f t="shared" si="3"/>
        <v>16 02 15*</v>
      </c>
      <c r="B785" s="41" t="s">
        <v>1764</v>
      </c>
      <c r="C785" s="42" t="s">
        <v>1765</v>
      </c>
    </row>
    <row r="786" spans="1:9">
      <c r="A786" s="38" t="str">
        <f t="shared" si="3"/>
        <v>16 02 16</v>
      </c>
      <c r="B786" s="41" t="s">
        <v>1766</v>
      </c>
      <c r="C786" s="42" t="s">
        <v>1767</v>
      </c>
    </row>
    <row r="787" spans="1:9">
      <c r="A787" s="38" t="str">
        <f t="shared" si="3"/>
        <v/>
      </c>
      <c r="B787" s="42"/>
      <c r="C787" s="42"/>
    </row>
    <row r="788" spans="1:9">
      <c r="A788" s="38" t="str">
        <f t="shared" si="3"/>
        <v>16 03</v>
      </c>
      <c r="B788" s="39" t="s">
        <v>1768</v>
      </c>
      <c r="C788" s="40" t="s">
        <v>1769</v>
      </c>
    </row>
    <row r="789" spans="1:9">
      <c r="A789" s="38" t="str">
        <f t="shared" si="3"/>
        <v>16 03 03*</v>
      </c>
      <c r="B789" s="41" t="s">
        <v>1770</v>
      </c>
      <c r="C789" s="42" t="s">
        <v>1771</v>
      </c>
    </row>
    <row r="790" spans="1:9">
      <c r="A790" s="38" t="str">
        <f t="shared" si="3"/>
        <v>16 03 04</v>
      </c>
      <c r="B790" s="41" t="s">
        <v>1772</v>
      </c>
      <c r="C790" s="42" t="s">
        <v>1773</v>
      </c>
    </row>
    <row r="791" spans="1:9">
      <c r="A791" s="38" t="str">
        <f t="shared" si="3"/>
        <v>16 03 05*</v>
      </c>
      <c r="B791" s="41" t="s">
        <v>1774</v>
      </c>
      <c r="C791" s="42" t="s">
        <v>1775</v>
      </c>
    </row>
    <row r="792" spans="1:9">
      <c r="A792" s="38" t="str">
        <f t="shared" si="3"/>
        <v>16 03 06</v>
      </c>
      <c r="B792" s="41" t="s">
        <v>1776</v>
      </c>
      <c r="C792" s="42" t="s">
        <v>1777</v>
      </c>
    </row>
    <row r="793" spans="1:9">
      <c r="A793" s="38" t="str">
        <f t="shared" si="3"/>
        <v>16 03 07*</v>
      </c>
      <c r="B793" s="41" t="s">
        <v>1778</v>
      </c>
      <c r="C793" s="42" t="s">
        <v>1779</v>
      </c>
    </row>
    <row r="794" spans="1:9">
      <c r="A794" s="38" t="str">
        <f t="shared" si="3"/>
        <v/>
      </c>
      <c r="B794" s="42"/>
      <c r="C794" s="42"/>
    </row>
    <row r="795" spans="1:9">
      <c r="A795" s="38" t="str">
        <f t="shared" si="3"/>
        <v>16 04</v>
      </c>
      <c r="B795" s="39" t="s">
        <v>1780</v>
      </c>
      <c r="C795" s="40" t="s">
        <v>1781</v>
      </c>
    </row>
    <row r="796" spans="1:9">
      <c r="A796" s="38" t="str">
        <f t="shared" si="3"/>
        <v>16 04 01*</v>
      </c>
      <c r="B796" s="41" t="s">
        <v>1782</v>
      </c>
      <c r="C796" s="42" t="s">
        <v>1783</v>
      </c>
      <c r="H796" s="41"/>
    </row>
    <row r="797" spans="1:9">
      <c r="A797" s="38" t="str">
        <f t="shared" si="3"/>
        <v>16 04 02*</v>
      </c>
      <c r="B797" s="41" t="s">
        <v>1784</v>
      </c>
      <c r="C797" s="42" t="s">
        <v>1785</v>
      </c>
    </row>
    <row r="798" spans="1:9">
      <c r="A798" s="38" t="str">
        <f t="shared" si="3"/>
        <v>16 04 03*</v>
      </c>
      <c r="B798" s="41" t="s">
        <v>1786</v>
      </c>
      <c r="C798" s="42" t="s">
        <v>1787</v>
      </c>
      <c r="I798" s="41"/>
    </row>
    <row r="799" spans="1:9">
      <c r="A799" s="38" t="str">
        <f t="shared" si="3"/>
        <v/>
      </c>
      <c r="B799" s="42"/>
      <c r="C799" s="42"/>
      <c r="I799" s="41"/>
    </row>
    <row r="800" spans="1:9">
      <c r="A800" s="38" t="str">
        <f t="shared" si="3"/>
        <v>16 05</v>
      </c>
      <c r="B800" s="39" t="s">
        <v>1788</v>
      </c>
      <c r="C800" s="40" t="s">
        <v>1789</v>
      </c>
    </row>
    <row r="801" spans="1:3">
      <c r="A801" s="38" t="str">
        <f t="shared" si="3"/>
        <v>16 05 04*</v>
      </c>
      <c r="B801" s="41" t="s">
        <v>1790</v>
      </c>
      <c r="C801" s="42" t="s">
        <v>1791</v>
      </c>
    </row>
    <row r="802" spans="1:3">
      <c r="A802" s="38" t="str">
        <f t="shared" si="3"/>
        <v>16 05 05</v>
      </c>
      <c r="B802" s="41" t="s">
        <v>1792</v>
      </c>
      <c r="C802" s="42" t="s">
        <v>1793</v>
      </c>
    </row>
    <row r="803" spans="1:3">
      <c r="A803" s="38" t="str">
        <f t="shared" si="3"/>
        <v>16 05 06*</v>
      </c>
      <c r="B803" s="41" t="s">
        <v>1794</v>
      </c>
      <c r="C803" s="42" t="s">
        <v>1795</v>
      </c>
    </row>
    <row r="804" spans="1:3">
      <c r="A804" s="38" t="str">
        <f t="shared" si="3"/>
        <v>16 05 07*</v>
      </c>
      <c r="B804" s="41" t="s">
        <v>1796</v>
      </c>
      <c r="C804" s="42" t="s">
        <v>1797</v>
      </c>
    </row>
    <row r="805" spans="1:3">
      <c r="A805" s="38" t="str">
        <f t="shared" si="3"/>
        <v>16 05 08*</v>
      </c>
      <c r="B805" s="41" t="s">
        <v>1798</v>
      </c>
      <c r="C805" s="42" t="s">
        <v>1799</v>
      </c>
    </row>
    <row r="806" spans="1:3">
      <c r="A806" s="38" t="str">
        <f t="shared" si="3"/>
        <v>16 05 09</v>
      </c>
      <c r="B806" s="41" t="s">
        <v>1800</v>
      </c>
      <c r="C806" s="42" t="s">
        <v>1801</v>
      </c>
    </row>
    <row r="807" spans="1:3">
      <c r="A807" s="38" t="str">
        <f t="shared" si="3"/>
        <v/>
      </c>
      <c r="B807" s="42"/>
      <c r="C807" s="42"/>
    </row>
    <row r="808" spans="1:3">
      <c r="A808" s="38" t="str">
        <f t="shared" si="3"/>
        <v>16 06</v>
      </c>
      <c r="B808" s="39" t="s">
        <v>1802</v>
      </c>
      <c r="C808" s="40" t="s">
        <v>1803</v>
      </c>
    </row>
    <row r="809" spans="1:3">
      <c r="A809" s="38" t="str">
        <f t="shared" si="3"/>
        <v>16 06 01*</v>
      </c>
      <c r="B809" s="41" t="s">
        <v>1804</v>
      </c>
      <c r="C809" s="42" t="s">
        <v>1805</v>
      </c>
    </row>
    <row r="810" spans="1:3">
      <c r="A810" s="38" t="str">
        <f t="shared" si="3"/>
        <v>16 06 02*</v>
      </c>
      <c r="B810" s="41" t="s">
        <v>1806</v>
      </c>
      <c r="C810" s="42" t="s">
        <v>1807</v>
      </c>
    </row>
    <row r="811" spans="1:3">
      <c r="A811" s="38" t="str">
        <f t="shared" si="3"/>
        <v>16 06 03*</v>
      </c>
      <c r="B811" s="41" t="s">
        <v>1808</v>
      </c>
      <c r="C811" s="42" t="s">
        <v>1809</v>
      </c>
    </row>
    <row r="812" spans="1:3">
      <c r="A812" s="38" t="str">
        <f t="shared" si="3"/>
        <v>16 06 04</v>
      </c>
      <c r="B812" s="41" t="s">
        <v>1810</v>
      </c>
      <c r="C812" s="42" t="s">
        <v>1811</v>
      </c>
    </row>
    <row r="813" spans="1:3">
      <c r="A813" s="38" t="str">
        <f t="shared" si="3"/>
        <v>16 06 05</v>
      </c>
      <c r="B813" s="41" t="s">
        <v>1812</v>
      </c>
      <c r="C813" s="42" t="s">
        <v>1813</v>
      </c>
    </row>
    <row r="814" spans="1:3">
      <c r="A814" s="38" t="str">
        <f t="shared" si="3"/>
        <v>16 06 06*</v>
      </c>
      <c r="B814" s="41" t="s">
        <v>1814</v>
      </c>
      <c r="C814" s="42" t="s">
        <v>1815</v>
      </c>
    </row>
    <row r="815" spans="1:3">
      <c r="A815" s="38" t="str">
        <f t="shared" si="3"/>
        <v/>
      </c>
      <c r="B815" s="42"/>
      <c r="C815" s="42"/>
    </row>
    <row r="816" spans="1:3">
      <c r="A816" s="38" t="str">
        <f t="shared" si="3"/>
        <v>16 07</v>
      </c>
      <c r="B816" s="39" t="s">
        <v>1816</v>
      </c>
      <c r="C816" s="40" t="s">
        <v>1817</v>
      </c>
    </row>
    <row r="817" spans="1:3">
      <c r="A817" s="38" t="str">
        <f t="shared" si="3"/>
        <v>16 07 08*</v>
      </c>
      <c r="B817" s="41" t="s">
        <v>1818</v>
      </c>
      <c r="C817" s="42" t="s">
        <v>1819</v>
      </c>
    </row>
    <row r="818" spans="1:3">
      <c r="A818" s="38" t="str">
        <f t="shared" si="3"/>
        <v>16 07 09*</v>
      </c>
      <c r="B818" s="41" t="s">
        <v>1820</v>
      </c>
      <c r="C818" s="42" t="s">
        <v>1821</v>
      </c>
    </row>
    <row r="819" spans="1:3">
      <c r="A819" s="38" t="str">
        <f t="shared" si="3"/>
        <v>16 07 99</v>
      </c>
      <c r="B819" s="41" t="s">
        <v>1822</v>
      </c>
      <c r="C819" s="42" t="s">
        <v>591</v>
      </c>
    </row>
    <row r="820" spans="1:3">
      <c r="A820" s="38" t="str">
        <f t="shared" si="3"/>
        <v/>
      </c>
      <c r="B820" s="42"/>
      <c r="C820" s="42"/>
    </row>
    <row r="821" spans="1:3">
      <c r="A821" s="38" t="str">
        <f t="shared" si="3"/>
        <v>16 08</v>
      </c>
      <c r="B821" s="39" t="s">
        <v>1823</v>
      </c>
      <c r="C821" s="40" t="s">
        <v>1824</v>
      </c>
    </row>
    <row r="822" spans="1:3">
      <c r="A822" s="38" t="str">
        <f t="shared" si="3"/>
        <v>16 08 01</v>
      </c>
      <c r="B822" s="41" t="s">
        <v>1825</v>
      </c>
      <c r="C822" s="42" t="s">
        <v>1826</v>
      </c>
    </row>
    <row r="823" spans="1:3">
      <c r="A823" s="38" t="str">
        <f t="shared" si="3"/>
        <v>16 08 02*</v>
      </c>
      <c r="B823" s="41" t="s">
        <v>1827</v>
      </c>
      <c r="C823" s="42" t="s">
        <v>1828</v>
      </c>
    </row>
    <row r="824" spans="1:3">
      <c r="A824" s="38" t="str">
        <f t="shared" si="3"/>
        <v>16 08 03</v>
      </c>
      <c r="B824" s="41" t="s">
        <v>1829</v>
      </c>
      <c r="C824" s="42" t="s">
        <v>1830</v>
      </c>
    </row>
    <row r="825" spans="1:3">
      <c r="A825" s="38" t="str">
        <f t="shared" si="3"/>
        <v>16 08 04</v>
      </c>
      <c r="B825" s="41" t="s">
        <v>1831</v>
      </c>
      <c r="C825" s="42" t="s">
        <v>1832</v>
      </c>
    </row>
    <row r="826" spans="1:3">
      <c r="A826" s="38" t="str">
        <f t="shared" si="3"/>
        <v>16 08 05*</v>
      </c>
      <c r="B826" s="41" t="s">
        <v>1833</v>
      </c>
      <c r="C826" s="42" t="s">
        <v>1834</v>
      </c>
    </row>
    <row r="827" spans="1:3">
      <c r="A827" s="38" t="str">
        <f t="shared" si="3"/>
        <v>16 08 06*</v>
      </c>
      <c r="B827" s="41" t="s">
        <v>1835</v>
      </c>
      <c r="C827" s="42" t="s">
        <v>1836</v>
      </c>
    </row>
    <row r="828" spans="1:3">
      <c r="A828" s="38" t="str">
        <f t="shared" si="3"/>
        <v>16 08 07*</v>
      </c>
      <c r="B828" s="41" t="s">
        <v>1837</v>
      </c>
      <c r="C828" s="42" t="s">
        <v>1838</v>
      </c>
    </row>
    <row r="829" spans="1:3">
      <c r="A829" s="38" t="str">
        <f t="shared" si="3"/>
        <v/>
      </c>
      <c r="B829" s="42"/>
      <c r="C829" s="42"/>
    </row>
    <row r="830" spans="1:3">
      <c r="A830" s="38" t="str">
        <f t="shared" si="3"/>
        <v>16 09</v>
      </c>
      <c r="B830" s="39" t="s">
        <v>1839</v>
      </c>
      <c r="C830" s="40" t="s">
        <v>1840</v>
      </c>
    </row>
    <row r="831" spans="1:3">
      <c r="A831" s="38" t="str">
        <f t="shared" si="3"/>
        <v>16 09 01*</v>
      </c>
      <c r="B831" s="41" t="s">
        <v>1841</v>
      </c>
      <c r="C831" s="42" t="s">
        <v>1842</v>
      </c>
    </row>
    <row r="832" spans="1:3">
      <c r="A832" s="38" t="str">
        <f t="shared" si="3"/>
        <v>16 09 02*</v>
      </c>
      <c r="B832" s="41" t="s">
        <v>1843</v>
      </c>
      <c r="C832" s="42" t="s">
        <v>1844</v>
      </c>
    </row>
    <row r="833" spans="1:3">
      <c r="A833" s="38" t="str">
        <f t="shared" si="3"/>
        <v>16 09 03*</v>
      </c>
      <c r="B833" s="41" t="s">
        <v>1845</v>
      </c>
      <c r="C833" s="42" t="s">
        <v>1846</v>
      </c>
    </row>
    <row r="834" spans="1:3">
      <c r="A834" s="38" t="str">
        <f t="shared" si="3"/>
        <v>16 09 04*</v>
      </c>
      <c r="B834" s="41" t="s">
        <v>1847</v>
      </c>
      <c r="C834" s="42" t="s">
        <v>1848</v>
      </c>
    </row>
    <row r="835" spans="1:3">
      <c r="A835" s="38" t="str">
        <f t="shared" si="3"/>
        <v/>
      </c>
      <c r="B835" s="42"/>
      <c r="C835" s="42"/>
    </row>
    <row r="836" spans="1:3">
      <c r="A836" s="38" t="str">
        <f t="shared" si="3"/>
        <v>16 10</v>
      </c>
      <c r="B836" s="39" t="s">
        <v>1849</v>
      </c>
      <c r="C836" s="40" t="s">
        <v>1850</v>
      </c>
    </row>
    <row r="837" spans="1:3">
      <c r="A837" s="38" t="str">
        <f t="shared" si="3"/>
        <v>16 10 01*</v>
      </c>
      <c r="B837" s="41" t="s">
        <v>1851</v>
      </c>
      <c r="C837" s="42" t="s">
        <v>1852</v>
      </c>
    </row>
    <row r="838" spans="1:3">
      <c r="A838" s="38" t="str">
        <f t="shared" si="3"/>
        <v>16 10 02</v>
      </c>
      <c r="B838" s="41" t="s">
        <v>1853</v>
      </c>
      <c r="C838" s="42" t="s">
        <v>1854</v>
      </c>
    </row>
    <row r="839" spans="1:3">
      <c r="A839" s="38" t="str">
        <f t="shared" si="3"/>
        <v>16 10 03*</v>
      </c>
      <c r="B839" s="41" t="s">
        <v>1855</v>
      </c>
      <c r="C839" s="42" t="s">
        <v>1856</v>
      </c>
    </row>
    <row r="840" spans="1:3">
      <c r="A840" s="38" t="str">
        <f t="shared" si="3"/>
        <v>16 10 04</v>
      </c>
      <c r="B840" s="41" t="s">
        <v>1857</v>
      </c>
      <c r="C840" s="42" t="s">
        <v>1858</v>
      </c>
    </row>
    <row r="841" spans="1:3">
      <c r="A841" s="38" t="str">
        <f t="shared" si="3"/>
        <v/>
      </c>
      <c r="B841" s="42"/>
      <c r="C841" s="42"/>
    </row>
    <row r="842" spans="1:3">
      <c r="A842" s="38" t="str">
        <f t="shared" si="3"/>
        <v>16 11</v>
      </c>
      <c r="B842" s="39" t="s">
        <v>1859</v>
      </c>
      <c r="C842" s="40" t="s">
        <v>1860</v>
      </c>
    </row>
    <row r="843" spans="1:3">
      <c r="A843" s="38" t="str">
        <f t="shared" si="3"/>
        <v>16 11 01*</v>
      </c>
      <c r="B843" s="41" t="s">
        <v>1861</v>
      </c>
      <c r="C843" s="42" t="s">
        <v>1862</v>
      </c>
    </row>
    <row r="844" spans="1:3">
      <c r="A844" s="38" t="str">
        <f t="shared" si="3"/>
        <v>16 11 02</v>
      </c>
      <c r="B844" s="41" t="s">
        <v>1863</v>
      </c>
      <c r="C844" s="42" t="s">
        <v>1864</v>
      </c>
    </row>
    <row r="845" spans="1:3">
      <c r="A845" s="38" t="str">
        <f t="shared" si="3"/>
        <v>16 11 03*</v>
      </c>
      <c r="B845" s="41" t="s">
        <v>1865</v>
      </c>
      <c r="C845" s="42" t="s">
        <v>1866</v>
      </c>
    </row>
    <row r="846" spans="1:3">
      <c r="A846" s="38" t="str">
        <f t="shared" si="3"/>
        <v>16 11 04</v>
      </c>
      <c r="B846" s="41" t="s">
        <v>1867</v>
      </c>
      <c r="C846" s="42" t="s">
        <v>1868</v>
      </c>
    </row>
    <row r="847" spans="1:3">
      <c r="A847" s="38" t="str">
        <f t="shared" si="3"/>
        <v>16 11 05*</v>
      </c>
      <c r="B847" s="41" t="s">
        <v>1869</v>
      </c>
      <c r="C847" s="42" t="s">
        <v>1870</v>
      </c>
    </row>
    <row r="848" spans="1:3">
      <c r="A848" s="38" t="str">
        <f t="shared" si="3"/>
        <v>16 11 06</v>
      </c>
      <c r="B848" s="41" t="s">
        <v>1871</v>
      </c>
      <c r="C848" s="42" t="s">
        <v>1872</v>
      </c>
    </row>
    <row r="849" spans="1:3">
      <c r="A849" s="38" t="str">
        <f t="shared" si="3"/>
        <v/>
      </c>
      <c r="B849" s="42"/>
      <c r="C849" s="42"/>
    </row>
    <row r="850" spans="1:3">
      <c r="A850" s="38" t="str">
        <f t="shared" si="3"/>
        <v>17 Déchets de construction et de démolition (y compris déblais provenant de sites contaminés)</v>
      </c>
      <c r="B850" s="40" t="s">
        <v>1873</v>
      </c>
      <c r="C850" s="42"/>
    </row>
    <row r="851" spans="1:3">
      <c r="A851" s="38" t="str">
        <f t="shared" si="3"/>
        <v/>
      </c>
      <c r="B851" s="42"/>
      <c r="C851" s="42"/>
    </row>
    <row r="852" spans="1:3">
      <c r="A852" s="38" t="str">
        <f t="shared" si="3"/>
        <v>17 01</v>
      </c>
      <c r="B852" s="39" t="s">
        <v>1874</v>
      </c>
      <c r="C852" s="40" t="s">
        <v>1875</v>
      </c>
    </row>
    <row r="853" spans="1:3">
      <c r="A853" s="38" t="str">
        <f t="shared" si="3"/>
        <v>17 01 01</v>
      </c>
      <c r="B853" s="41" t="s">
        <v>1876</v>
      </c>
      <c r="C853" s="42" t="s">
        <v>1877</v>
      </c>
    </row>
    <row r="854" spans="1:3">
      <c r="A854" s="38" t="str">
        <f t="shared" si="3"/>
        <v>17 01 02</v>
      </c>
      <c r="B854" s="41" t="s">
        <v>1878</v>
      </c>
      <c r="C854" s="42" t="s">
        <v>1879</v>
      </c>
    </row>
    <row r="855" spans="1:3">
      <c r="A855" s="38" t="str">
        <f t="shared" si="3"/>
        <v>17 01 03</v>
      </c>
      <c r="B855" s="41" t="s">
        <v>1880</v>
      </c>
      <c r="C855" s="42" t="s">
        <v>1881</v>
      </c>
    </row>
    <row r="856" spans="1:3">
      <c r="A856" s="38" t="str">
        <f t="shared" si="3"/>
        <v>17 01 06*</v>
      </c>
      <c r="B856" s="41" t="s">
        <v>1882</v>
      </c>
      <c r="C856" s="42" t="s">
        <v>1883</v>
      </c>
    </row>
    <row r="857" spans="1:3">
      <c r="A857" s="38" t="str">
        <f t="shared" si="3"/>
        <v>17 01 07</v>
      </c>
      <c r="B857" s="41" t="s">
        <v>1884</v>
      </c>
      <c r="C857" s="42" t="s">
        <v>1885</v>
      </c>
    </row>
    <row r="858" spans="1:3">
      <c r="A858" s="38" t="str">
        <f t="shared" si="3"/>
        <v/>
      </c>
      <c r="B858" s="42"/>
      <c r="C858" s="42"/>
    </row>
    <row r="859" spans="1:3">
      <c r="A859" s="38" t="str">
        <f t="shared" si="3"/>
        <v>17 02</v>
      </c>
      <c r="B859" s="39" t="s">
        <v>1886</v>
      </c>
      <c r="C859" s="40" t="s">
        <v>1887</v>
      </c>
    </row>
    <row r="860" spans="1:3">
      <c r="A860" s="38" t="str">
        <f t="shared" si="3"/>
        <v>17 02 01</v>
      </c>
      <c r="B860" s="41" t="s">
        <v>1888</v>
      </c>
      <c r="C860" s="42" t="s">
        <v>1889</v>
      </c>
    </row>
    <row r="861" spans="1:3">
      <c r="A861" s="38" t="str">
        <f t="shared" si="3"/>
        <v>17 02 02</v>
      </c>
      <c r="B861" s="41" t="s">
        <v>1890</v>
      </c>
      <c r="C861" s="42" t="s">
        <v>1744</v>
      </c>
    </row>
    <row r="862" spans="1:3">
      <c r="A862" s="38" t="str">
        <f t="shared" si="3"/>
        <v>17 02 03</v>
      </c>
      <c r="B862" s="41" t="s">
        <v>1891</v>
      </c>
      <c r="C862" s="42" t="s">
        <v>1742</v>
      </c>
    </row>
    <row r="863" spans="1:3">
      <c r="A863" s="38" t="str">
        <f t="shared" si="3"/>
        <v>17 02 04*</v>
      </c>
      <c r="B863" s="41" t="s">
        <v>1892</v>
      </c>
      <c r="C863" s="42" t="s">
        <v>1893</v>
      </c>
    </row>
    <row r="864" spans="1:3">
      <c r="A864" s="38" t="str">
        <f t="shared" si="3"/>
        <v/>
      </c>
      <c r="B864" s="42"/>
      <c r="C864" s="42"/>
    </row>
    <row r="865" spans="1:3">
      <c r="A865" s="38" t="str">
        <f t="shared" si="3"/>
        <v>17 03</v>
      </c>
      <c r="B865" s="39" t="s">
        <v>1894</v>
      </c>
      <c r="C865" s="40" t="s">
        <v>1895</v>
      </c>
    </row>
    <row r="866" spans="1:3">
      <c r="A866" s="38" t="str">
        <f t="shared" si="3"/>
        <v>17 03 01*</v>
      </c>
      <c r="B866" s="41" t="s">
        <v>1896</v>
      </c>
      <c r="C866" s="42" t="s">
        <v>1897</v>
      </c>
    </row>
    <row r="867" spans="1:3">
      <c r="A867" s="38" t="str">
        <f t="shared" si="3"/>
        <v>17 03 02</v>
      </c>
      <c r="B867" s="41" t="s">
        <v>1898</v>
      </c>
      <c r="C867" s="42" t="s">
        <v>1899</v>
      </c>
    </row>
    <row r="868" spans="1:3">
      <c r="A868" s="38" t="str">
        <f t="shared" si="3"/>
        <v>17 03 03*</v>
      </c>
      <c r="B868" s="41" t="s">
        <v>1900</v>
      </c>
      <c r="C868" s="42" t="s">
        <v>1901</v>
      </c>
    </row>
    <row r="869" spans="1:3">
      <c r="A869" s="38" t="str">
        <f t="shared" si="3"/>
        <v/>
      </c>
      <c r="B869" s="42"/>
      <c r="C869" s="42"/>
    </row>
    <row r="870" spans="1:3">
      <c r="A870" s="38" t="str">
        <f t="shared" si="3"/>
        <v>17 04</v>
      </c>
      <c r="B870" s="39" t="s">
        <v>1902</v>
      </c>
      <c r="C870" s="40" t="s">
        <v>1903</v>
      </c>
    </row>
    <row r="871" spans="1:3">
      <c r="A871" s="38" t="str">
        <f t="shared" si="3"/>
        <v>17 04 01</v>
      </c>
      <c r="B871" s="41" t="s">
        <v>1904</v>
      </c>
      <c r="C871" s="42" t="s">
        <v>1905</v>
      </c>
    </row>
    <row r="872" spans="1:3">
      <c r="A872" s="38" t="str">
        <f t="shared" si="3"/>
        <v>17 04 02</v>
      </c>
      <c r="B872" s="41" t="s">
        <v>1906</v>
      </c>
      <c r="C872" s="42" t="s">
        <v>1907</v>
      </c>
    </row>
    <row r="873" spans="1:3">
      <c r="A873" s="38" t="str">
        <f t="shared" si="3"/>
        <v>17 04 03</v>
      </c>
      <c r="B873" s="41" t="s">
        <v>1908</v>
      </c>
      <c r="C873" s="42" t="s">
        <v>1909</v>
      </c>
    </row>
    <row r="874" spans="1:3">
      <c r="A874" s="38" t="str">
        <f t="shared" si="3"/>
        <v>17 04 04</v>
      </c>
      <c r="B874" s="41" t="s">
        <v>1910</v>
      </c>
      <c r="C874" s="42" t="s">
        <v>1911</v>
      </c>
    </row>
    <row r="875" spans="1:3">
      <c r="A875" s="38" t="str">
        <f t="shared" si="3"/>
        <v>17 04 05</v>
      </c>
      <c r="B875" s="41" t="s">
        <v>1912</v>
      </c>
      <c r="C875" s="42" t="s">
        <v>1913</v>
      </c>
    </row>
    <row r="876" spans="1:3">
      <c r="A876" s="38" t="str">
        <f t="shared" si="3"/>
        <v>17 04 06</v>
      </c>
      <c r="B876" s="41" t="s">
        <v>1914</v>
      </c>
      <c r="C876" s="42" t="s">
        <v>1915</v>
      </c>
    </row>
    <row r="877" spans="1:3">
      <c r="A877" s="38" t="str">
        <f t="shared" si="3"/>
        <v>17 04 07</v>
      </c>
      <c r="B877" s="41" t="s">
        <v>1916</v>
      </c>
      <c r="C877" s="42" t="s">
        <v>1917</v>
      </c>
    </row>
    <row r="878" spans="1:3">
      <c r="A878" s="38" t="str">
        <f t="shared" si="3"/>
        <v>17 04 09*</v>
      </c>
      <c r="B878" s="41" t="s">
        <v>1918</v>
      </c>
      <c r="C878" s="42" t="s">
        <v>1919</v>
      </c>
    </row>
    <row r="879" spans="1:3">
      <c r="A879" s="38" t="str">
        <f t="shared" si="3"/>
        <v>17 04 10*</v>
      </c>
      <c r="B879" s="41" t="s">
        <v>1920</v>
      </c>
      <c r="C879" s="42" t="s">
        <v>1921</v>
      </c>
    </row>
    <row r="880" spans="1:3">
      <c r="A880" s="38" t="str">
        <f t="shared" si="3"/>
        <v>17 04 11</v>
      </c>
      <c r="B880" s="41" t="s">
        <v>1922</v>
      </c>
      <c r="C880" s="42" t="s">
        <v>1923</v>
      </c>
    </row>
    <row r="881" spans="1:3">
      <c r="A881" s="38" t="str">
        <f t="shared" si="3"/>
        <v/>
      </c>
      <c r="B881" s="42"/>
      <c r="C881" s="42"/>
    </row>
    <row r="882" spans="1:3">
      <c r="A882" s="38" t="str">
        <f t="shared" si="3"/>
        <v>17 05</v>
      </c>
      <c r="B882" s="39" t="s">
        <v>1924</v>
      </c>
      <c r="C882" s="40" t="s">
        <v>1925</v>
      </c>
    </row>
    <row r="883" spans="1:3">
      <c r="A883" s="38" t="str">
        <f t="shared" si="3"/>
        <v>17 05 03*</v>
      </c>
      <c r="B883" s="41" t="s">
        <v>1926</v>
      </c>
      <c r="C883" s="42" t="s">
        <v>1927</v>
      </c>
    </row>
    <row r="884" spans="1:3">
      <c r="A884" s="38" t="str">
        <f t="shared" si="3"/>
        <v>17 05 04</v>
      </c>
      <c r="B884" s="41" t="s">
        <v>1928</v>
      </c>
      <c r="C884" s="42" t="s">
        <v>1929</v>
      </c>
    </row>
    <row r="885" spans="1:3">
      <c r="A885" s="38" t="str">
        <f t="shared" si="3"/>
        <v>17 05 05*</v>
      </c>
      <c r="B885" s="41" t="s">
        <v>1930</v>
      </c>
      <c r="C885" s="42" t="s">
        <v>1931</v>
      </c>
    </row>
    <row r="886" spans="1:3">
      <c r="A886" s="38" t="str">
        <f t="shared" si="3"/>
        <v>17 05 06</v>
      </c>
      <c r="B886" s="41" t="s">
        <v>1932</v>
      </c>
      <c r="C886" s="42" t="s">
        <v>1933</v>
      </c>
    </row>
    <row r="887" spans="1:3">
      <c r="A887" s="38" t="str">
        <f t="shared" si="3"/>
        <v>17 05 07*</v>
      </c>
      <c r="B887" s="41" t="s">
        <v>1934</v>
      </c>
      <c r="C887" s="42" t="s">
        <v>1935</v>
      </c>
    </row>
    <row r="888" spans="1:3">
      <c r="A888" s="38" t="str">
        <f t="shared" si="3"/>
        <v>17 05 08</v>
      </c>
      <c r="B888" s="41" t="s">
        <v>1936</v>
      </c>
      <c r="C888" s="42" t="s">
        <v>1937</v>
      </c>
    </row>
    <row r="889" spans="1:3">
      <c r="A889" s="38" t="str">
        <f t="shared" si="3"/>
        <v/>
      </c>
      <c r="B889" s="42"/>
      <c r="C889" s="42"/>
    </row>
    <row r="890" spans="1:3">
      <c r="A890" s="38" t="str">
        <f t="shared" si="3"/>
        <v>17 06</v>
      </c>
      <c r="B890" s="39" t="s">
        <v>1938</v>
      </c>
      <c r="C890" s="40" t="s">
        <v>1939</v>
      </c>
    </row>
    <row r="891" spans="1:3">
      <c r="A891" s="38" t="str">
        <f t="shared" si="3"/>
        <v>17 06 01*</v>
      </c>
      <c r="B891" s="41" t="s">
        <v>1940</v>
      </c>
      <c r="C891" s="42" t="s">
        <v>1941</v>
      </c>
    </row>
    <row r="892" spans="1:3">
      <c r="A892" s="38" t="str">
        <f t="shared" si="3"/>
        <v>17 06 03*</v>
      </c>
      <c r="B892" s="41" t="s">
        <v>1942</v>
      </c>
      <c r="C892" s="42" t="s">
        <v>1943</v>
      </c>
    </row>
    <row r="893" spans="1:3">
      <c r="A893" s="38" t="str">
        <f t="shared" si="3"/>
        <v>17 06 04</v>
      </c>
      <c r="B893" s="41" t="s">
        <v>1944</v>
      </c>
      <c r="C893" s="42" t="s">
        <v>1945</v>
      </c>
    </row>
    <row r="894" spans="1:3">
      <c r="A894" s="38" t="str">
        <f t="shared" si="3"/>
        <v>17 06 05*</v>
      </c>
      <c r="B894" s="41" t="s">
        <v>1946</v>
      </c>
      <c r="C894" s="42" t="s">
        <v>1947</v>
      </c>
    </row>
    <row r="895" spans="1:3">
      <c r="A895" s="38" t="str">
        <f t="shared" si="3"/>
        <v/>
      </c>
      <c r="B895" s="42"/>
      <c r="C895" s="42"/>
    </row>
    <row r="896" spans="1:3">
      <c r="A896" s="38" t="str">
        <f t="shared" si="3"/>
        <v>17 08</v>
      </c>
      <c r="B896" s="39" t="s">
        <v>1948</v>
      </c>
      <c r="C896" s="40" t="s">
        <v>1949</v>
      </c>
    </row>
    <row r="897" spans="1:3">
      <c r="A897" s="38" t="str">
        <f t="shared" si="3"/>
        <v>17 08 01*</v>
      </c>
      <c r="B897" s="41" t="s">
        <v>1950</v>
      </c>
      <c r="C897" s="42" t="s">
        <v>1951</v>
      </c>
    </row>
    <row r="898" spans="1:3">
      <c r="A898" s="38" t="str">
        <f t="shared" si="3"/>
        <v>17 08 02</v>
      </c>
      <c r="B898" s="41" t="s">
        <v>1952</v>
      </c>
      <c r="C898" s="42" t="s">
        <v>1953</v>
      </c>
    </row>
    <row r="899" spans="1:3">
      <c r="A899" s="38" t="str">
        <f t="shared" si="3"/>
        <v/>
      </c>
      <c r="B899" s="42"/>
      <c r="C899" s="42"/>
    </row>
    <row r="900" spans="1:3">
      <c r="A900" s="38" t="str">
        <f t="shared" si="3"/>
        <v>17 09</v>
      </c>
      <c r="B900" s="39" t="s">
        <v>1954</v>
      </c>
      <c r="C900" s="40" t="s">
        <v>1955</v>
      </c>
    </row>
    <row r="901" spans="1:3">
      <c r="A901" s="38" t="str">
        <f t="shared" si="3"/>
        <v>17 09 01*</v>
      </c>
      <c r="B901" s="41" t="s">
        <v>1956</v>
      </c>
      <c r="C901" s="42" t="s">
        <v>1957</v>
      </c>
    </row>
    <row r="902" spans="1:3">
      <c r="A902" s="38" t="str">
        <f t="shared" si="3"/>
        <v>17 09 02*</v>
      </c>
      <c r="B902" s="41" t="s">
        <v>1958</v>
      </c>
      <c r="C902" s="42" t="s">
        <v>1959</v>
      </c>
    </row>
    <row r="903" spans="1:3">
      <c r="A903" s="38" t="str">
        <f t="shared" si="3"/>
        <v>17 09 03*</v>
      </c>
      <c r="B903" s="41" t="s">
        <v>1960</v>
      </c>
      <c r="C903" s="42" t="s">
        <v>1961</v>
      </c>
    </row>
    <row r="904" spans="1:3">
      <c r="A904" s="38" t="str">
        <f t="shared" si="3"/>
        <v>17 09 04</v>
      </c>
      <c r="B904" s="41" t="s">
        <v>1962</v>
      </c>
      <c r="C904" s="42" t="s">
        <v>1963</v>
      </c>
    </row>
    <row r="905" spans="1:3">
      <c r="A905" s="38" t="str">
        <f t="shared" si="3"/>
        <v/>
      </c>
      <c r="B905" s="42"/>
      <c r="C905" s="42"/>
    </row>
    <row r="906" spans="1:3">
      <c r="A906" s="38" t="str">
        <f t="shared" si="3"/>
        <v>18 Déchets provenant des soins médicaux ou vetérinaires et/ou de la recherche associée (sauf déchets de cuisine et de restauration ne provenant pas directement des soins médicaux) :</v>
      </c>
      <c r="B906" s="40" t="s">
        <v>1964</v>
      </c>
      <c r="C906" s="42"/>
    </row>
    <row r="907" spans="1:3">
      <c r="A907" s="38" t="str">
        <f t="shared" si="3"/>
        <v/>
      </c>
      <c r="B907" s="42"/>
      <c r="C907" s="42"/>
    </row>
    <row r="908" spans="1:3">
      <c r="A908" s="38" t="str">
        <f t="shared" si="3"/>
        <v>18 01</v>
      </c>
      <c r="B908" s="39" t="s">
        <v>1965</v>
      </c>
      <c r="C908" s="40" t="s">
        <v>1966</v>
      </c>
    </row>
    <row r="909" spans="1:3">
      <c r="A909" s="38" t="str">
        <f t="shared" si="3"/>
        <v>18 01 01</v>
      </c>
      <c r="B909" s="41" t="s">
        <v>1967</v>
      </c>
      <c r="C909" s="42" t="s">
        <v>1968</v>
      </c>
    </row>
    <row r="910" spans="1:3">
      <c r="A910" s="38" t="str">
        <f t="shared" si="3"/>
        <v>18 01 02</v>
      </c>
      <c r="B910" s="41" t="s">
        <v>1969</v>
      </c>
      <c r="C910" s="42" t="s">
        <v>1970</v>
      </c>
    </row>
    <row r="911" spans="1:3">
      <c r="A911" s="38" t="str">
        <f t="shared" si="3"/>
        <v>18 01 03*</v>
      </c>
      <c r="B911" s="41" t="s">
        <v>1971</v>
      </c>
      <c r="C911" s="42" t="s">
        <v>1972</v>
      </c>
    </row>
    <row r="912" spans="1:3">
      <c r="A912" s="38" t="str">
        <f t="shared" si="3"/>
        <v>18 01 04</v>
      </c>
      <c r="B912" s="41" t="s">
        <v>1973</v>
      </c>
      <c r="C912" s="42" t="s">
        <v>1974</v>
      </c>
    </row>
    <row r="913" spans="1:3">
      <c r="A913" s="38" t="str">
        <f t="shared" si="3"/>
        <v>18 01 06*</v>
      </c>
      <c r="B913" s="41" t="s">
        <v>1975</v>
      </c>
      <c r="C913" s="42" t="s">
        <v>1976</v>
      </c>
    </row>
    <row r="914" spans="1:3">
      <c r="A914" s="38" t="str">
        <f t="shared" si="3"/>
        <v>18 01 07</v>
      </c>
      <c r="B914" s="41" t="s">
        <v>1977</v>
      </c>
      <c r="C914" s="42" t="s">
        <v>1978</v>
      </c>
    </row>
    <row r="915" spans="1:3">
      <c r="A915" s="38" t="str">
        <f t="shared" si="3"/>
        <v>18 01 08*</v>
      </c>
      <c r="B915" s="41" t="s">
        <v>1979</v>
      </c>
      <c r="C915" s="42" t="s">
        <v>1980</v>
      </c>
    </row>
    <row r="916" spans="1:3">
      <c r="A916" s="38" t="str">
        <f t="shared" si="3"/>
        <v>18 01 09</v>
      </c>
      <c r="B916" s="41" t="s">
        <v>1981</v>
      </c>
      <c r="C916" s="42" t="s">
        <v>1982</v>
      </c>
    </row>
    <row r="917" spans="1:3">
      <c r="A917" s="38" t="str">
        <f t="shared" si="3"/>
        <v>18 01 10*</v>
      </c>
      <c r="B917" s="41" t="s">
        <v>1983</v>
      </c>
      <c r="C917" s="42" t="s">
        <v>1984</v>
      </c>
    </row>
    <row r="918" spans="1:3">
      <c r="A918" s="38" t="str">
        <f t="shared" si="3"/>
        <v/>
      </c>
      <c r="B918" s="42"/>
      <c r="C918" s="42"/>
    </row>
    <row r="919" spans="1:3">
      <c r="A919" s="38" t="str">
        <f t="shared" si="3"/>
        <v>18 02</v>
      </c>
      <c r="B919" s="39" t="s">
        <v>1985</v>
      </c>
      <c r="C919" s="40" t="s">
        <v>1986</v>
      </c>
    </row>
    <row r="920" spans="1:3">
      <c r="A920" s="38" t="str">
        <f t="shared" si="3"/>
        <v>18 02 01</v>
      </c>
      <c r="B920" s="41" t="s">
        <v>1987</v>
      </c>
      <c r="C920" s="42" t="s">
        <v>1988</v>
      </c>
    </row>
    <row r="921" spans="1:3">
      <c r="A921" s="38" t="str">
        <f t="shared" si="3"/>
        <v>18 02 02*</v>
      </c>
      <c r="B921" s="41" t="s">
        <v>1989</v>
      </c>
      <c r="C921" s="42" t="s">
        <v>1972</v>
      </c>
    </row>
    <row r="922" spans="1:3">
      <c r="A922" s="38" t="str">
        <f t="shared" si="3"/>
        <v>18 02 03</v>
      </c>
      <c r="B922" s="41" t="s">
        <v>1990</v>
      </c>
      <c r="C922" s="42" t="s">
        <v>1991</v>
      </c>
    </row>
    <row r="923" spans="1:3">
      <c r="A923" s="38" t="str">
        <f t="shared" si="3"/>
        <v>18 02 05*</v>
      </c>
      <c r="B923" s="41" t="s">
        <v>1992</v>
      </c>
      <c r="C923" s="42" t="s">
        <v>1976</v>
      </c>
    </row>
    <row r="924" spans="1:3">
      <c r="A924" s="38" t="str">
        <f t="shared" si="3"/>
        <v>18 02 06</v>
      </c>
      <c r="B924" s="41" t="s">
        <v>1993</v>
      </c>
      <c r="C924" s="42" t="s">
        <v>1994</v>
      </c>
    </row>
    <row r="925" spans="1:3">
      <c r="A925" s="38" t="str">
        <f t="shared" si="3"/>
        <v>18 02 07*</v>
      </c>
      <c r="B925" s="41" t="s">
        <v>1995</v>
      </c>
      <c r="C925" s="42" t="s">
        <v>1980</v>
      </c>
    </row>
    <row r="926" spans="1:3">
      <c r="A926" s="38" t="str">
        <f t="shared" si="3"/>
        <v>18 02 08</v>
      </c>
      <c r="B926" s="41" t="s">
        <v>1996</v>
      </c>
      <c r="C926" s="42" t="s">
        <v>1997</v>
      </c>
    </row>
    <row r="927" spans="1:3">
      <c r="A927" s="38" t="str">
        <f t="shared" si="3"/>
        <v/>
      </c>
      <c r="B927" s="42"/>
      <c r="C927" s="42"/>
    </row>
    <row r="928" spans="1:3">
      <c r="A928" s="38" t="str">
        <f t="shared" si="3"/>
        <v>19 Déchets provenant des installations de gestion des déchets, des stations d'épuration des eaux usées hors site et de la préparation d'eau destinée à la consommation humaine et d'eau à usage industriel :</v>
      </c>
      <c r="B928" s="40" t="s">
        <v>1998</v>
      </c>
      <c r="C928" s="42"/>
    </row>
    <row r="929" spans="1:3">
      <c r="A929" s="38" t="str">
        <f t="shared" si="3"/>
        <v/>
      </c>
      <c r="B929" s="42"/>
      <c r="C929" s="42"/>
    </row>
    <row r="930" spans="1:3">
      <c r="A930" s="38" t="str">
        <f t="shared" si="3"/>
        <v>19 01</v>
      </c>
      <c r="B930" s="39" t="s">
        <v>1999</v>
      </c>
      <c r="C930" s="40" t="s">
        <v>2000</v>
      </c>
    </row>
    <row r="931" spans="1:3">
      <c r="A931" s="38" t="str">
        <f t="shared" si="3"/>
        <v>19 01 02</v>
      </c>
      <c r="B931" s="41" t="s">
        <v>2001</v>
      </c>
      <c r="C931" s="42" t="s">
        <v>2002</v>
      </c>
    </row>
    <row r="932" spans="1:3">
      <c r="A932" s="38" t="str">
        <f t="shared" si="3"/>
        <v>19 01 05*</v>
      </c>
      <c r="B932" s="41" t="s">
        <v>2003</v>
      </c>
      <c r="C932" s="42" t="s">
        <v>2004</v>
      </c>
    </row>
    <row r="933" spans="1:3">
      <c r="A933" s="38" t="str">
        <f t="shared" si="3"/>
        <v>19 01 06*</v>
      </c>
      <c r="B933" s="41" t="s">
        <v>2005</v>
      </c>
      <c r="C933" s="42" t="s">
        <v>2006</v>
      </c>
    </row>
    <row r="934" spans="1:3">
      <c r="A934" s="38" t="str">
        <f t="shared" si="3"/>
        <v>19 01 07*</v>
      </c>
      <c r="B934" s="41" t="s">
        <v>2007</v>
      </c>
      <c r="C934" s="42" t="s">
        <v>1285</v>
      </c>
    </row>
    <row r="935" spans="1:3">
      <c r="A935" s="38" t="str">
        <f t="shared" si="3"/>
        <v>19 01 10*</v>
      </c>
      <c r="B935" s="41" t="s">
        <v>2008</v>
      </c>
      <c r="C935" s="42" t="s">
        <v>2009</v>
      </c>
    </row>
    <row r="936" spans="1:3">
      <c r="A936" s="38" t="str">
        <f t="shared" si="3"/>
        <v>19 01 11*</v>
      </c>
      <c r="B936" s="41" t="s">
        <v>2010</v>
      </c>
      <c r="C936" s="42" t="s">
        <v>2011</v>
      </c>
    </row>
    <row r="937" spans="1:3">
      <c r="A937" s="38" t="str">
        <f t="shared" si="3"/>
        <v>19 01 12</v>
      </c>
      <c r="B937" s="41" t="s">
        <v>2012</v>
      </c>
      <c r="C937" s="42" t="s">
        <v>2013</v>
      </c>
    </row>
    <row r="938" spans="1:3">
      <c r="A938" s="38" t="str">
        <f t="shared" si="3"/>
        <v>19 01 13*</v>
      </c>
      <c r="B938" s="41" t="s">
        <v>2014</v>
      </c>
      <c r="C938" s="42" t="s">
        <v>2015</v>
      </c>
    </row>
    <row r="939" spans="1:3">
      <c r="A939" s="38" t="str">
        <f t="shared" si="3"/>
        <v>19 01 14</v>
      </c>
      <c r="B939" s="41" t="s">
        <v>2016</v>
      </c>
      <c r="C939" s="42" t="s">
        <v>2017</v>
      </c>
    </row>
    <row r="940" spans="1:3">
      <c r="A940" s="38" t="str">
        <f t="shared" si="3"/>
        <v>19 01 15*</v>
      </c>
      <c r="B940" s="41" t="s">
        <v>2018</v>
      </c>
      <c r="C940" s="42" t="s">
        <v>2019</v>
      </c>
    </row>
    <row r="941" spans="1:3">
      <c r="A941" s="38" t="str">
        <f t="shared" si="3"/>
        <v>19 01 16</v>
      </c>
      <c r="B941" s="41" t="s">
        <v>2020</v>
      </c>
      <c r="C941" s="42" t="s">
        <v>2021</v>
      </c>
    </row>
    <row r="942" spans="1:3">
      <c r="A942" s="38" t="str">
        <f t="shared" si="3"/>
        <v>19 01 17*</v>
      </c>
      <c r="B942" s="41" t="s">
        <v>2022</v>
      </c>
      <c r="C942" s="42" t="s">
        <v>2023</v>
      </c>
    </row>
    <row r="943" spans="1:3">
      <c r="A943" s="38" t="str">
        <f t="shared" si="3"/>
        <v>19 01 18</v>
      </c>
      <c r="B943" s="41" t="s">
        <v>2024</v>
      </c>
      <c r="C943" s="42" t="s">
        <v>2025</v>
      </c>
    </row>
    <row r="944" spans="1:3">
      <c r="A944" s="38" t="str">
        <f t="shared" si="3"/>
        <v>19 01 19</v>
      </c>
      <c r="B944" s="41" t="s">
        <v>2026</v>
      </c>
      <c r="C944" s="42" t="s">
        <v>1201</v>
      </c>
    </row>
    <row r="945" spans="1:3">
      <c r="A945" s="38" t="str">
        <f t="shared" si="3"/>
        <v>19 01 99</v>
      </c>
      <c r="B945" s="41" t="s">
        <v>2027</v>
      </c>
      <c r="C945" s="42" t="s">
        <v>591</v>
      </c>
    </row>
    <row r="946" spans="1:3">
      <c r="A946" s="38" t="str">
        <f t="shared" si="3"/>
        <v/>
      </c>
      <c r="B946" s="42"/>
      <c r="C946" s="42"/>
    </row>
    <row r="947" spans="1:3">
      <c r="A947" s="38" t="str">
        <f t="shared" si="3"/>
        <v>19 02</v>
      </c>
      <c r="B947" s="39" t="s">
        <v>2028</v>
      </c>
      <c r="C947" s="40" t="s">
        <v>2029</v>
      </c>
    </row>
    <row r="948" spans="1:3">
      <c r="A948" s="38" t="str">
        <f t="shared" si="3"/>
        <v>19 02 03</v>
      </c>
      <c r="B948" s="41" t="s">
        <v>2030</v>
      </c>
      <c r="C948" s="42" t="s">
        <v>2031</v>
      </c>
    </row>
    <row r="949" spans="1:3">
      <c r="A949" s="38" t="str">
        <f t="shared" si="3"/>
        <v>19 02 04*</v>
      </c>
      <c r="B949" s="41" t="s">
        <v>2032</v>
      </c>
      <c r="C949" s="42" t="s">
        <v>2033</v>
      </c>
    </row>
    <row r="950" spans="1:3">
      <c r="A950" s="38" t="str">
        <f t="shared" si="3"/>
        <v>19 02 05*</v>
      </c>
      <c r="B950" s="41" t="s">
        <v>2034</v>
      </c>
      <c r="C950" s="42" t="s">
        <v>2035</v>
      </c>
    </row>
    <row r="951" spans="1:3">
      <c r="A951" s="38" t="str">
        <f t="shared" si="3"/>
        <v>19 02 06</v>
      </c>
      <c r="B951" s="41" t="s">
        <v>2036</v>
      </c>
      <c r="C951" s="42" t="s">
        <v>2037</v>
      </c>
    </row>
    <row r="952" spans="1:3">
      <c r="A952" s="38" t="str">
        <f t="shared" si="3"/>
        <v>19 02 07*</v>
      </c>
      <c r="B952" s="41" t="s">
        <v>2038</v>
      </c>
      <c r="C952" s="42" t="s">
        <v>2039</v>
      </c>
    </row>
    <row r="953" spans="1:3">
      <c r="A953" s="38" t="str">
        <f t="shared" si="3"/>
        <v>19 02 08*</v>
      </c>
      <c r="B953" s="41" t="s">
        <v>2040</v>
      </c>
      <c r="C953" s="42" t="s">
        <v>2041</v>
      </c>
    </row>
    <row r="954" spans="1:3">
      <c r="A954" s="38" t="str">
        <f t="shared" si="3"/>
        <v>19 02 09*</v>
      </c>
      <c r="B954" s="41" t="s">
        <v>2042</v>
      </c>
      <c r="C954" s="42" t="s">
        <v>2043</v>
      </c>
    </row>
    <row r="955" spans="1:3">
      <c r="A955" s="38" t="str">
        <f t="shared" si="3"/>
        <v>19 02 10</v>
      </c>
      <c r="B955" s="41" t="s">
        <v>2044</v>
      </c>
      <c r="C955" s="42" t="s">
        <v>2045</v>
      </c>
    </row>
    <row r="956" spans="1:3">
      <c r="A956" s="38" t="str">
        <f t="shared" si="3"/>
        <v>19 02 11*</v>
      </c>
      <c r="B956" s="41" t="s">
        <v>2046</v>
      </c>
      <c r="C956" s="42" t="s">
        <v>1504</v>
      </c>
    </row>
    <row r="957" spans="1:3">
      <c r="A957" s="38" t="str">
        <f t="shared" si="3"/>
        <v>19 02 99</v>
      </c>
      <c r="B957" s="41" t="s">
        <v>2047</v>
      </c>
      <c r="C957" s="42" t="s">
        <v>591</v>
      </c>
    </row>
    <row r="958" spans="1:3">
      <c r="A958" s="38" t="str">
        <f t="shared" si="3"/>
        <v/>
      </c>
      <c r="B958" s="42"/>
      <c r="C958" s="42"/>
    </row>
    <row r="959" spans="1:3">
      <c r="A959" s="38" t="str">
        <f t="shared" si="3"/>
        <v>19 03</v>
      </c>
      <c r="B959" s="39" t="s">
        <v>2048</v>
      </c>
      <c r="C959" s="40" t="s">
        <v>2049</v>
      </c>
    </row>
    <row r="960" spans="1:3">
      <c r="A960" s="38" t="str">
        <f t="shared" si="3"/>
        <v>19 03 04*</v>
      </c>
      <c r="B960" s="41" t="s">
        <v>2050</v>
      </c>
      <c r="C960" s="42" t="s">
        <v>2051</v>
      </c>
    </row>
    <row r="961" spans="1:3">
      <c r="A961" s="38" t="str">
        <f t="shared" si="3"/>
        <v>19 03 05</v>
      </c>
      <c r="B961" s="41" t="s">
        <v>2052</v>
      </c>
      <c r="C961" s="42" t="s">
        <v>2053</v>
      </c>
    </row>
    <row r="962" spans="1:3">
      <c r="A962" s="38" t="str">
        <f t="shared" si="3"/>
        <v>19 03 06*</v>
      </c>
      <c r="B962" s="41" t="s">
        <v>2054</v>
      </c>
      <c r="C962" s="42" t="s">
        <v>2055</v>
      </c>
    </row>
    <row r="963" spans="1:3">
      <c r="A963" s="38" t="str">
        <f t="shared" si="3"/>
        <v>19 03 07</v>
      </c>
      <c r="B963" s="41" t="s">
        <v>2056</v>
      </c>
      <c r="C963" s="42" t="s">
        <v>2057</v>
      </c>
    </row>
    <row r="964" spans="1:3">
      <c r="A964" s="38" t="str">
        <f t="shared" si="3"/>
        <v>19 03 08*</v>
      </c>
      <c r="B964" s="41" t="s">
        <v>2058</v>
      </c>
      <c r="C964" s="42" t="s">
        <v>2059</v>
      </c>
    </row>
    <row r="965" spans="1:3">
      <c r="A965" s="38" t="str">
        <f t="shared" si="3"/>
        <v/>
      </c>
      <c r="B965" s="42"/>
      <c r="C965" s="42"/>
    </row>
    <row r="966" spans="1:3">
      <c r="A966" s="38" t="str">
        <f t="shared" si="3"/>
        <v>19 04</v>
      </c>
      <c r="B966" s="39" t="s">
        <v>2060</v>
      </c>
      <c r="C966" s="40" t="s">
        <v>2061</v>
      </c>
    </row>
    <row r="967" spans="1:3">
      <c r="A967" s="38" t="str">
        <f t="shared" si="3"/>
        <v>19 04 01</v>
      </c>
      <c r="B967" s="41" t="s">
        <v>2062</v>
      </c>
      <c r="C967" s="42" t="s">
        <v>2063</v>
      </c>
    </row>
    <row r="968" spans="1:3">
      <c r="A968" s="38" t="str">
        <f t="shared" si="3"/>
        <v>19 04 02*</v>
      </c>
      <c r="B968" s="41" t="s">
        <v>2064</v>
      </c>
      <c r="C968" s="42" t="s">
        <v>2065</v>
      </c>
    </row>
    <row r="969" spans="1:3">
      <c r="A969" s="38" t="str">
        <f t="shared" si="3"/>
        <v>19 04 03*</v>
      </c>
      <c r="B969" s="41" t="s">
        <v>2066</v>
      </c>
      <c r="C969" s="42" t="s">
        <v>2067</v>
      </c>
    </row>
    <row r="970" spans="1:3">
      <c r="A970" s="38" t="str">
        <f t="shared" si="3"/>
        <v>19 04 04</v>
      </c>
      <c r="B970" s="41" t="s">
        <v>2068</v>
      </c>
      <c r="C970" s="42" t="s">
        <v>2069</v>
      </c>
    </row>
    <row r="971" spans="1:3">
      <c r="A971" s="38" t="str">
        <f t="shared" si="3"/>
        <v/>
      </c>
      <c r="B971" s="42"/>
      <c r="C971" s="42"/>
    </row>
    <row r="972" spans="1:3">
      <c r="A972" s="38" t="str">
        <f t="shared" si="3"/>
        <v>19 05</v>
      </c>
      <c r="B972" s="39" t="s">
        <v>2070</v>
      </c>
      <c r="C972" s="40" t="s">
        <v>2071</v>
      </c>
    </row>
    <row r="973" spans="1:3">
      <c r="A973" s="38" t="str">
        <f t="shared" si="3"/>
        <v>19 05 01</v>
      </c>
      <c r="B973" s="41" t="s">
        <v>2072</v>
      </c>
      <c r="C973" s="42" t="s">
        <v>2073</v>
      </c>
    </row>
    <row r="974" spans="1:3">
      <c r="A974" s="38" t="str">
        <f t="shared" si="3"/>
        <v>19 05 02</v>
      </c>
      <c r="B974" s="41" t="s">
        <v>2074</v>
      </c>
      <c r="C974" s="42" t="s">
        <v>2075</v>
      </c>
    </row>
    <row r="975" spans="1:3">
      <c r="A975" s="38" t="str">
        <f t="shared" si="3"/>
        <v>19 05 03</v>
      </c>
      <c r="B975" s="41" t="s">
        <v>2076</v>
      </c>
      <c r="C975" s="42" t="s">
        <v>2077</v>
      </c>
    </row>
    <row r="976" spans="1:3">
      <c r="A976" s="38" t="str">
        <f t="shared" si="3"/>
        <v>19 05 99</v>
      </c>
      <c r="B976" s="41" t="s">
        <v>2078</v>
      </c>
      <c r="C976" s="42" t="s">
        <v>591</v>
      </c>
    </row>
    <row r="977" spans="1:3">
      <c r="A977" s="38" t="str">
        <f t="shared" si="3"/>
        <v/>
      </c>
      <c r="B977" s="42"/>
      <c r="C977" s="42"/>
    </row>
    <row r="978" spans="1:3">
      <c r="A978" s="38" t="str">
        <f t="shared" si="3"/>
        <v>19 06</v>
      </c>
      <c r="B978" s="39" t="s">
        <v>2079</v>
      </c>
      <c r="C978" s="40" t="s">
        <v>2080</v>
      </c>
    </row>
    <row r="979" spans="1:3">
      <c r="A979" s="38" t="str">
        <f t="shared" si="3"/>
        <v>19 06 03</v>
      </c>
      <c r="B979" s="41" t="s">
        <v>2081</v>
      </c>
      <c r="C979" s="42" t="s">
        <v>2082</v>
      </c>
    </row>
    <row r="980" spans="1:3">
      <c r="A980" s="38" t="str">
        <f t="shared" si="3"/>
        <v>19 06 04</v>
      </c>
      <c r="B980" s="41" t="s">
        <v>2083</v>
      </c>
      <c r="C980" s="42" t="s">
        <v>2084</v>
      </c>
    </row>
    <row r="981" spans="1:3">
      <c r="A981" s="38" t="str">
        <f t="shared" si="3"/>
        <v>19 06 05</v>
      </c>
      <c r="B981" s="41" t="s">
        <v>2085</v>
      </c>
      <c r="C981" s="42" t="s">
        <v>2086</v>
      </c>
    </row>
    <row r="982" spans="1:3">
      <c r="A982" s="38" t="str">
        <f t="shared" si="3"/>
        <v>19 06 06</v>
      </c>
      <c r="B982" s="41" t="s">
        <v>2087</v>
      </c>
      <c r="C982" s="42" t="s">
        <v>2088</v>
      </c>
    </row>
    <row r="983" spans="1:3">
      <c r="A983" s="38" t="str">
        <f t="shared" si="3"/>
        <v>19 06 99</v>
      </c>
      <c r="B983" s="41" t="s">
        <v>2089</v>
      </c>
      <c r="C983" s="42" t="s">
        <v>591</v>
      </c>
    </row>
    <row r="984" spans="1:3">
      <c r="A984" s="38" t="str">
        <f t="shared" si="3"/>
        <v/>
      </c>
      <c r="B984" s="42"/>
      <c r="C984" s="42"/>
    </row>
    <row r="985" spans="1:3">
      <c r="A985" s="38" t="str">
        <f t="shared" si="3"/>
        <v>19 07</v>
      </c>
      <c r="B985" s="39" t="s">
        <v>2090</v>
      </c>
      <c r="C985" s="40" t="s">
        <v>2091</v>
      </c>
    </row>
    <row r="986" spans="1:3">
      <c r="A986" s="38" t="str">
        <f t="shared" si="3"/>
        <v>19 07 02*</v>
      </c>
      <c r="B986" s="41" t="s">
        <v>2092</v>
      </c>
      <c r="C986" s="42" t="s">
        <v>2093</v>
      </c>
    </row>
    <row r="987" spans="1:3">
      <c r="A987" s="38" t="str">
        <f t="shared" si="3"/>
        <v>19 07 03</v>
      </c>
      <c r="B987" s="41" t="s">
        <v>2094</v>
      </c>
      <c r="C987" s="42" t="s">
        <v>2095</v>
      </c>
    </row>
    <row r="988" spans="1:3">
      <c r="A988" s="38" t="str">
        <f t="shared" si="3"/>
        <v/>
      </c>
      <c r="B988" s="42"/>
      <c r="C988" s="42"/>
    </row>
    <row r="989" spans="1:3">
      <c r="A989" s="38" t="str">
        <f t="shared" si="3"/>
        <v>19 08</v>
      </c>
      <c r="B989" s="39" t="s">
        <v>2096</v>
      </c>
      <c r="C989" s="40" t="s">
        <v>2097</v>
      </c>
    </row>
    <row r="990" spans="1:3">
      <c r="A990" s="38" t="str">
        <f t="shared" si="3"/>
        <v>19 08 01</v>
      </c>
      <c r="B990" s="41" t="s">
        <v>2098</v>
      </c>
      <c r="C990" s="42" t="s">
        <v>2099</v>
      </c>
    </row>
    <row r="991" spans="1:3">
      <c r="A991" s="38" t="str">
        <f t="shared" si="3"/>
        <v>19 08 02</v>
      </c>
      <c r="B991" s="41" t="s">
        <v>2100</v>
      </c>
      <c r="C991" s="42" t="s">
        <v>2101</v>
      </c>
    </row>
    <row r="992" spans="1:3">
      <c r="A992" s="38" t="str">
        <f t="shared" si="3"/>
        <v>19 08 05</v>
      </c>
      <c r="B992" s="41" t="s">
        <v>2102</v>
      </c>
      <c r="C992" s="42" t="s">
        <v>2103</v>
      </c>
    </row>
    <row r="993" spans="1:3">
      <c r="A993" s="38" t="str">
        <f t="shared" si="3"/>
        <v>19 08 06*</v>
      </c>
      <c r="B993" s="41" t="s">
        <v>2104</v>
      </c>
      <c r="C993" s="42" t="s">
        <v>1502</v>
      </c>
    </row>
    <row r="994" spans="1:3">
      <c r="A994" s="38" t="str">
        <f t="shared" si="3"/>
        <v>19 08 07*</v>
      </c>
      <c r="B994" s="41" t="s">
        <v>2105</v>
      </c>
      <c r="C994" s="42" t="s">
        <v>2106</v>
      </c>
    </row>
    <row r="995" spans="1:3">
      <c r="A995" s="38" t="str">
        <f t="shared" si="3"/>
        <v>19 08 08*</v>
      </c>
      <c r="B995" s="41" t="s">
        <v>2107</v>
      </c>
      <c r="C995" s="42" t="s">
        <v>2108</v>
      </c>
    </row>
    <row r="996" spans="1:3">
      <c r="A996" s="38" t="str">
        <f t="shared" si="3"/>
        <v>19 08 09</v>
      </c>
      <c r="B996" s="41" t="s">
        <v>2109</v>
      </c>
      <c r="C996" s="42" t="s">
        <v>2110</v>
      </c>
    </row>
    <row r="997" spans="1:3">
      <c r="A997" s="38" t="str">
        <f t="shared" si="3"/>
        <v>19 08 10*</v>
      </c>
      <c r="B997" s="41" t="s">
        <v>2111</v>
      </c>
      <c r="C997" s="42" t="s">
        <v>2112</v>
      </c>
    </row>
    <row r="998" spans="1:3">
      <c r="A998" s="38" t="str">
        <f t="shared" si="3"/>
        <v>19 08 11*</v>
      </c>
      <c r="B998" s="41" t="s">
        <v>2113</v>
      </c>
      <c r="C998" s="42" t="s">
        <v>2114</v>
      </c>
    </row>
    <row r="999" spans="1:3">
      <c r="A999" s="38" t="str">
        <f t="shared" si="3"/>
        <v>19 08 12</v>
      </c>
      <c r="B999" s="41" t="s">
        <v>2115</v>
      </c>
      <c r="C999" s="42" t="s">
        <v>2116</v>
      </c>
    </row>
    <row r="1000" spans="1:3">
      <c r="A1000" s="38" t="str">
        <f t="shared" si="3"/>
        <v>19 08 13*</v>
      </c>
      <c r="B1000" s="41" t="s">
        <v>2117</v>
      </c>
      <c r="C1000" s="42" t="s">
        <v>2118</v>
      </c>
    </row>
    <row r="1001" spans="1:3">
      <c r="A1001" s="38" t="str">
        <f t="shared" si="3"/>
        <v>19 08 14</v>
      </c>
      <c r="B1001" s="41" t="s">
        <v>2119</v>
      </c>
      <c r="C1001" s="42" t="s">
        <v>2120</v>
      </c>
    </row>
    <row r="1002" spans="1:3">
      <c r="A1002" s="38" t="str">
        <f t="shared" si="3"/>
        <v>19 08 99</v>
      </c>
      <c r="B1002" s="41" t="s">
        <v>2121</v>
      </c>
      <c r="C1002" s="42" t="s">
        <v>591</v>
      </c>
    </row>
    <row r="1003" spans="1:3">
      <c r="A1003" s="38" t="str">
        <f t="shared" si="3"/>
        <v/>
      </c>
      <c r="B1003" s="42"/>
      <c r="C1003" s="42"/>
    </row>
    <row r="1004" spans="1:3">
      <c r="A1004" s="38" t="str">
        <f t="shared" si="3"/>
        <v>19 09</v>
      </c>
      <c r="B1004" s="39" t="s">
        <v>2122</v>
      </c>
      <c r="C1004" s="40" t="s">
        <v>2123</v>
      </c>
    </row>
    <row r="1005" spans="1:3">
      <c r="A1005" s="38" t="str">
        <f t="shared" si="3"/>
        <v>19 09 01</v>
      </c>
      <c r="B1005" s="41" t="s">
        <v>2124</v>
      </c>
      <c r="C1005" s="42" t="s">
        <v>2125</v>
      </c>
    </row>
    <row r="1006" spans="1:3">
      <c r="A1006" s="38" t="str">
        <f t="shared" si="3"/>
        <v>19 09 02</v>
      </c>
      <c r="B1006" s="41" t="s">
        <v>2126</v>
      </c>
      <c r="C1006" s="42" t="s">
        <v>2127</v>
      </c>
    </row>
    <row r="1007" spans="1:3">
      <c r="A1007" s="38" t="str">
        <f t="shared" si="3"/>
        <v>19 09 03</v>
      </c>
      <c r="B1007" s="41" t="s">
        <v>2128</v>
      </c>
      <c r="C1007" s="42" t="s">
        <v>2129</v>
      </c>
    </row>
    <row r="1008" spans="1:3">
      <c r="A1008" s="38" t="str">
        <f t="shared" si="3"/>
        <v>19 09 04</v>
      </c>
      <c r="B1008" s="41" t="s">
        <v>2130</v>
      </c>
      <c r="C1008" s="42" t="s">
        <v>2131</v>
      </c>
    </row>
    <row r="1009" spans="1:3">
      <c r="A1009" s="38" t="str">
        <f t="shared" si="3"/>
        <v>19 09 05</v>
      </c>
      <c r="B1009" s="41" t="s">
        <v>2132</v>
      </c>
      <c r="C1009" s="42" t="s">
        <v>1502</v>
      </c>
    </row>
    <row r="1010" spans="1:3">
      <c r="A1010" s="38" t="str">
        <f t="shared" si="3"/>
        <v>19 09 06</v>
      </c>
      <c r="B1010" s="41" t="s">
        <v>2133</v>
      </c>
      <c r="C1010" s="42" t="s">
        <v>2106</v>
      </c>
    </row>
    <row r="1011" spans="1:3">
      <c r="A1011" s="38" t="str">
        <f t="shared" si="3"/>
        <v>19 09 99</v>
      </c>
      <c r="B1011" s="41" t="s">
        <v>2134</v>
      </c>
      <c r="C1011" s="42" t="s">
        <v>591</v>
      </c>
    </row>
    <row r="1012" spans="1:3">
      <c r="A1012" s="38" t="str">
        <f t="shared" si="3"/>
        <v/>
      </c>
      <c r="B1012" s="42"/>
      <c r="C1012" s="42"/>
    </row>
    <row r="1013" spans="1:3">
      <c r="A1013" s="38" t="str">
        <f t="shared" si="3"/>
        <v>19 10</v>
      </c>
      <c r="B1013" s="39" t="s">
        <v>2135</v>
      </c>
      <c r="C1013" s="40" t="s">
        <v>2136</v>
      </c>
    </row>
    <row r="1014" spans="1:3">
      <c r="A1014" s="38" t="str">
        <f t="shared" si="3"/>
        <v>19 10 01</v>
      </c>
      <c r="B1014" s="41" t="s">
        <v>2137</v>
      </c>
      <c r="C1014" s="42" t="s">
        <v>2138</v>
      </c>
    </row>
    <row r="1015" spans="1:3">
      <c r="A1015" s="38" t="str">
        <f t="shared" si="3"/>
        <v>19 10 02</v>
      </c>
      <c r="B1015" s="41" t="s">
        <v>2139</v>
      </c>
      <c r="C1015" s="42" t="s">
        <v>2140</v>
      </c>
    </row>
    <row r="1016" spans="1:3">
      <c r="A1016" s="38" t="str">
        <f t="shared" si="3"/>
        <v>19 10 03*</v>
      </c>
      <c r="B1016" s="41" t="s">
        <v>2141</v>
      </c>
      <c r="C1016" s="42" t="s">
        <v>2142</v>
      </c>
    </row>
    <row r="1017" spans="1:3">
      <c r="A1017" s="38" t="str">
        <f t="shared" si="3"/>
        <v>19 10 04</v>
      </c>
      <c r="B1017" s="41" t="s">
        <v>2143</v>
      </c>
      <c r="C1017" s="42" t="s">
        <v>2144</v>
      </c>
    </row>
    <row r="1018" spans="1:3">
      <c r="A1018" s="38" t="str">
        <f t="shared" si="3"/>
        <v>19 10 05*</v>
      </c>
      <c r="B1018" s="41" t="s">
        <v>2145</v>
      </c>
      <c r="C1018" s="42" t="s">
        <v>2146</v>
      </c>
    </row>
    <row r="1019" spans="1:3">
      <c r="A1019" s="38" t="str">
        <f t="shared" si="3"/>
        <v>19 10 06</v>
      </c>
      <c r="B1019" s="41" t="s">
        <v>2147</v>
      </c>
      <c r="C1019" s="42" t="s">
        <v>2148</v>
      </c>
    </row>
    <row r="1020" spans="1:3">
      <c r="A1020" s="38" t="str">
        <f t="shared" si="3"/>
        <v/>
      </c>
      <c r="B1020" s="42"/>
      <c r="C1020" s="42"/>
    </row>
    <row r="1021" spans="1:3">
      <c r="A1021" s="38" t="str">
        <f t="shared" ref="A1021:A1103" si="4">CLEAN(B1021)</f>
        <v xml:space="preserve">19 11 </v>
      </c>
      <c r="B1021" s="39" t="s">
        <v>2149</v>
      </c>
      <c r="C1021" s="40" t="s">
        <v>2150</v>
      </c>
    </row>
    <row r="1022" spans="1:3">
      <c r="A1022" s="38" t="str">
        <f t="shared" si="4"/>
        <v>19 11 01*</v>
      </c>
      <c r="B1022" s="41" t="s">
        <v>2151</v>
      </c>
      <c r="C1022" s="42" t="s">
        <v>812</v>
      </c>
    </row>
    <row r="1023" spans="1:3">
      <c r="A1023" s="38" t="str">
        <f t="shared" si="4"/>
        <v>19 11 02*</v>
      </c>
      <c r="B1023" s="41" t="s">
        <v>2152</v>
      </c>
      <c r="C1023" s="42" t="s">
        <v>797</v>
      </c>
    </row>
    <row r="1024" spans="1:3">
      <c r="A1024" s="38" t="str">
        <f t="shared" si="4"/>
        <v>19 11 03*</v>
      </c>
      <c r="B1024" s="41" t="s">
        <v>2153</v>
      </c>
      <c r="C1024" s="42" t="s">
        <v>2154</v>
      </c>
    </row>
    <row r="1025" spans="1:3">
      <c r="A1025" s="38" t="str">
        <f t="shared" si="4"/>
        <v>19 11 04*</v>
      </c>
      <c r="B1025" s="41" t="s">
        <v>2155</v>
      </c>
      <c r="C1025" s="42" t="s">
        <v>804</v>
      </c>
    </row>
    <row r="1026" spans="1:3">
      <c r="A1026" s="38" t="str">
        <f t="shared" si="4"/>
        <v>19 11 05*</v>
      </c>
      <c r="B1026" s="41" t="s">
        <v>2156</v>
      </c>
      <c r="C1026" s="42" t="s">
        <v>775</v>
      </c>
    </row>
    <row r="1027" spans="1:3">
      <c r="A1027" s="38" t="str">
        <f t="shared" si="4"/>
        <v>19 11 06</v>
      </c>
      <c r="B1027" s="41" t="s">
        <v>2157</v>
      </c>
      <c r="C1027" s="42" t="s">
        <v>2158</v>
      </c>
    </row>
    <row r="1028" spans="1:3">
      <c r="A1028" s="38" t="str">
        <f t="shared" si="4"/>
        <v>19 11 07*</v>
      </c>
      <c r="B1028" s="41" t="s">
        <v>2159</v>
      </c>
      <c r="C1028" s="42" t="s">
        <v>2160</v>
      </c>
    </row>
    <row r="1029" spans="1:3">
      <c r="A1029" s="38" t="str">
        <f t="shared" si="4"/>
        <v>19 11 99</v>
      </c>
      <c r="B1029" s="41" t="s">
        <v>2161</v>
      </c>
      <c r="C1029" s="42" t="s">
        <v>591</v>
      </c>
    </row>
    <row r="1030" spans="1:3">
      <c r="A1030" s="38" t="str">
        <f t="shared" si="4"/>
        <v/>
      </c>
      <c r="B1030" s="42"/>
      <c r="C1030" s="42"/>
    </row>
    <row r="1031" spans="1:3">
      <c r="A1031" s="38" t="str">
        <f t="shared" si="4"/>
        <v>19 12</v>
      </c>
      <c r="B1031" s="39" t="s">
        <v>2162</v>
      </c>
      <c r="C1031" s="40" t="s">
        <v>2163</v>
      </c>
    </row>
    <row r="1032" spans="1:3">
      <c r="A1032" s="38" t="str">
        <f t="shared" si="4"/>
        <v>19 12 01</v>
      </c>
      <c r="B1032" s="41" t="s">
        <v>2164</v>
      </c>
      <c r="C1032" s="42" t="s">
        <v>2165</v>
      </c>
    </row>
    <row r="1033" spans="1:3">
      <c r="A1033" s="38" t="str">
        <f t="shared" si="4"/>
        <v>19 12 02</v>
      </c>
      <c r="B1033" s="41" t="s">
        <v>2166</v>
      </c>
      <c r="C1033" s="42" t="s">
        <v>1738</v>
      </c>
    </row>
    <row r="1034" spans="1:3">
      <c r="A1034" s="38" t="str">
        <f t="shared" si="4"/>
        <v>19 12 03</v>
      </c>
      <c r="B1034" s="41" t="s">
        <v>2167</v>
      </c>
      <c r="C1034" s="42" t="s">
        <v>1740</v>
      </c>
    </row>
    <row r="1035" spans="1:3">
      <c r="A1035" s="38" t="str">
        <f t="shared" si="4"/>
        <v>19 12 04</v>
      </c>
      <c r="B1035" s="41" t="s">
        <v>2168</v>
      </c>
      <c r="C1035" s="42" t="s">
        <v>2169</v>
      </c>
    </row>
    <row r="1036" spans="1:3">
      <c r="A1036" s="38" t="str">
        <f t="shared" si="4"/>
        <v>19 12 05</v>
      </c>
      <c r="B1036" s="41" t="s">
        <v>2170</v>
      </c>
      <c r="C1036" s="42" t="s">
        <v>1744</v>
      </c>
    </row>
    <row r="1037" spans="1:3">
      <c r="A1037" s="38" t="str">
        <f t="shared" si="4"/>
        <v>19 12 06*</v>
      </c>
      <c r="B1037" s="41" t="s">
        <v>2171</v>
      </c>
      <c r="C1037" s="42" t="s">
        <v>2172</v>
      </c>
    </row>
    <row r="1038" spans="1:3">
      <c r="A1038" s="38" t="str">
        <f t="shared" si="4"/>
        <v>19 12 07</v>
      </c>
      <c r="B1038" s="41" t="s">
        <v>2173</v>
      </c>
      <c r="C1038" s="42" t="s">
        <v>2174</v>
      </c>
    </row>
    <row r="1039" spans="1:3">
      <c r="A1039" s="38" t="str">
        <f t="shared" si="4"/>
        <v>19 12 08</v>
      </c>
      <c r="B1039" s="41" t="s">
        <v>2175</v>
      </c>
      <c r="C1039" s="42" t="s">
        <v>2176</v>
      </c>
    </row>
    <row r="1040" spans="1:3">
      <c r="A1040" s="38" t="str">
        <f t="shared" si="4"/>
        <v>19 12 09</v>
      </c>
      <c r="B1040" s="41" t="s">
        <v>2177</v>
      </c>
      <c r="C1040" s="42" t="s">
        <v>2178</v>
      </c>
    </row>
    <row r="1041" spans="1:3">
      <c r="A1041" s="38" t="str">
        <f t="shared" si="4"/>
        <v>19 12 10</v>
      </c>
      <c r="B1041" s="41" t="s">
        <v>2179</v>
      </c>
      <c r="C1041" s="42" t="s">
        <v>2180</v>
      </c>
    </row>
    <row r="1042" spans="1:3">
      <c r="A1042" s="38" t="str">
        <f t="shared" si="4"/>
        <v>19 12 11*</v>
      </c>
      <c r="B1042" s="41" t="s">
        <v>2181</v>
      </c>
      <c r="C1042" s="42" t="s">
        <v>2182</v>
      </c>
    </row>
    <row r="1043" spans="1:3">
      <c r="A1043" s="38" t="str">
        <f t="shared" si="4"/>
        <v>19 12 12</v>
      </c>
      <c r="B1043" s="41" t="s">
        <v>2183</v>
      </c>
      <c r="C1043" s="42" t="s">
        <v>2184</v>
      </c>
    </row>
    <row r="1044" spans="1:3">
      <c r="A1044" s="38" t="str">
        <f t="shared" si="4"/>
        <v/>
      </c>
      <c r="B1044" s="42"/>
      <c r="C1044" s="42"/>
    </row>
    <row r="1045" spans="1:3">
      <c r="A1045" s="38" t="str">
        <f t="shared" si="4"/>
        <v>19 13</v>
      </c>
      <c r="B1045" s="39" t="s">
        <v>2185</v>
      </c>
      <c r="C1045" s="40" t="s">
        <v>2186</v>
      </c>
    </row>
    <row r="1046" spans="1:3">
      <c r="A1046" s="38" t="str">
        <f t="shared" si="4"/>
        <v>19 13 01*</v>
      </c>
      <c r="B1046" s="41" t="s">
        <v>2187</v>
      </c>
      <c r="C1046" s="42" t="s">
        <v>2188</v>
      </c>
    </row>
    <row r="1047" spans="1:3">
      <c r="A1047" s="38" t="str">
        <f t="shared" si="4"/>
        <v>19 13 02</v>
      </c>
      <c r="B1047" s="41" t="s">
        <v>2189</v>
      </c>
      <c r="C1047" s="42" t="s">
        <v>2190</v>
      </c>
    </row>
    <row r="1048" spans="1:3">
      <c r="A1048" s="38" t="str">
        <f t="shared" si="4"/>
        <v>19 13 03*</v>
      </c>
      <c r="B1048" s="41" t="s">
        <v>2191</v>
      </c>
      <c r="C1048" s="42" t="s">
        <v>2192</v>
      </c>
    </row>
    <row r="1049" spans="1:3">
      <c r="A1049" s="38" t="str">
        <f t="shared" si="4"/>
        <v>19 13 04</v>
      </c>
      <c r="B1049" s="41" t="s">
        <v>2193</v>
      </c>
      <c r="C1049" s="42" t="s">
        <v>2194</v>
      </c>
    </row>
    <row r="1050" spans="1:3">
      <c r="A1050" s="38" t="str">
        <f t="shared" si="4"/>
        <v>19 13 05*</v>
      </c>
      <c r="B1050" s="41" t="s">
        <v>2195</v>
      </c>
      <c r="C1050" s="42" t="s">
        <v>2196</v>
      </c>
    </row>
    <row r="1051" spans="1:3">
      <c r="A1051" s="38" t="str">
        <f t="shared" si="4"/>
        <v>19 13 06</v>
      </c>
      <c r="B1051" s="41" t="s">
        <v>2197</v>
      </c>
      <c r="C1051" s="42" t="s">
        <v>2198</v>
      </c>
    </row>
    <row r="1052" spans="1:3">
      <c r="A1052" s="38" t="str">
        <f t="shared" si="4"/>
        <v>19 13 07*</v>
      </c>
      <c r="B1052" s="41" t="s">
        <v>2199</v>
      </c>
      <c r="C1052" s="42" t="s">
        <v>2200</v>
      </c>
    </row>
    <row r="1053" spans="1:3">
      <c r="A1053" s="38" t="str">
        <f t="shared" si="4"/>
        <v>19 13 08</v>
      </c>
      <c r="B1053" s="41" t="s">
        <v>2201</v>
      </c>
      <c r="C1053" s="42" t="s">
        <v>2202</v>
      </c>
    </row>
    <row r="1054" spans="1:3">
      <c r="A1054" s="38" t="str">
        <f t="shared" si="4"/>
        <v/>
      </c>
      <c r="B1054" s="42"/>
      <c r="C1054" s="42"/>
    </row>
    <row r="1055" spans="1:3">
      <c r="A1055" s="38" t="str">
        <f t="shared" si="4"/>
        <v>20 Déchets municipaux (déchets ménagers et déchets assimilés provenant des commerces, des industries et des administrations) y compris les fractions collectées séparément :</v>
      </c>
      <c r="B1055" s="40" t="s">
        <v>2203</v>
      </c>
      <c r="C1055" s="42"/>
    </row>
    <row r="1056" spans="1:3">
      <c r="A1056" s="38" t="str">
        <f t="shared" si="4"/>
        <v/>
      </c>
      <c r="B1056" s="42"/>
      <c r="C1056" s="42"/>
    </row>
    <row r="1057" spans="1:3">
      <c r="A1057" s="38" t="str">
        <f t="shared" si="4"/>
        <v xml:space="preserve">20 01 </v>
      </c>
      <c r="B1057" s="39" t="s">
        <v>2204</v>
      </c>
      <c r="C1057" s="40" t="s">
        <v>2205</v>
      </c>
    </row>
    <row r="1058" spans="1:3">
      <c r="A1058" s="38" t="str">
        <f t="shared" si="4"/>
        <v>20 01 01</v>
      </c>
      <c r="B1058" s="41" t="s">
        <v>2206</v>
      </c>
      <c r="C1058" s="42" t="s">
        <v>2165</v>
      </c>
    </row>
    <row r="1059" spans="1:3">
      <c r="A1059" s="38" t="str">
        <f t="shared" si="4"/>
        <v>20 01 02</v>
      </c>
      <c r="B1059" s="41" t="s">
        <v>2207</v>
      </c>
      <c r="C1059" s="42" t="s">
        <v>1744</v>
      </c>
    </row>
    <row r="1060" spans="1:3">
      <c r="A1060" s="38" t="str">
        <f t="shared" si="4"/>
        <v>20 01 08</v>
      </c>
      <c r="B1060" s="41" t="s">
        <v>2208</v>
      </c>
      <c r="C1060" s="42" t="s">
        <v>2209</v>
      </c>
    </row>
    <row r="1061" spans="1:3">
      <c r="A1061" s="38" t="str">
        <f t="shared" si="4"/>
        <v>20 01 10</v>
      </c>
      <c r="B1061" s="41" t="s">
        <v>2210</v>
      </c>
      <c r="C1061" s="42" t="s">
        <v>2211</v>
      </c>
    </row>
    <row r="1062" spans="1:3">
      <c r="A1062" s="38" t="str">
        <f t="shared" si="4"/>
        <v>20 01 11</v>
      </c>
      <c r="B1062" s="41" t="s">
        <v>2212</v>
      </c>
      <c r="C1062" s="42" t="s">
        <v>2176</v>
      </c>
    </row>
    <row r="1063" spans="1:3">
      <c r="A1063" s="38" t="str">
        <f t="shared" si="4"/>
        <v>20 01 13*</v>
      </c>
      <c r="B1063" s="41" t="s">
        <v>2213</v>
      </c>
      <c r="C1063" s="42" t="s">
        <v>2214</v>
      </c>
    </row>
    <row r="1064" spans="1:3">
      <c r="A1064" s="38" t="str">
        <f t="shared" si="4"/>
        <v>20 01 14*</v>
      </c>
      <c r="B1064" s="41" t="s">
        <v>2215</v>
      </c>
      <c r="C1064" s="42" t="s">
        <v>2216</v>
      </c>
    </row>
    <row r="1065" spans="1:3">
      <c r="A1065" s="38" t="str">
        <f t="shared" si="4"/>
        <v>20 01 15*</v>
      </c>
      <c r="B1065" s="41" t="s">
        <v>2217</v>
      </c>
      <c r="C1065" s="42" t="s">
        <v>2218</v>
      </c>
    </row>
    <row r="1066" spans="1:3">
      <c r="A1066" s="38" t="str">
        <f t="shared" si="4"/>
        <v>20 01 17*</v>
      </c>
      <c r="B1066" s="41" t="s">
        <v>2219</v>
      </c>
      <c r="C1066" s="42" t="s">
        <v>2220</v>
      </c>
    </row>
    <row r="1067" spans="1:3">
      <c r="A1067" s="38" t="str">
        <f t="shared" si="4"/>
        <v>20 01 19*</v>
      </c>
      <c r="B1067" s="41" t="s">
        <v>2221</v>
      </c>
      <c r="C1067" s="42" t="s">
        <v>2222</v>
      </c>
    </row>
    <row r="1068" spans="1:3">
      <c r="A1068" s="38" t="str">
        <f t="shared" si="4"/>
        <v>20 01 21*</v>
      </c>
      <c r="B1068" s="41" t="s">
        <v>2223</v>
      </c>
      <c r="C1068" s="42" t="s">
        <v>2224</v>
      </c>
    </row>
    <row r="1069" spans="1:3">
      <c r="A1069" s="38" t="str">
        <f t="shared" si="4"/>
        <v>20 01 23*</v>
      </c>
      <c r="B1069" s="41" t="s">
        <v>2225</v>
      </c>
      <c r="C1069" s="42" t="s">
        <v>2226</v>
      </c>
    </row>
    <row r="1070" spans="1:3">
      <c r="A1070" s="38" t="str">
        <f t="shared" si="4"/>
        <v>20 01 25</v>
      </c>
      <c r="B1070" s="41" t="s">
        <v>2227</v>
      </c>
      <c r="C1070" s="42" t="s">
        <v>2228</v>
      </c>
    </row>
    <row r="1071" spans="1:3">
      <c r="A1071" s="38" t="str">
        <f t="shared" si="4"/>
        <v>20 01 26*</v>
      </c>
      <c r="B1071" s="41" t="s">
        <v>2229</v>
      </c>
      <c r="C1071" s="42" t="s">
        <v>2230</v>
      </c>
    </row>
    <row r="1072" spans="1:3">
      <c r="A1072" s="38" t="str">
        <f t="shared" si="4"/>
        <v>20 01 27*</v>
      </c>
      <c r="B1072" s="41" t="s">
        <v>2231</v>
      </c>
      <c r="C1072" s="42" t="s">
        <v>2232</v>
      </c>
    </row>
    <row r="1073" spans="1:3">
      <c r="A1073" s="38" t="str">
        <f t="shared" si="4"/>
        <v>20 01 28</v>
      </c>
      <c r="B1073" s="41" t="s">
        <v>2233</v>
      </c>
      <c r="C1073" s="42" t="s">
        <v>2234</v>
      </c>
    </row>
    <row r="1074" spans="1:3">
      <c r="A1074" s="38" t="str">
        <f t="shared" si="4"/>
        <v>20 01 29*</v>
      </c>
      <c r="B1074" s="41" t="s">
        <v>2235</v>
      </c>
      <c r="C1074" s="42" t="s">
        <v>2236</v>
      </c>
    </row>
    <row r="1075" spans="1:3">
      <c r="A1075" s="38" t="str">
        <f t="shared" si="4"/>
        <v>20 01 30</v>
      </c>
      <c r="B1075" s="41" t="s">
        <v>2237</v>
      </c>
      <c r="C1075" s="42" t="s">
        <v>2238</v>
      </c>
    </row>
    <row r="1076" spans="1:3">
      <c r="A1076" s="38" t="str">
        <f t="shared" si="4"/>
        <v>20 01 31*</v>
      </c>
      <c r="B1076" s="41" t="s">
        <v>2239</v>
      </c>
      <c r="C1076" s="42" t="s">
        <v>1980</v>
      </c>
    </row>
    <row r="1077" spans="1:3">
      <c r="A1077" s="38" t="str">
        <f t="shared" si="4"/>
        <v>20 01 32</v>
      </c>
      <c r="B1077" s="41" t="s">
        <v>2240</v>
      </c>
      <c r="C1077" s="42" t="s">
        <v>2241</v>
      </c>
    </row>
    <row r="1078" spans="1:3">
      <c r="A1078" s="38" t="str">
        <f t="shared" si="4"/>
        <v>20 01 33*</v>
      </c>
      <c r="B1078" s="41" t="s">
        <v>2242</v>
      </c>
      <c r="C1078" s="42" t="s">
        <v>2243</v>
      </c>
    </row>
    <row r="1079" spans="1:3">
      <c r="A1079" s="38" t="str">
        <f t="shared" si="4"/>
        <v>20 01 34</v>
      </c>
      <c r="B1079" s="41" t="s">
        <v>2244</v>
      </c>
      <c r="C1079" s="42" t="s">
        <v>2245</v>
      </c>
    </row>
    <row r="1080" spans="1:3">
      <c r="A1080" s="38" t="str">
        <f t="shared" si="4"/>
        <v>20 01 35*</v>
      </c>
      <c r="B1080" s="41" t="s">
        <v>2246</v>
      </c>
      <c r="C1080" s="42" t="s">
        <v>2247</v>
      </c>
    </row>
    <row r="1081" spans="1:3">
      <c r="A1081" s="38" t="str">
        <f t="shared" si="4"/>
        <v>20 01 36</v>
      </c>
      <c r="B1081" s="41" t="s">
        <v>2248</v>
      </c>
      <c r="C1081" s="42" t="s">
        <v>2249</v>
      </c>
    </row>
    <row r="1082" spans="1:3">
      <c r="A1082" s="38" t="str">
        <f t="shared" si="4"/>
        <v>20 01 37*</v>
      </c>
      <c r="B1082" s="41" t="s">
        <v>2250</v>
      </c>
      <c r="C1082" s="42" t="s">
        <v>2172</v>
      </c>
    </row>
    <row r="1083" spans="1:3">
      <c r="A1083" s="38" t="str">
        <f t="shared" si="4"/>
        <v>20 01 38</v>
      </c>
      <c r="B1083" s="41" t="s">
        <v>2251</v>
      </c>
      <c r="C1083" s="42" t="s">
        <v>2252</v>
      </c>
    </row>
    <row r="1084" spans="1:3">
      <c r="A1084" s="38" t="str">
        <f t="shared" si="4"/>
        <v>20 01 39</v>
      </c>
      <c r="B1084" s="41" t="s">
        <v>2253</v>
      </c>
      <c r="C1084" s="42" t="s">
        <v>1742</v>
      </c>
    </row>
    <row r="1085" spans="1:3">
      <c r="A1085" s="38" t="str">
        <f t="shared" si="4"/>
        <v>20 01 40</v>
      </c>
      <c r="B1085" s="41" t="s">
        <v>2254</v>
      </c>
      <c r="C1085" s="42" t="s">
        <v>2255</v>
      </c>
    </row>
    <row r="1086" spans="1:3">
      <c r="A1086" s="38" t="str">
        <f t="shared" si="4"/>
        <v>20 01 41</v>
      </c>
      <c r="B1086" s="41" t="s">
        <v>2256</v>
      </c>
      <c r="C1086" s="42" t="s">
        <v>2257</v>
      </c>
    </row>
    <row r="1087" spans="1:3">
      <c r="A1087" s="38" t="str">
        <f t="shared" si="4"/>
        <v>20 01 99</v>
      </c>
      <c r="B1087" s="41" t="s">
        <v>2258</v>
      </c>
      <c r="C1087" s="42" t="s">
        <v>2259</v>
      </c>
    </row>
    <row r="1088" spans="1:3">
      <c r="A1088" s="38" t="str">
        <f t="shared" si="4"/>
        <v/>
      </c>
      <c r="B1088" s="42"/>
      <c r="C1088" s="42"/>
    </row>
    <row r="1089" spans="1:3">
      <c r="A1089" s="38" t="str">
        <f t="shared" si="4"/>
        <v xml:space="preserve">20 02 </v>
      </c>
      <c r="B1089" s="39" t="s">
        <v>2260</v>
      </c>
      <c r="C1089" s="40" t="s">
        <v>2261</v>
      </c>
    </row>
    <row r="1090" spans="1:3">
      <c r="A1090" s="38" t="str">
        <f t="shared" si="4"/>
        <v>20 02 01</v>
      </c>
      <c r="B1090" s="41" t="s">
        <v>2262</v>
      </c>
      <c r="C1090" s="42" t="s">
        <v>2263</v>
      </c>
    </row>
    <row r="1091" spans="1:3">
      <c r="A1091" s="38" t="str">
        <f t="shared" si="4"/>
        <v>20 02 02</v>
      </c>
      <c r="B1091" s="41" t="s">
        <v>2264</v>
      </c>
      <c r="C1091" s="42" t="s">
        <v>2265</v>
      </c>
    </row>
    <row r="1092" spans="1:3">
      <c r="A1092" s="38" t="str">
        <f t="shared" si="4"/>
        <v>20 02 03</v>
      </c>
      <c r="B1092" s="41" t="s">
        <v>2266</v>
      </c>
      <c r="C1092" s="42" t="s">
        <v>2267</v>
      </c>
    </row>
    <row r="1093" spans="1:3">
      <c r="A1093" s="38" t="str">
        <f t="shared" si="4"/>
        <v/>
      </c>
      <c r="B1093" s="42"/>
      <c r="C1093" s="42"/>
    </row>
    <row r="1094" spans="1:3">
      <c r="A1094" s="38" t="str">
        <f t="shared" si="4"/>
        <v>20 03</v>
      </c>
      <c r="B1094" s="39" t="s">
        <v>2268</v>
      </c>
      <c r="C1094" s="40" t="s">
        <v>2269</v>
      </c>
    </row>
    <row r="1095" spans="1:3">
      <c r="A1095" s="38" t="str">
        <f t="shared" si="4"/>
        <v>20 03 01</v>
      </c>
      <c r="B1095" s="41" t="s">
        <v>2270</v>
      </c>
      <c r="C1095" s="42" t="s">
        <v>2271</v>
      </c>
    </row>
    <row r="1096" spans="1:3">
      <c r="A1096" s="38" t="str">
        <f t="shared" si="4"/>
        <v>20 03 02</v>
      </c>
      <c r="B1096" s="41" t="s">
        <v>2272</v>
      </c>
      <c r="C1096" s="42" t="s">
        <v>2273</v>
      </c>
    </row>
    <row r="1097" spans="1:3">
      <c r="A1097" s="38" t="str">
        <f t="shared" si="4"/>
        <v>20 03 03</v>
      </c>
      <c r="B1097" s="41" t="s">
        <v>2274</v>
      </c>
      <c r="C1097" s="42" t="s">
        <v>2275</v>
      </c>
    </row>
    <row r="1098" spans="1:3">
      <c r="A1098" s="38" t="str">
        <f t="shared" si="4"/>
        <v>20 03 04</v>
      </c>
      <c r="B1098" s="41" t="s">
        <v>2276</v>
      </c>
      <c r="C1098" s="42" t="s">
        <v>2277</v>
      </c>
    </row>
    <row r="1099" spans="1:3">
      <c r="A1099" s="38" t="str">
        <f t="shared" si="4"/>
        <v>20 03 06</v>
      </c>
      <c r="B1099" s="41" t="s">
        <v>2278</v>
      </c>
      <c r="C1099" s="42" t="s">
        <v>2279</v>
      </c>
    </row>
    <row r="1100" spans="1:3">
      <c r="A1100" s="38" t="str">
        <f t="shared" si="4"/>
        <v>20 03 07</v>
      </c>
      <c r="B1100" s="41" t="s">
        <v>2280</v>
      </c>
      <c r="C1100" s="42" t="s">
        <v>2281</v>
      </c>
    </row>
    <row r="1101" spans="1:3">
      <c r="A1101" s="38" t="str">
        <f t="shared" si="4"/>
        <v>20 03 99</v>
      </c>
      <c r="B1101" s="41" t="s">
        <v>2282</v>
      </c>
      <c r="C1101" s="42" t="s">
        <v>2283</v>
      </c>
    </row>
    <row r="1102" spans="1:3">
      <c r="A1102" s="38" t="str">
        <f t="shared" si="4"/>
        <v>20 03 99</v>
      </c>
      <c r="B1102" s="41" t="s">
        <v>2282</v>
      </c>
      <c r="C1102" s="42" t="s">
        <v>2283</v>
      </c>
    </row>
    <row r="1103" spans="1:3">
      <c r="A1103" s="38" t="str">
        <f t="shared" si="4"/>
        <v/>
      </c>
      <c r="B1103" s="41"/>
      <c r="C1103" s="42"/>
    </row>
    <row r="1104" spans="1:3">
      <c r="A1104" s="41"/>
      <c r="B1104" s="41"/>
      <c r="C1104" s="42"/>
    </row>
    <row r="1105" spans="1:3">
      <c r="A1105" s="41"/>
      <c r="B1105" s="41"/>
      <c r="C1105" s="42"/>
    </row>
    <row r="1106" spans="1:3">
      <c r="A1106" s="41"/>
      <c r="B1106" s="41"/>
      <c r="C1106" s="42"/>
    </row>
    <row r="1107" spans="1:3">
      <c r="A1107" s="41"/>
      <c r="B1107" s="41"/>
      <c r="C1107" s="42"/>
    </row>
    <row r="1108" spans="1:3">
      <c r="A1108" s="41"/>
      <c r="B1108" s="41"/>
      <c r="C1108" s="42"/>
    </row>
    <row r="1109" spans="1:3">
      <c r="A1109" s="41"/>
      <c r="B1109" s="41"/>
      <c r="C1109" s="42"/>
    </row>
    <row r="1110" spans="1:3">
      <c r="A1110" s="41"/>
      <c r="B1110" s="41"/>
      <c r="C1110" s="42"/>
    </row>
    <row r="1111" spans="1:3">
      <c r="A1111" s="41"/>
      <c r="B1111" s="41"/>
      <c r="C1111" s="42"/>
    </row>
    <row r="1112" spans="1:3">
      <c r="A1112" s="41"/>
      <c r="B1112" s="41"/>
      <c r="C1112" s="42"/>
    </row>
    <row r="1113" spans="1:3">
      <c r="A1113" s="41"/>
      <c r="B1113" s="41"/>
      <c r="C1113" s="42"/>
    </row>
    <row r="1114" spans="1:3">
      <c r="A1114" s="41"/>
      <c r="B1114" s="41"/>
      <c r="C1114" s="42"/>
    </row>
    <row r="1115" spans="1:3">
      <c r="A1115" s="41"/>
      <c r="B1115" s="41"/>
      <c r="C1115" s="42"/>
    </row>
    <row r="1116" spans="1:3">
      <c r="A1116" s="41"/>
      <c r="B1116" s="41"/>
      <c r="C1116" s="42"/>
    </row>
    <row r="1117" spans="1:3">
      <c r="A1117" s="41"/>
      <c r="B1117" s="41"/>
      <c r="C1117" s="42"/>
    </row>
    <row r="1118" spans="1:3">
      <c r="A1118" s="41"/>
      <c r="B1118" s="41"/>
      <c r="C1118" s="42"/>
    </row>
    <row r="1119" spans="1:3">
      <c r="A1119" s="41"/>
      <c r="B1119" s="41"/>
      <c r="C1119" s="42"/>
    </row>
    <row r="1120" spans="1:3">
      <c r="A1120" s="41"/>
      <c r="B1120" s="41"/>
      <c r="C1120" s="42"/>
    </row>
    <row r="1121" spans="1:3">
      <c r="A1121" s="41"/>
      <c r="B1121" s="41"/>
      <c r="C1121" s="42"/>
    </row>
    <row r="1122" spans="1:3">
      <c r="A1122" s="41"/>
      <c r="B1122" s="41"/>
      <c r="C1122" s="42"/>
    </row>
    <row r="1123" spans="1:3">
      <c r="A1123" s="41"/>
      <c r="B1123" s="41"/>
      <c r="C1123" s="42"/>
    </row>
    <row r="1124" spans="1:3">
      <c r="A1124" s="41"/>
      <c r="B1124" s="41"/>
      <c r="C1124" s="42"/>
    </row>
    <row r="1125" spans="1:3">
      <c r="A1125" s="41"/>
      <c r="B1125" s="41"/>
      <c r="C1125" s="42"/>
    </row>
    <row r="1126" spans="1:3">
      <c r="A1126" s="41"/>
      <c r="B1126" s="41"/>
      <c r="C1126" s="42"/>
    </row>
    <row r="1127" spans="1:3">
      <c r="A1127" s="41"/>
      <c r="B1127" s="41"/>
      <c r="C1127" s="42"/>
    </row>
    <row r="1128" spans="1:3">
      <c r="A1128" s="41"/>
      <c r="B1128" s="41"/>
      <c r="C1128" s="42"/>
    </row>
    <row r="1129" spans="1:3">
      <c r="A1129" s="41"/>
      <c r="B1129" s="41"/>
      <c r="C1129" s="42"/>
    </row>
    <row r="1130" spans="1:3">
      <c r="A1130" s="41"/>
      <c r="B1130" s="41"/>
      <c r="C1130" s="42"/>
    </row>
    <row r="1131" spans="1:3">
      <c r="A1131" s="41"/>
      <c r="B1131" s="41"/>
      <c r="C1131" s="42"/>
    </row>
    <row r="1132" spans="1:3">
      <c r="A1132" s="41"/>
      <c r="B1132" s="41"/>
      <c r="C1132" s="42"/>
    </row>
    <row r="1133" spans="1:3">
      <c r="A1133" s="41"/>
      <c r="B1133" s="41"/>
      <c r="C1133" s="42"/>
    </row>
    <row r="1134" spans="1:3">
      <c r="A1134" s="41"/>
      <c r="B1134" s="41"/>
      <c r="C1134" s="42"/>
    </row>
    <row r="1135" spans="1:3">
      <c r="A1135" s="41"/>
      <c r="B1135" s="41"/>
      <c r="C1135" s="42"/>
    </row>
    <row r="1136" spans="1:3">
      <c r="A1136" s="41"/>
      <c r="B1136" s="41"/>
      <c r="C1136" s="42"/>
    </row>
    <row r="1137" spans="1:3">
      <c r="A1137" s="41"/>
      <c r="B1137" s="41"/>
      <c r="C1137" s="42"/>
    </row>
    <row r="1138" spans="1:3">
      <c r="A1138" s="41"/>
      <c r="B1138" s="41"/>
      <c r="C1138" s="42"/>
    </row>
    <row r="1139" spans="1:3">
      <c r="A1139" s="41"/>
      <c r="B1139" s="41"/>
      <c r="C1139" s="42"/>
    </row>
    <row r="1140" spans="1:3">
      <c r="A1140" s="41"/>
      <c r="B1140" s="41"/>
      <c r="C1140" s="42"/>
    </row>
    <row r="1141" spans="1:3">
      <c r="A1141" s="41"/>
      <c r="B1141" s="41"/>
      <c r="C1141" s="42"/>
    </row>
    <row r="1142" spans="1:3">
      <c r="A1142" s="41"/>
      <c r="B1142" s="41"/>
      <c r="C1142" s="42"/>
    </row>
    <row r="1143" spans="1:3">
      <c r="A1143" s="41"/>
      <c r="B1143" s="41"/>
      <c r="C1143" s="42"/>
    </row>
    <row r="1144" spans="1:3">
      <c r="A1144" s="41"/>
      <c r="B1144" s="41"/>
      <c r="C1144" s="42"/>
    </row>
    <row r="1145" spans="1:3">
      <c r="A1145" s="41"/>
      <c r="B1145" s="41"/>
      <c r="C1145" s="42"/>
    </row>
    <row r="1146" spans="1:3">
      <c r="A1146" s="41"/>
      <c r="B1146" s="41"/>
      <c r="C1146" s="42"/>
    </row>
    <row r="1147" spans="1:3">
      <c r="A1147" s="41"/>
      <c r="B1147" s="41"/>
      <c r="C1147" s="42"/>
    </row>
    <row r="1148" spans="1:3">
      <c r="A1148" s="41"/>
      <c r="B1148" s="41"/>
      <c r="C1148" s="42"/>
    </row>
    <row r="1149" spans="1:3">
      <c r="A1149" s="41"/>
      <c r="B1149" s="41"/>
      <c r="C1149" s="42"/>
    </row>
    <row r="1150" spans="1:3">
      <c r="A1150" s="41"/>
      <c r="B1150" s="41"/>
      <c r="C1150" s="42"/>
    </row>
    <row r="1151" spans="1:3">
      <c r="A1151" s="41"/>
      <c r="B1151" s="41"/>
      <c r="C1151" s="42"/>
    </row>
    <row r="1152" spans="1:3">
      <c r="A1152" s="41"/>
      <c r="B1152" s="41"/>
      <c r="C1152" s="42"/>
    </row>
    <row r="1153" spans="1:3">
      <c r="A1153" s="41"/>
      <c r="B1153" s="41"/>
      <c r="C1153" s="42"/>
    </row>
    <row r="1154" spans="1:3">
      <c r="A1154" s="41"/>
      <c r="B1154" s="41"/>
      <c r="C1154" s="42"/>
    </row>
    <row r="1155" spans="1:3">
      <c r="A1155" s="41"/>
      <c r="B1155" s="41"/>
      <c r="C1155" s="42"/>
    </row>
    <row r="1156" spans="1:3">
      <c r="A1156" s="41"/>
      <c r="B1156" s="41"/>
      <c r="C1156" s="42"/>
    </row>
    <row r="1157" spans="1:3">
      <c r="A1157" s="41"/>
      <c r="B1157" s="41"/>
      <c r="C1157" s="42"/>
    </row>
    <row r="1158" spans="1:3">
      <c r="A1158" s="41"/>
      <c r="B1158" s="41"/>
      <c r="C1158" s="42"/>
    </row>
    <row r="1159" spans="1:3">
      <c r="A1159" s="41"/>
      <c r="B1159" s="41"/>
      <c r="C1159" s="42"/>
    </row>
    <row r="1160" spans="1:3">
      <c r="A1160" s="41"/>
      <c r="B1160" s="41"/>
      <c r="C1160" s="42"/>
    </row>
    <row r="1161" spans="1:3">
      <c r="A1161" s="41"/>
      <c r="B1161" s="41"/>
      <c r="C1161" s="42"/>
    </row>
    <row r="1162" spans="1:3">
      <c r="A1162" s="41"/>
      <c r="B1162" s="41"/>
      <c r="C1162" s="42"/>
    </row>
    <row r="1163" spans="1:3">
      <c r="A1163" s="41"/>
      <c r="B1163" s="41"/>
      <c r="C1163" s="42"/>
    </row>
    <row r="1164" spans="1:3">
      <c r="A1164" s="41"/>
      <c r="B1164" s="41"/>
      <c r="C1164" s="42"/>
    </row>
    <row r="1165" spans="1:3">
      <c r="A1165" s="41"/>
      <c r="B1165" s="41"/>
      <c r="C1165" s="42"/>
    </row>
    <row r="1166" spans="1:3">
      <c r="A1166" s="41"/>
      <c r="B1166" s="41"/>
      <c r="C1166" s="42"/>
    </row>
    <row r="1167" spans="1:3">
      <c r="A1167" s="41"/>
      <c r="B1167" s="41"/>
      <c r="C1167" s="42"/>
    </row>
    <row r="1168" spans="1:3">
      <c r="A1168" s="41"/>
      <c r="B1168" s="41"/>
      <c r="C1168" s="42"/>
    </row>
    <row r="1169" spans="1:3">
      <c r="A1169" s="41"/>
      <c r="B1169" s="41"/>
      <c r="C1169" s="42"/>
    </row>
    <row r="1170" spans="1:3">
      <c r="A1170" s="41"/>
      <c r="B1170" s="41"/>
      <c r="C1170" s="42"/>
    </row>
    <row r="1171" spans="1:3">
      <c r="A1171" s="41"/>
      <c r="B1171" s="41"/>
      <c r="C1171" s="42"/>
    </row>
    <row r="1172" spans="1:3">
      <c r="A1172" s="41"/>
      <c r="B1172" s="41"/>
      <c r="C1172" s="42"/>
    </row>
    <row r="1173" spans="1:3">
      <c r="A1173" s="41"/>
      <c r="B1173" s="41"/>
      <c r="C1173" s="42"/>
    </row>
    <row r="1174" spans="1:3">
      <c r="A1174" s="41"/>
      <c r="B1174" s="41"/>
      <c r="C1174" s="42"/>
    </row>
    <row r="1175" spans="1:3">
      <c r="A1175" s="41"/>
      <c r="B1175" s="41"/>
      <c r="C1175" s="42"/>
    </row>
    <row r="1176" spans="1:3">
      <c r="A1176" s="41"/>
      <c r="B1176" s="41"/>
      <c r="C1176" s="42"/>
    </row>
    <row r="1177" spans="1:3">
      <c r="A1177" s="41"/>
      <c r="B1177" s="41"/>
      <c r="C1177" s="42"/>
    </row>
    <row r="1178" spans="1:3">
      <c r="A1178" s="41"/>
      <c r="B1178" s="41"/>
      <c r="C1178" s="42"/>
    </row>
    <row r="1179" spans="1:3">
      <c r="A1179" s="41"/>
      <c r="B1179" s="41"/>
      <c r="C1179" s="42"/>
    </row>
    <row r="1180" spans="1:3">
      <c r="A1180" s="41"/>
      <c r="B1180" s="41"/>
      <c r="C1180" s="42"/>
    </row>
    <row r="1181" spans="1:3">
      <c r="A1181" s="41"/>
      <c r="B1181" s="41"/>
      <c r="C1181" s="42"/>
    </row>
    <row r="1182" spans="1:3">
      <c r="A1182" s="41"/>
      <c r="B1182" s="41"/>
      <c r="C1182" s="42"/>
    </row>
    <row r="1183" spans="1:3">
      <c r="A1183" s="41"/>
      <c r="B1183" s="41"/>
      <c r="C1183" s="42"/>
    </row>
    <row r="1184" spans="1:3">
      <c r="A1184" s="41"/>
      <c r="B1184" s="41"/>
      <c r="C1184" s="42"/>
    </row>
    <row r="1185" spans="1:3">
      <c r="A1185" s="41"/>
      <c r="B1185" s="41"/>
      <c r="C1185" s="42"/>
    </row>
    <row r="1186" spans="1:3">
      <c r="A1186" s="41"/>
      <c r="B1186" s="41"/>
      <c r="C1186" s="42"/>
    </row>
    <row r="1187" spans="1:3">
      <c r="A1187" s="41"/>
      <c r="B1187" s="41"/>
      <c r="C1187" s="42"/>
    </row>
    <row r="1188" spans="1:3">
      <c r="A1188" s="41"/>
      <c r="B1188" s="41"/>
      <c r="C1188" s="42"/>
    </row>
    <row r="1189" spans="1:3">
      <c r="A1189" s="41"/>
      <c r="B1189" s="41"/>
      <c r="C1189" s="42"/>
    </row>
    <row r="1190" spans="1:3">
      <c r="A1190" s="41"/>
      <c r="B1190" s="41"/>
      <c r="C1190" s="42"/>
    </row>
    <row r="1191" spans="1:3">
      <c r="A1191" s="41"/>
      <c r="B1191" s="41"/>
      <c r="C1191" s="42"/>
    </row>
    <row r="1192" spans="1:3">
      <c r="A1192" s="41"/>
      <c r="B1192" s="41"/>
      <c r="C1192" s="42"/>
    </row>
    <row r="1193" spans="1:3">
      <c r="A1193" s="41"/>
      <c r="B1193" s="41"/>
      <c r="C1193" s="42"/>
    </row>
    <row r="1194" spans="1:3">
      <c r="A1194" s="41"/>
      <c r="B1194" s="41"/>
      <c r="C1194" s="42"/>
    </row>
    <row r="1195" spans="1:3">
      <c r="A1195" s="41"/>
      <c r="B1195" s="41"/>
      <c r="C1195" s="42"/>
    </row>
    <row r="1196" spans="1:3">
      <c r="A1196" s="41"/>
      <c r="B1196" s="41"/>
      <c r="C1196" s="42"/>
    </row>
    <row r="1197" spans="1:3">
      <c r="A1197" s="41"/>
      <c r="B1197" s="41"/>
      <c r="C1197" s="42"/>
    </row>
    <row r="1198" spans="1:3">
      <c r="A1198" s="41"/>
      <c r="B1198" s="41"/>
      <c r="C1198" s="42"/>
    </row>
    <row r="1199" spans="1:3">
      <c r="A1199" s="41"/>
      <c r="B1199" s="41"/>
      <c r="C1199" s="42"/>
    </row>
    <row r="1200" spans="1:3">
      <c r="A1200" s="41"/>
      <c r="B1200" s="41"/>
      <c r="C1200" s="42"/>
    </row>
    <row r="1201" spans="1:3">
      <c r="A1201" s="41"/>
      <c r="B1201" s="41"/>
      <c r="C1201" s="42"/>
    </row>
    <row r="1202" spans="1:3">
      <c r="A1202" s="41"/>
      <c r="B1202" s="41"/>
      <c r="C1202" s="42"/>
    </row>
    <row r="1203" spans="1:3">
      <c r="A1203" s="41"/>
      <c r="B1203" s="41"/>
      <c r="C1203" s="42"/>
    </row>
    <row r="1204" spans="1:3">
      <c r="A1204" s="41"/>
      <c r="B1204" s="41"/>
      <c r="C1204" s="42"/>
    </row>
    <row r="1205" spans="1:3">
      <c r="A1205" s="41"/>
      <c r="B1205" s="41"/>
      <c r="C1205" s="42"/>
    </row>
    <row r="1206" spans="1:3">
      <c r="A1206" s="41"/>
      <c r="B1206" s="41"/>
      <c r="C1206" s="42"/>
    </row>
    <row r="1207" spans="1:3">
      <c r="A1207" s="41"/>
      <c r="B1207" s="41"/>
      <c r="C1207" s="42"/>
    </row>
    <row r="1208" spans="1:3">
      <c r="A1208" s="41"/>
      <c r="B1208" s="41"/>
      <c r="C1208" s="42"/>
    </row>
    <row r="1209" spans="1:3">
      <c r="A1209" s="41"/>
      <c r="B1209" s="41"/>
      <c r="C1209" s="42"/>
    </row>
    <row r="1210" spans="1:3">
      <c r="A1210" s="41"/>
      <c r="B1210" s="41"/>
      <c r="C1210" s="42"/>
    </row>
    <row r="1211" spans="1:3">
      <c r="A1211" s="41"/>
      <c r="B1211" s="41"/>
      <c r="C1211" s="42"/>
    </row>
    <row r="1212" spans="1:3">
      <c r="A1212" s="41"/>
      <c r="B1212" s="41"/>
      <c r="C1212" s="42"/>
    </row>
    <row r="1213" spans="1:3">
      <c r="A1213" s="41"/>
      <c r="B1213" s="41"/>
      <c r="C1213" s="42"/>
    </row>
    <row r="1214" spans="1:3">
      <c r="A1214" s="41"/>
      <c r="B1214" s="41"/>
      <c r="C1214" s="42"/>
    </row>
    <row r="1215" spans="1:3">
      <c r="A1215" s="41"/>
      <c r="B1215" s="41"/>
      <c r="C1215" s="42"/>
    </row>
    <row r="1216" spans="1:3">
      <c r="A1216" s="41"/>
      <c r="B1216" s="41"/>
      <c r="C1216" s="42"/>
    </row>
    <row r="1217" spans="1:3">
      <c r="A1217" s="41"/>
      <c r="B1217" s="41"/>
      <c r="C1217" s="42"/>
    </row>
    <row r="1218" spans="1:3">
      <c r="A1218" s="41"/>
      <c r="B1218" s="41"/>
      <c r="C1218" s="42"/>
    </row>
    <row r="1219" spans="1:3">
      <c r="A1219" s="41"/>
      <c r="B1219" s="41"/>
      <c r="C1219" s="42"/>
    </row>
    <row r="1220" spans="1:3">
      <c r="A1220" s="41"/>
      <c r="B1220" s="41"/>
      <c r="C1220" s="42"/>
    </row>
    <row r="1221" spans="1:3">
      <c r="A1221" s="41"/>
      <c r="B1221" s="41"/>
      <c r="C1221" s="42"/>
    </row>
    <row r="1222" spans="1:3">
      <c r="A1222" s="41"/>
      <c r="B1222" s="41"/>
      <c r="C1222" s="42"/>
    </row>
    <row r="1223" spans="1:3">
      <c r="A1223" s="41"/>
      <c r="B1223" s="41"/>
      <c r="C1223" s="42"/>
    </row>
    <row r="1224" spans="1:3">
      <c r="A1224" s="41"/>
      <c r="B1224" s="41"/>
      <c r="C1224" s="42"/>
    </row>
    <row r="1225" spans="1:3">
      <c r="A1225" s="41"/>
      <c r="B1225" s="41"/>
      <c r="C1225" s="42"/>
    </row>
    <row r="1226" spans="1:3">
      <c r="A1226" s="41"/>
      <c r="B1226" s="41"/>
      <c r="C1226" s="42"/>
    </row>
    <row r="1227" spans="1:3">
      <c r="A1227" s="41"/>
      <c r="B1227" s="41"/>
      <c r="C1227" s="42"/>
    </row>
    <row r="1228" spans="1:3">
      <c r="A1228" s="41"/>
      <c r="B1228" s="41"/>
      <c r="C1228" s="42"/>
    </row>
    <row r="1229" spans="1:3">
      <c r="A1229" s="41"/>
      <c r="B1229" s="41"/>
      <c r="C1229" s="42"/>
    </row>
    <row r="1230" spans="1:3">
      <c r="A1230" s="41"/>
      <c r="B1230" s="41"/>
      <c r="C1230" s="42"/>
    </row>
    <row r="1231" spans="1:3">
      <c r="A1231" s="41"/>
      <c r="B1231" s="41"/>
      <c r="C1231" s="42"/>
    </row>
    <row r="1232" spans="1:3">
      <c r="A1232" s="41"/>
      <c r="B1232" s="41"/>
      <c r="C1232" s="42"/>
    </row>
    <row r="1233" spans="1:3">
      <c r="A1233" s="41"/>
      <c r="B1233" s="41"/>
      <c r="C1233" s="42"/>
    </row>
    <row r="1234" spans="1:3">
      <c r="A1234" s="41"/>
      <c r="B1234" s="41"/>
      <c r="C1234" s="42"/>
    </row>
    <row r="1235" spans="1:3">
      <c r="A1235" s="41"/>
      <c r="B1235" s="41"/>
      <c r="C1235" s="42"/>
    </row>
    <row r="1236" spans="1:3">
      <c r="A1236" s="41"/>
      <c r="B1236" s="41"/>
      <c r="C1236" s="42"/>
    </row>
    <row r="1237" spans="1:3">
      <c r="A1237" s="41"/>
      <c r="B1237" s="41"/>
      <c r="C1237" s="42"/>
    </row>
    <row r="1238" spans="1:3">
      <c r="A1238" s="41"/>
      <c r="B1238" s="41"/>
      <c r="C1238" s="42"/>
    </row>
    <row r="1239" spans="1:3">
      <c r="A1239" s="41"/>
      <c r="B1239" s="41"/>
      <c r="C1239" s="42"/>
    </row>
    <row r="1240" spans="1:3">
      <c r="A1240" s="41"/>
      <c r="B1240" s="41"/>
      <c r="C1240" s="42"/>
    </row>
    <row r="1241" spans="1:3">
      <c r="A1241" s="41"/>
      <c r="B1241" s="41"/>
      <c r="C1241" s="42"/>
    </row>
    <row r="1242" spans="1:3">
      <c r="A1242" s="41"/>
      <c r="B1242" s="41"/>
      <c r="C1242" s="42"/>
    </row>
    <row r="1243" spans="1:3">
      <c r="A1243" s="41"/>
      <c r="B1243" s="41"/>
      <c r="C1243" s="42"/>
    </row>
    <row r="1244" spans="1:3">
      <c r="A1244" s="41"/>
      <c r="B1244" s="41"/>
      <c r="C1244" s="42"/>
    </row>
    <row r="1245" spans="1:3">
      <c r="A1245" s="41"/>
      <c r="B1245" s="41"/>
      <c r="C1245" s="42"/>
    </row>
    <row r="1246" spans="1:3">
      <c r="A1246" s="41"/>
      <c r="B1246" s="41"/>
      <c r="C1246" s="42"/>
    </row>
    <row r="1247" spans="1:3">
      <c r="A1247" s="41"/>
      <c r="B1247" s="41"/>
      <c r="C1247" s="42"/>
    </row>
    <row r="1248" spans="1:3">
      <c r="A1248" s="41"/>
      <c r="B1248" s="41"/>
      <c r="C1248" s="42"/>
    </row>
    <row r="1249" spans="1:3">
      <c r="A1249" s="41"/>
      <c r="B1249" s="41"/>
      <c r="C1249" s="42"/>
    </row>
    <row r="1250" spans="1:3">
      <c r="A1250" s="41"/>
      <c r="B1250" s="41"/>
      <c r="C1250" s="42"/>
    </row>
    <row r="1251" spans="1:3">
      <c r="A1251" s="41"/>
      <c r="B1251" s="41"/>
      <c r="C1251" s="42"/>
    </row>
    <row r="1252" spans="1:3">
      <c r="A1252" s="41"/>
      <c r="B1252" s="41"/>
      <c r="C1252" s="42"/>
    </row>
    <row r="1253" spans="1:3">
      <c r="A1253" s="41"/>
      <c r="B1253" s="41"/>
      <c r="C1253" s="42"/>
    </row>
    <row r="1254" spans="1:3">
      <c r="A1254" s="41"/>
      <c r="B1254" s="41"/>
      <c r="C1254" s="42"/>
    </row>
    <row r="1255" spans="1:3">
      <c r="A1255" s="41"/>
      <c r="B1255" s="41"/>
      <c r="C1255" s="42"/>
    </row>
    <row r="1256" spans="1:3">
      <c r="A1256" s="41"/>
      <c r="B1256" s="41"/>
      <c r="C1256" s="42"/>
    </row>
    <row r="1257" spans="1:3">
      <c r="A1257" s="41"/>
      <c r="B1257" s="41"/>
      <c r="C1257" s="42"/>
    </row>
    <row r="1258" spans="1:3">
      <c r="A1258" s="41"/>
      <c r="B1258" s="41"/>
      <c r="C1258" s="42"/>
    </row>
    <row r="1259" spans="1:3">
      <c r="A1259" s="41"/>
      <c r="B1259" s="41"/>
      <c r="C1259" s="42"/>
    </row>
    <row r="1260" spans="1:3">
      <c r="A1260" s="41"/>
      <c r="B1260" s="41"/>
      <c r="C1260" s="42"/>
    </row>
    <row r="1261" spans="1:3">
      <c r="A1261" s="41"/>
      <c r="B1261" s="41"/>
      <c r="C1261" s="42"/>
    </row>
    <row r="1262" spans="1:3">
      <c r="A1262" s="41"/>
      <c r="B1262" s="41"/>
      <c r="C1262" s="42"/>
    </row>
    <row r="1263" spans="1:3">
      <c r="A1263" s="41"/>
      <c r="B1263" s="41"/>
      <c r="C1263" s="42"/>
    </row>
    <row r="1264" spans="1:3">
      <c r="A1264" s="41"/>
      <c r="B1264" s="41"/>
      <c r="C1264" s="42"/>
    </row>
    <row r="1265" spans="1:3">
      <c r="A1265" s="41"/>
      <c r="B1265" s="41"/>
      <c r="C1265" s="42"/>
    </row>
    <row r="1266" spans="1:3">
      <c r="A1266" s="41"/>
      <c r="B1266" s="41"/>
      <c r="C1266" s="42"/>
    </row>
    <row r="1267" spans="1:3">
      <c r="A1267" s="41"/>
      <c r="B1267" s="41"/>
      <c r="C1267" s="42"/>
    </row>
    <row r="1268" spans="1:3">
      <c r="A1268" s="41"/>
      <c r="B1268" s="41"/>
      <c r="C1268" s="42"/>
    </row>
    <row r="1269" spans="1:3">
      <c r="A1269" s="41"/>
      <c r="B1269" s="41"/>
      <c r="C1269" s="42"/>
    </row>
    <row r="1270" spans="1:3">
      <c r="A1270" s="41"/>
      <c r="B1270" s="41"/>
      <c r="C1270" s="42"/>
    </row>
    <row r="1271" spans="1:3">
      <c r="A1271" s="41"/>
      <c r="B1271" s="41"/>
      <c r="C1271" s="42"/>
    </row>
    <row r="1272" spans="1:3">
      <c r="A1272" s="41"/>
      <c r="B1272" s="41"/>
      <c r="C1272" s="42"/>
    </row>
    <row r="1273" spans="1:3">
      <c r="A1273" s="41"/>
      <c r="B1273" s="41"/>
      <c r="C1273" s="42"/>
    </row>
    <row r="1274" spans="1:3">
      <c r="A1274" s="41"/>
      <c r="B1274" s="41"/>
      <c r="C1274" s="42"/>
    </row>
    <row r="1275" spans="1:3">
      <c r="A1275" s="41"/>
      <c r="B1275" s="41"/>
      <c r="C1275" s="42"/>
    </row>
    <row r="1276" spans="1:3">
      <c r="A1276" s="41"/>
      <c r="B1276" s="41"/>
      <c r="C1276" s="42"/>
    </row>
    <row r="1277" spans="1:3">
      <c r="A1277" s="41"/>
      <c r="B1277" s="41"/>
      <c r="C1277" s="42"/>
    </row>
    <row r="1278" spans="1:3">
      <c r="A1278" s="41"/>
      <c r="B1278" s="41"/>
      <c r="C1278" s="42"/>
    </row>
    <row r="1279" spans="1:3">
      <c r="A1279" s="41"/>
      <c r="B1279" s="41"/>
      <c r="C1279" s="42"/>
    </row>
    <row r="1280" spans="1:3">
      <c r="A1280" s="41"/>
      <c r="B1280" s="41"/>
      <c r="C1280" s="42"/>
    </row>
    <row r="1281" spans="1:3">
      <c r="A1281" s="41"/>
      <c r="B1281" s="41"/>
      <c r="C1281" s="42"/>
    </row>
    <row r="1282" spans="1:3">
      <c r="A1282" s="41"/>
      <c r="B1282" s="41"/>
      <c r="C1282" s="42"/>
    </row>
    <row r="1283" spans="1:3">
      <c r="A1283" s="41"/>
      <c r="B1283" s="41"/>
      <c r="C1283" s="42"/>
    </row>
    <row r="1284" spans="1:3">
      <c r="A1284" s="41"/>
      <c r="B1284" s="41"/>
      <c r="C1284" s="42"/>
    </row>
    <row r="1285" spans="1:3">
      <c r="A1285" s="41"/>
      <c r="B1285" s="41"/>
      <c r="C1285" s="42"/>
    </row>
    <row r="1286" spans="1:3">
      <c r="A1286" s="41"/>
      <c r="B1286" s="41"/>
      <c r="C1286" s="42"/>
    </row>
    <row r="1287" spans="1:3">
      <c r="A1287" s="41"/>
      <c r="B1287" s="41"/>
      <c r="C1287" s="42"/>
    </row>
    <row r="1288" spans="1:3">
      <c r="A1288" s="41"/>
      <c r="B1288" s="41"/>
      <c r="C1288" s="42"/>
    </row>
    <row r="1289" spans="1:3">
      <c r="A1289" s="41"/>
      <c r="B1289" s="41"/>
      <c r="C1289" s="42"/>
    </row>
    <row r="1290" spans="1:3">
      <c r="A1290" s="41"/>
      <c r="B1290" s="41"/>
      <c r="C1290" s="42"/>
    </row>
    <row r="1291" spans="1:3">
      <c r="A1291" s="41"/>
      <c r="B1291" s="41"/>
      <c r="C1291" s="42"/>
    </row>
    <row r="1292" spans="1:3">
      <c r="A1292" s="41"/>
      <c r="B1292" s="41"/>
      <c r="C1292" s="42"/>
    </row>
    <row r="1293" spans="1:3">
      <c r="A1293" s="41"/>
      <c r="B1293" s="41"/>
      <c r="C1293" s="42"/>
    </row>
    <row r="1294" spans="1:3">
      <c r="A1294" s="41"/>
      <c r="B1294" s="41"/>
      <c r="C1294" s="42"/>
    </row>
    <row r="1295" spans="1:3">
      <c r="A1295" s="41"/>
      <c r="B1295" s="41"/>
      <c r="C1295" s="42"/>
    </row>
    <row r="1296" spans="1:3">
      <c r="A1296" s="41"/>
      <c r="B1296" s="41"/>
      <c r="C1296" s="42"/>
    </row>
    <row r="1297" spans="1:3">
      <c r="A1297" s="41"/>
      <c r="B1297" s="41"/>
      <c r="C1297" s="42"/>
    </row>
    <row r="1298" spans="1:3">
      <c r="A1298" s="41"/>
      <c r="B1298" s="41"/>
      <c r="C1298" s="42"/>
    </row>
    <row r="1299" spans="1:3">
      <c r="A1299" s="41"/>
      <c r="B1299" s="41"/>
      <c r="C1299" s="42"/>
    </row>
    <row r="1300" spans="1:3">
      <c r="A1300" s="41"/>
      <c r="B1300" s="41"/>
      <c r="C1300" s="42"/>
    </row>
    <row r="1301" spans="1:3">
      <c r="A1301" s="41"/>
      <c r="B1301" s="41"/>
      <c r="C1301" s="42"/>
    </row>
    <row r="1302" spans="1:3">
      <c r="A1302" s="41"/>
      <c r="B1302" s="41"/>
      <c r="C1302" s="42"/>
    </row>
    <row r="1303" spans="1:3">
      <c r="A1303" s="41"/>
      <c r="B1303" s="41"/>
      <c r="C1303" s="42"/>
    </row>
    <row r="1304" spans="1:3">
      <c r="A1304" s="41"/>
      <c r="B1304" s="41"/>
      <c r="C1304" s="42"/>
    </row>
    <row r="1305" spans="1:3">
      <c r="A1305" s="41"/>
      <c r="B1305" s="41"/>
      <c r="C1305" s="42"/>
    </row>
    <row r="1306" spans="1:3">
      <c r="A1306" s="41"/>
      <c r="B1306" s="41"/>
      <c r="C1306" s="42"/>
    </row>
    <row r="1307" spans="1:3">
      <c r="A1307" s="41"/>
      <c r="B1307" s="41"/>
      <c r="C1307" s="42"/>
    </row>
    <row r="1308" spans="1:3">
      <c r="A1308" s="41"/>
      <c r="B1308" s="41"/>
      <c r="C1308" s="42"/>
    </row>
    <row r="1309" spans="1:3">
      <c r="A1309" s="41"/>
      <c r="B1309" s="41"/>
      <c r="C1309" s="42"/>
    </row>
    <row r="1310" spans="1:3">
      <c r="A1310" s="41"/>
      <c r="B1310" s="41"/>
      <c r="C1310" s="42"/>
    </row>
    <row r="1311" spans="1:3">
      <c r="A1311" s="41"/>
      <c r="B1311" s="41"/>
      <c r="C1311" s="42"/>
    </row>
    <row r="1312" spans="1:3">
      <c r="A1312" s="41"/>
      <c r="B1312" s="41"/>
      <c r="C1312" s="42"/>
    </row>
    <row r="1313" spans="1:3">
      <c r="A1313" s="41"/>
      <c r="B1313" s="41"/>
      <c r="C1313" s="42"/>
    </row>
    <row r="1314" spans="1:3">
      <c r="A1314" s="41"/>
      <c r="B1314" s="41"/>
      <c r="C1314" s="42"/>
    </row>
    <row r="1315" spans="1:3">
      <c r="A1315" s="41"/>
      <c r="B1315" s="41"/>
      <c r="C1315" s="42"/>
    </row>
    <row r="1316" spans="1:3">
      <c r="A1316" s="41"/>
      <c r="B1316" s="41"/>
      <c r="C1316" s="42"/>
    </row>
    <row r="1317" spans="1:3">
      <c r="A1317" s="41"/>
      <c r="B1317" s="41"/>
      <c r="C1317" s="42"/>
    </row>
    <row r="1318" spans="1:3">
      <c r="A1318" s="41"/>
      <c r="B1318" s="41"/>
      <c r="C1318" s="42"/>
    </row>
    <row r="1319" spans="1:3">
      <c r="A1319" s="41"/>
      <c r="B1319" s="41"/>
      <c r="C1319" s="42"/>
    </row>
    <row r="1320" spans="1:3">
      <c r="A1320" s="41"/>
      <c r="B1320" s="41"/>
      <c r="C1320" s="42"/>
    </row>
    <row r="1321" spans="1:3">
      <c r="A1321" s="41"/>
      <c r="B1321" s="41"/>
      <c r="C1321" s="42"/>
    </row>
    <row r="1322" spans="1:3">
      <c r="A1322" s="41"/>
      <c r="B1322" s="41"/>
      <c r="C1322" s="42"/>
    </row>
    <row r="1323" spans="1:3">
      <c r="A1323" s="41"/>
      <c r="B1323" s="41"/>
      <c r="C1323" s="42"/>
    </row>
    <row r="1324" spans="1:3">
      <c r="A1324" s="41"/>
      <c r="B1324" s="41"/>
      <c r="C1324" s="42"/>
    </row>
    <row r="1325" spans="1:3">
      <c r="A1325" s="41"/>
      <c r="B1325" s="41"/>
      <c r="C1325" s="42"/>
    </row>
    <row r="1326" spans="1:3">
      <c r="A1326" s="41"/>
      <c r="B1326" s="41"/>
      <c r="C1326" s="42"/>
    </row>
    <row r="1327" spans="1:3">
      <c r="A1327" s="41"/>
      <c r="B1327" s="41"/>
      <c r="C1327" s="42"/>
    </row>
    <row r="1328" spans="1:3">
      <c r="A1328" s="41"/>
      <c r="B1328" s="41"/>
      <c r="C1328" s="42"/>
    </row>
    <row r="1329" spans="1:3">
      <c r="A1329" s="41"/>
      <c r="B1329" s="41"/>
      <c r="C1329" s="42"/>
    </row>
    <row r="1330" spans="1:3">
      <c r="A1330" s="41"/>
      <c r="B1330" s="41"/>
      <c r="C1330" s="42"/>
    </row>
    <row r="1331" spans="1:3">
      <c r="A1331" s="41"/>
      <c r="B1331" s="41"/>
      <c r="C1331" s="42"/>
    </row>
    <row r="1332" spans="1:3">
      <c r="A1332" s="41"/>
      <c r="B1332" s="41"/>
      <c r="C1332" s="42"/>
    </row>
    <row r="1333" spans="1:3">
      <c r="A1333" s="41"/>
      <c r="B1333" s="41"/>
      <c r="C1333" s="42"/>
    </row>
    <row r="1334" spans="1:3">
      <c r="A1334" s="41"/>
      <c r="B1334" s="41"/>
      <c r="C1334" s="42"/>
    </row>
    <row r="1335" spans="1:3">
      <c r="A1335" s="41"/>
      <c r="B1335" s="41"/>
      <c r="C1335" s="42"/>
    </row>
    <row r="1336" spans="1:3">
      <c r="A1336" s="41"/>
      <c r="B1336" s="41"/>
      <c r="C1336" s="42"/>
    </row>
    <row r="1337" spans="1:3">
      <c r="A1337" s="41"/>
      <c r="B1337" s="41"/>
      <c r="C1337" s="42"/>
    </row>
    <row r="1338" spans="1:3">
      <c r="A1338" s="41"/>
      <c r="B1338" s="41"/>
      <c r="C1338" s="42"/>
    </row>
    <row r="1339" spans="1:3">
      <c r="A1339" s="41"/>
      <c r="B1339" s="41"/>
      <c r="C1339" s="42"/>
    </row>
    <row r="1340" spans="1:3">
      <c r="A1340" s="41"/>
      <c r="B1340" s="41"/>
      <c r="C1340" s="42"/>
    </row>
    <row r="1341" spans="1:3">
      <c r="A1341" s="41"/>
      <c r="B1341" s="41"/>
      <c r="C1341" s="42"/>
    </row>
    <row r="1342" spans="1:3">
      <c r="A1342" s="41"/>
      <c r="B1342" s="41"/>
      <c r="C1342" s="42"/>
    </row>
    <row r="1343" spans="1:3">
      <c r="A1343" s="41"/>
      <c r="B1343" s="41"/>
      <c r="C1343" s="42"/>
    </row>
    <row r="1344" spans="1:3">
      <c r="A1344" s="41"/>
      <c r="B1344" s="41"/>
      <c r="C1344" s="42"/>
    </row>
    <row r="1345" spans="1:3">
      <c r="A1345" s="41"/>
      <c r="B1345" s="41"/>
      <c r="C1345" s="42"/>
    </row>
    <row r="1346" spans="1:3">
      <c r="A1346" s="41"/>
      <c r="B1346" s="41"/>
      <c r="C1346" s="42"/>
    </row>
    <row r="1347" spans="1:3">
      <c r="A1347" s="41"/>
      <c r="B1347" s="41"/>
      <c r="C1347" s="42"/>
    </row>
    <row r="1348" spans="1:3">
      <c r="A1348" s="41"/>
      <c r="B1348" s="41"/>
      <c r="C1348" s="42"/>
    </row>
    <row r="1349" spans="1:3">
      <c r="A1349" s="41"/>
      <c r="B1349" s="41"/>
      <c r="C1349" s="42"/>
    </row>
    <row r="1350" spans="1:3">
      <c r="A1350" s="41"/>
      <c r="B1350" s="41"/>
      <c r="C1350" s="42"/>
    </row>
    <row r="1351" spans="1:3">
      <c r="A1351" s="41"/>
      <c r="B1351" s="41"/>
      <c r="C1351" s="42"/>
    </row>
    <row r="1352" spans="1:3">
      <c r="A1352" s="41"/>
      <c r="B1352" s="41"/>
      <c r="C1352" s="42"/>
    </row>
    <row r="1353" spans="1:3">
      <c r="A1353" s="41"/>
      <c r="B1353" s="41"/>
      <c r="C1353" s="42"/>
    </row>
    <row r="1354" spans="1:3">
      <c r="A1354" s="41"/>
      <c r="B1354" s="41"/>
      <c r="C1354" s="42"/>
    </row>
    <row r="1355" spans="1:3">
      <c r="A1355" s="41"/>
      <c r="B1355" s="41"/>
      <c r="C1355" s="42"/>
    </row>
    <row r="1356" spans="1:3">
      <c r="A1356" s="41"/>
      <c r="B1356" s="41"/>
      <c r="C1356" s="42"/>
    </row>
    <row r="1357" spans="1:3">
      <c r="A1357" s="41"/>
      <c r="B1357" s="41"/>
      <c r="C1357" s="42"/>
    </row>
    <row r="1358" spans="1:3">
      <c r="A1358" s="41"/>
      <c r="B1358" s="41"/>
      <c r="C1358" s="42"/>
    </row>
    <row r="1359" spans="1:3">
      <c r="A1359" s="41"/>
      <c r="B1359" s="41"/>
      <c r="C1359" s="42"/>
    </row>
    <row r="1360" spans="1:3">
      <c r="A1360" s="41"/>
      <c r="B1360" s="41"/>
      <c r="C1360" s="42"/>
    </row>
    <row r="1361" spans="1:3">
      <c r="A1361" s="41"/>
      <c r="B1361" s="41"/>
      <c r="C1361" s="42"/>
    </row>
    <row r="1362" spans="1:3">
      <c r="A1362" s="41"/>
      <c r="B1362" s="41"/>
      <c r="C1362" s="42"/>
    </row>
    <row r="1363" spans="1:3">
      <c r="A1363" s="41"/>
      <c r="B1363" s="41"/>
      <c r="C1363" s="42"/>
    </row>
    <row r="1364" spans="1:3">
      <c r="A1364" s="41"/>
      <c r="B1364" s="41"/>
      <c r="C1364" s="42"/>
    </row>
    <row r="1365" spans="1:3">
      <c r="A1365" s="41"/>
      <c r="B1365" s="41"/>
      <c r="C1365" s="42"/>
    </row>
    <row r="1366" spans="1:3">
      <c r="A1366" s="41"/>
      <c r="B1366" s="41"/>
      <c r="C1366" s="42"/>
    </row>
    <row r="1367" spans="1:3">
      <c r="A1367" s="41"/>
      <c r="B1367" s="41"/>
      <c r="C1367" s="42"/>
    </row>
    <row r="1368" spans="1:3">
      <c r="A1368" s="41"/>
      <c r="B1368" s="41"/>
      <c r="C1368" s="42"/>
    </row>
    <row r="1369" spans="1:3">
      <c r="A1369" s="41"/>
      <c r="B1369" s="41"/>
      <c r="C1369" s="42"/>
    </row>
    <row r="1370" spans="1:3">
      <c r="A1370" s="41"/>
      <c r="B1370" s="41"/>
      <c r="C1370" s="42"/>
    </row>
    <row r="1371" spans="1:3">
      <c r="A1371" s="41"/>
      <c r="B1371" s="41"/>
      <c r="C1371" s="42"/>
    </row>
    <row r="1372" spans="1:3">
      <c r="A1372" s="41"/>
      <c r="B1372" s="41"/>
      <c r="C1372" s="42"/>
    </row>
    <row r="1373" spans="1:3">
      <c r="A1373" s="41"/>
      <c r="B1373" s="41"/>
      <c r="C1373" s="42"/>
    </row>
    <row r="1374" spans="1:3">
      <c r="A1374" s="41"/>
      <c r="B1374" s="41"/>
      <c r="C1374" s="42"/>
    </row>
    <row r="1375" spans="1:3">
      <c r="A1375" s="41"/>
      <c r="B1375" s="41"/>
      <c r="C1375" s="42"/>
    </row>
    <row r="1376" spans="1:3">
      <c r="A1376" s="41"/>
      <c r="B1376" s="41"/>
      <c r="C1376" s="42"/>
    </row>
    <row r="1377" spans="1:3">
      <c r="A1377" s="41"/>
      <c r="B1377" s="41"/>
      <c r="C1377" s="42"/>
    </row>
    <row r="1378" spans="1:3">
      <c r="A1378" s="41"/>
      <c r="B1378" s="41"/>
      <c r="C1378" s="42"/>
    </row>
    <row r="1379" spans="1:3">
      <c r="A1379" s="41"/>
      <c r="B1379" s="41"/>
      <c r="C1379" s="42"/>
    </row>
    <row r="1380" spans="1:3">
      <c r="A1380" s="41"/>
      <c r="B1380" s="41"/>
      <c r="C1380" s="42"/>
    </row>
    <row r="1381" spans="1:3">
      <c r="A1381" s="41"/>
      <c r="B1381" s="41"/>
      <c r="C1381" s="42"/>
    </row>
    <row r="1382" spans="1:3">
      <c r="A1382" s="41"/>
      <c r="B1382" s="41"/>
      <c r="C1382" s="42"/>
    </row>
    <row r="1383" spans="1:3">
      <c r="A1383" s="41"/>
      <c r="B1383" s="41"/>
      <c r="C1383" s="42"/>
    </row>
    <row r="1384" spans="1:3">
      <c r="A1384" s="41"/>
      <c r="B1384" s="41"/>
      <c r="C1384" s="42"/>
    </row>
    <row r="1385" spans="1:3">
      <c r="A1385" s="41"/>
      <c r="B1385" s="41"/>
      <c r="C1385" s="42"/>
    </row>
    <row r="1386" spans="1:3">
      <c r="A1386" s="41"/>
      <c r="B1386" s="41"/>
      <c r="C1386" s="42"/>
    </row>
    <row r="1387" spans="1:3">
      <c r="A1387" s="41"/>
      <c r="B1387" s="41"/>
      <c r="C1387" s="42"/>
    </row>
    <row r="1388" spans="1:3">
      <c r="A1388" s="41"/>
      <c r="B1388" s="41"/>
      <c r="C1388" s="42"/>
    </row>
    <row r="1389" spans="1:3">
      <c r="A1389" s="41"/>
      <c r="B1389" s="41"/>
      <c r="C1389" s="42"/>
    </row>
    <row r="1390" spans="1:3">
      <c r="A1390" s="41"/>
      <c r="B1390" s="41"/>
      <c r="C1390" s="42"/>
    </row>
    <row r="1391" spans="1:3">
      <c r="A1391" s="41"/>
      <c r="B1391" s="41"/>
      <c r="C1391" s="42"/>
    </row>
    <row r="1392" spans="1:3">
      <c r="A1392" s="41"/>
      <c r="B1392" s="41"/>
      <c r="C1392" s="42"/>
    </row>
    <row r="1393" spans="1:3">
      <c r="A1393" s="41"/>
      <c r="B1393" s="41"/>
      <c r="C1393" s="42"/>
    </row>
    <row r="1394" spans="1:3">
      <c r="A1394" s="41"/>
      <c r="B1394" s="41"/>
      <c r="C1394" s="42"/>
    </row>
    <row r="1395" spans="1:3">
      <c r="A1395" s="41"/>
      <c r="B1395" s="41"/>
      <c r="C1395" s="42"/>
    </row>
    <row r="1396" spans="1:3">
      <c r="A1396" s="41"/>
      <c r="B1396" s="41"/>
      <c r="C1396" s="42"/>
    </row>
    <row r="1397" spans="1:3">
      <c r="A1397" s="41"/>
      <c r="B1397" s="41"/>
      <c r="C1397" s="42"/>
    </row>
    <row r="1398" spans="1:3">
      <c r="A1398" s="41"/>
      <c r="B1398" s="41"/>
      <c r="C1398" s="42"/>
    </row>
    <row r="1399" spans="1:3">
      <c r="A1399" s="41"/>
      <c r="B1399" s="41"/>
      <c r="C1399" s="42"/>
    </row>
    <row r="1400" spans="1:3">
      <c r="A1400" s="41"/>
      <c r="B1400" s="41"/>
      <c r="C1400" s="42"/>
    </row>
    <row r="1401" spans="1:3">
      <c r="A1401" s="41"/>
      <c r="B1401" s="41"/>
      <c r="C1401" s="42"/>
    </row>
    <row r="1402" spans="1:3">
      <c r="A1402" s="41"/>
      <c r="B1402" s="41"/>
      <c r="C1402" s="42"/>
    </row>
    <row r="1403" spans="1:3">
      <c r="A1403" s="41"/>
      <c r="B1403" s="41"/>
      <c r="C1403" s="42"/>
    </row>
    <row r="1404" spans="1:3">
      <c r="A1404" s="41"/>
      <c r="B1404" s="41"/>
      <c r="C1404" s="42"/>
    </row>
    <row r="1405" spans="1:3">
      <c r="A1405" s="41"/>
      <c r="B1405" s="41"/>
      <c r="C1405" s="42"/>
    </row>
    <row r="1406" spans="1:3">
      <c r="A1406" s="41"/>
      <c r="B1406" s="41"/>
      <c r="C1406" s="42"/>
    </row>
    <row r="1407" spans="1:3">
      <c r="A1407" s="41"/>
      <c r="B1407" s="41"/>
      <c r="C1407" s="42"/>
    </row>
    <row r="1408" spans="1:3">
      <c r="A1408" s="41"/>
      <c r="B1408" s="41"/>
      <c r="C1408" s="42"/>
    </row>
    <row r="1409" spans="1:3">
      <c r="A1409" s="41"/>
      <c r="B1409" s="41"/>
      <c r="C1409" s="42"/>
    </row>
    <row r="1410" spans="1:3">
      <c r="A1410" s="41"/>
      <c r="B1410" s="41"/>
      <c r="C1410" s="42"/>
    </row>
    <row r="1411" spans="1:3">
      <c r="A1411" s="41"/>
      <c r="B1411" s="41"/>
      <c r="C1411" s="42"/>
    </row>
    <row r="1412" spans="1:3">
      <c r="A1412" s="41"/>
      <c r="B1412" s="41"/>
      <c r="C1412" s="42"/>
    </row>
    <row r="1413" spans="1:3">
      <c r="A1413" s="41"/>
      <c r="B1413" s="41"/>
      <c r="C1413" s="42"/>
    </row>
    <row r="1414" spans="1:3">
      <c r="A1414" s="41"/>
      <c r="B1414" s="41"/>
      <c r="C1414" s="42"/>
    </row>
    <row r="1415" spans="1:3">
      <c r="A1415" s="41"/>
      <c r="B1415" s="41"/>
      <c r="C1415" s="42"/>
    </row>
    <row r="1416" spans="1:3">
      <c r="A1416" s="41"/>
      <c r="B1416" s="41"/>
      <c r="C1416" s="42"/>
    </row>
    <row r="1417" spans="1:3">
      <c r="A1417" s="41"/>
      <c r="B1417" s="41"/>
      <c r="C1417" s="42"/>
    </row>
    <row r="1418" spans="1:3">
      <c r="A1418" s="41"/>
      <c r="B1418" s="41"/>
      <c r="C1418" s="42"/>
    </row>
    <row r="1419" spans="1:3">
      <c r="A1419" s="41"/>
      <c r="B1419" s="41"/>
      <c r="C1419" s="42"/>
    </row>
    <row r="1420" spans="1:3">
      <c r="A1420" s="41"/>
      <c r="B1420" s="41"/>
      <c r="C1420" s="42"/>
    </row>
    <row r="1421" spans="1:3">
      <c r="A1421" s="41"/>
      <c r="B1421" s="41"/>
      <c r="C1421" s="42"/>
    </row>
    <row r="1422" spans="1:3">
      <c r="A1422" s="41"/>
      <c r="B1422" s="41"/>
      <c r="C1422" s="42"/>
    </row>
    <row r="1423" spans="1:3">
      <c r="A1423" s="41"/>
      <c r="B1423" s="41"/>
      <c r="C1423" s="42"/>
    </row>
    <row r="1424" spans="1:3">
      <c r="A1424" s="41"/>
      <c r="B1424" s="41"/>
      <c r="C1424" s="42"/>
    </row>
    <row r="1425" spans="1:3">
      <c r="A1425" s="41"/>
      <c r="B1425" s="41"/>
      <c r="C1425" s="42"/>
    </row>
    <row r="1426" spans="1:3">
      <c r="A1426" s="41"/>
      <c r="B1426" s="41"/>
      <c r="C1426" s="42"/>
    </row>
    <row r="1427" spans="1:3">
      <c r="A1427" s="41"/>
      <c r="B1427" s="41"/>
      <c r="C1427" s="42"/>
    </row>
    <row r="1428" spans="1:3">
      <c r="A1428" s="41"/>
      <c r="B1428" s="41"/>
      <c r="C1428" s="42"/>
    </row>
    <row r="1429" spans="1:3">
      <c r="A1429" s="41"/>
      <c r="B1429" s="41"/>
      <c r="C1429" s="42"/>
    </row>
    <row r="1430" spans="1:3">
      <c r="A1430" s="41"/>
      <c r="B1430" s="41"/>
      <c r="C1430" s="42"/>
    </row>
    <row r="1431" spans="1:3">
      <c r="A1431" s="41"/>
      <c r="B1431" s="41"/>
      <c r="C1431" s="42"/>
    </row>
    <row r="1432" spans="1:3">
      <c r="A1432" s="41"/>
      <c r="B1432" s="41"/>
      <c r="C1432" s="42"/>
    </row>
    <row r="1433" spans="1:3">
      <c r="A1433" s="41"/>
      <c r="B1433" s="41"/>
      <c r="C1433" s="42"/>
    </row>
    <row r="1434" spans="1:3">
      <c r="A1434" s="41"/>
      <c r="B1434" s="41"/>
      <c r="C1434" s="42"/>
    </row>
    <row r="1435" spans="1:3">
      <c r="A1435" s="41"/>
      <c r="B1435" s="41"/>
      <c r="C1435" s="42"/>
    </row>
    <row r="1436" spans="1:3">
      <c r="A1436" s="41"/>
      <c r="B1436" s="41"/>
      <c r="C1436" s="42"/>
    </row>
    <row r="1437" spans="1:3">
      <c r="A1437" s="41"/>
      <c r="B1437" s="41"/>
      <c r="C1437" s="42"/>
    </row>
    <row r="1438" spans="1:3">
      <c r="A1438" s="41"/>
      <c r="B1438" s="41"/>
      <c r="C1438" s="42"/>
    </row>
    <row r="1439" spans="1:3">
      <c r="A1439" s="41"/>
      <c r="B1439" s="41"/>
      <c r="C1439" s="42"/>
    </row>
    <row r="1440" spans="1:3">
      <c r="A1440" s="41"/>
      <c r="B1440" s="41"/>
      <c r="C1440" s="42"/>
    </row>
    <row r="1441" spans="1:3">
      <c r="A1441" s="41"/>
      <c r="B1441" s="41"/>
      <c r="C1441" s="42"/>
    </row>
    <row r="1442" spans="1:3">
      <c r="A1442" s="41"/>
      <c r="B1442" s="41"/>
      <c r="C1442" s="42"/>
    </row>
    <row r="1443" spans="1:3">
      <c r="A1443" s="41"/>
      <c r="B1443" s="41"/>
      <c r="C1443" s="42"/>
    </row>
    <row r="1444" spans="1:3">
      <c r="A1444" s="41"/>
      <c r="B1444" s="41"/>
      <c r="C1444" s="42"/>
    </row>
    <row r="1445" spans="1:3">
      <c r="A1445" s="41"/>
      <c r="B1445" s="41"/>
      <c r="C1445" s="42"/>
    </row>
    <row r="1446" spans="1:3">
      <c r="A1446" s="41"/>
      <c r="B1446" s="41"/>
      <c r="C1446" s="42"/>
    </row>
    <row r="1447" spans="1:3">
      <c r="A1447" s="41"/>
      <c r="B1447" s="41"/>
      <c r="C1447" s="42"/>
    </row>
    <row r="1448" spans="1:3">
      <c r="A1448" s="41"/>
      <c r="B1448" s="41"/>
      <c r="C1448" s="42"/>
    </row>
    <row r="1449" spans="1:3">
      <c r="A1449" s="41"/>
      <c r="B1449" s="41"/>
      <c r="C1449" s="42"/>
    </row>
    <row r="1450" spans="1:3">
      <c r="A1450" s="41"/>
      <c r="B1450" s="41"/>
      <c r="C1450" s="42"/>
    </row>
    <row r="1451" spans="1:3">
      <c r="A1451" s="41"/>
      <c r="B1451" s="41"/>
      <c r="C1451" s="42"/>
    </row>
    <row r="1452" spans="1:3">
      <c r="A1452" s="41"/>
      <c r="B1452" s="41"/>
      <c r="C1452" s="42"/>
    </row>
    <row r="1453" spans="1:3">
      <c r="A1453" s="41"/>
      <c r="B1453" s="41"/>
      <c r="C1453" s="42"/>
    </row>
    <row r="1454" spans="1:3">
      <c r="A1454" s="41"/>
      <c r="B1454" s="41"/>
      <c r="C1454" s="42"/>
    </row>
    <row r="1455" spans="1:3">
      <c r="A1455" s="41"/>
      <c r="B1455" s="41"/>
      <c r="C1455" s="42"/>
    </row>
    <row r="1456" spans="1:3">
      <c r="A1456" s="41"/>
      <c r="B1456" s="41"/>
      <c r="C1456" s="42"/>
    </row>
    <row r="1457" spans="1:3">
      <c r="A1457" s="41"/>
      <c r="B1457" s="41"/>
      <c r="C1457" s="42"/>
    </row>
    <row r="1458" spans="1:3">
      <c r="A1458" s="41"/>
      <c r="B1458" s="41"/>
      <c r="C1458" s="42"/>
    </row>
    <row r="1459" spans="1:3">
      <c r="A1459" s="41"/>
      <c r="B1459" s="41"/>
      <c r="C1459" s="42"/>
    </row>
    <row r="1460" spans="1:3">
      <c r="A1460" s="41"/>
      <c r="B1460" s="41"/>
      <c r="C1460" s="42"/>
    </row>
    <row r="1461" spans="1:3">
      <c r="A1461" s="41"/>
      <c r="B1461" s="41"/>
      <c r="C1461" s="42"/>
    </row>
    <row r="1462" spans="1:3">
      <c r="A1462" s="41"/>
      <c r="B1462" s="41"/>
      <c r="C1462" s="42"/>
    </row>
    <row r="1463" spans="1:3">
      <c r="A1463" s="41"/>
      <c r="B1463" s="41"/>
      <c r="C1463" s="42"/>
    </row>
    <row r="1464" spans="1:3">
      <c r="A1464" s="41"/>
      <c r="B1464" s="41"/>
      <c r="C1464" s="42"/>
    </row>
    <row r="1465" spans="1:3">
      <c r="A1465" s="41"/>
      <c r="B1465" s="41"/>
      <c r="C1465" s="42"/>
    </row>
    <row r="1466" spans="1:3">
      <c r="A1466" s="41"/>
      <c r="B1466" s="41"/>
      <c r="C1466" s="42"/>
    </row>
    <row r="1467" spans="1:3">
      <c r="A1467" s="41"/>
      <c r="B1467" s="41"/>
      <c r="C1467" s="42"/>
    </row>
    <row r="1468" spans="1:3">
      <c r="A1468" s="41"/>
      <c r="B1468" s="41"/>
      <c r="C1468" s="42"/>
    </row>
    <row r="1469" spans="1:3">
      <c r="A1469" s="41"/>
      <c r="B1469" s="41"/>
      <c r="C1469" s="42"/>
    </row>
    <row r="1470" spans="1:3">
      <c r="A1470" s="41"/>
      <c r="B1470" s="41"/>
      <c r="C1470" s="42"/>
    </row>
    <row r="1471" spans="1:3">
      <c r="A1471" s="41"/>
      <c r="B1471" s="41"/>
      <c r="C1471" s="42"/>
    </row>
    <row r="1472" spans="1:3">
      <c r="A1472" s="41"/>
      <c r="B1472" s="41"/>
      <c r="C1472" s="42"/>
    </row>
    <row r="1473" spans="1:3">
      <c r="A1473" s="41"/>
      <c r="B1473" s="41"/>
      <c r="C1473" s="42"/>
    </row>
    <row r="1474" spans="1:3">
      <c r="A1474" s="41"/>
      <c r="B1474" s="41"/>
      <c r="C1474" s="42"/>
    </row>
    <row r="1475" spans="1:3">
      <c r="A1475" s="41"/>
      <c r="B1475" s="41"/>
      <c r="C1475" s="42"/>
    </row>
    <row r="1476" spans="1:3">
      <c r="A1476" s="41"/>
      <c r="B1476" s="41"/>
      <c r="C1476" s="42"/>
    </row>
    <row r="1477" spans="1:3">
      <c r="A1477" s="41"/>
      <c r="B1477" s="41"/>
      <c r="C1477" s="42"/>
    </row>
    <row r="1478" spans="1:3">
      <c r="A1478" s="41"/>
      <c r="B1478" s="41"/>
      <c r="C1478" s="42"/>
    </row>
    <row r="1479" spans="1:3">
      <c r="A1479" s="41"/>
      <c r="B1479" s="41"/>
      <c r="C1479" s="42"/>
    </row>
    <row r="1480" spans="1:3">
      <c r="A1480" s="41"/>
      <c r="B1480" s="41"/>
      <c r="C1480" s="42"/>
    </row>
    <row r="1481" spans="1:3">
      <c r="A1481" s="41"/>
      <c r="B1481" s="41"/>
      <c r="C1481" s="42"/>
    </row>
    <row r="1482" spans="1:3">
      <c r="A1482" s="41"/>
      <c r="B1482" s="41"/>
      <c r="C1482" s="42"/>
    </row>
    <row r="1483" spans="1:3">
      <c r="A1483" s="41"/>
      <c r="B1483" s="41"/>
      <c r="C1483" s="42"/>
    </row>
    <row r="1484" spans="1:3">
      <c r="A1484" s="41"/>
      <c r="B1484" s="41"/>
      <c r="C1484" s="42"/>
    </row>
    <row r="1485" spans="1:3">
      <c r="A1485" s="41"/>
      <c r="B1485" s="41"/>
      <c r="C1485" s="42"/>
    </row>
    <row r="1486" spans="1:3">
      <c r="A1486" s="41"/>
      <c r="B1486" s="41"/>
      <c r="C1486" s="42"/>
    </row>
    <row r="1487" spans="1:3">
      <c r="A1487" s="41"/>
      <c r="B1487" s="41"/>
      <c r="C1487" s="42"/>
    </row>
    <row r="1488" spans="1:3">
      <c r="A1488" s="41"/>
      <c r="B1488" s="41"/>
      <c r="C1488" s="42"/>
    </row>
    <row r="1489" spans="1:3">
      <c r="A1489" s="41"/>
      <c r="B1489" s="41"/>
      <c r="C1489" s="42"/>
    </row>
    <row r="1490" spans="1:3">
      <c r="A1490" s="41"/>
      <c r="B1490" s="41"/>
      <c r="C1490" s="42"/>
    </row>
    <row r="1491" spans="1:3">
      <c r="A1491" s="41"/>
      <c r="B1491" s="41"/>
      <c r="C1491" s="42"/>
    </row>
    <row r="1492" spans="1:3">
      <c r="A1492" s="41"/>
      <c r="B1492" s="41"/>
      <c r="C1492" s="42"/>
    </row>
    <row r="1493" spans="1:3">
      <c r="A1493" s="41"/>
      <c r="B1493" s="41"/>
      <c r="C1493" s="42"/>
    </row>
    <row r="1494" spans="1:3">
      <c r="A1494" s="41"/>
      <c r="B1494" s="41"/>
      <c r="C1494" s="42"/>
    </row>
    <row r="1495" spans="1:3">
      <c r="A1495" s="41"/>
      <c r="B1495" s="41"/>
      <c r="C1495" s="42"/>
    </row>
    <row r="1496" spans="1:3">
      <c r="A1496" s="41"/>
      <c r="B1496" s="41"/>
      <c r="C1496" s="42"/>
    </row>
    <row r="1497" spans="1:3">
      <c r="A1497" s="41"/>
      <c r="B1497" s="41"/>
      <c r="C1497" s="42"/>
    </row>
    <row r="1498" spans="1:3">
      <c r="A1498" s="41"/>
      <c r="B1498" s="41"/>
      <c r="C1498" s="42"/>
    </row>
    <row r="1499" spans="1:3">
      <c r="A1499" s="41"/>
      <c r="B1499" s="41"/>
      <c r="C1499" s="42"/>
    </row>
    <row r="1500" spans="1:3">
      <c r="A1500" s="41"/>
      <c r="B1500" s="41"/>
      <c r="C1500" s="42"/>
    </row>
    <row r="1501" spans="1:3">
      <c r="A1501" s="41"/>
      <c r="B1501" s="41"/>
      <c r="C1501" s="42"/>
    </row>
    <row r="1502" spans="1:3">
      <c r="A1502" s="41"/>
      <c r="B1502" s="41"/>
      <c r="C1502" s="42"/>
    </row>
    <row r="1503" spans="1:3">
      <c r="A1503" s="41"/>
      <c r="B1503" s="41"/>
      <c r="C1503" s="42"/>
    </row>
    <row r="1504" spans="1:3">
      <c r="A1504" s="41"/>
      <c r="B1504" s="41"/>
      <c r="C1504" s="42"/>
    </row>
    <row r="1505" spans="1:3">
      <c r="A1505" s="41"/>
      <c r="B1505" s="41"/>
      <c r="C1505" s="42"/>
    </row>
    <row r="1506" spans="1:3">
      <c r="A1506" s="41"/>
      <c r="B1506" s="41"/>
      <c r="C1506" s="42"/>
    </row>
    <row r="1507" spans="1:3">
      <c r="A1507" s="41"/>
      <c r="B1507" s="41"/>
      <c r="C1507" s="42"/>
    </row>
    <row r="1508" spans="1:3">
      <c r="A1508" s="41"/>
      <c r="B1508" s="41"/>
      <c r="C1508" s="42"/>
    </row>
    <row r="1509" spans="1:3">
      <c r="A1509" s="41"/>
      <c r="B1509" s="41"/>
      <c r="C1509" s="42"/>
    </row>
    <row r="1510" spans="1:3">
      <c r="A1510" s="41"/>
      <c r="B1510" s="41"/>
      <c r="C1510" s="42"/>
    </row>
    <row r="1511" spans="1:3">
      <c r="A1511" s="41"/>
      <c r="B1511" s="41"/>
      <c r="C1511" s="42"/>
    </row>
    <row r="1512" spans="1:3">
      <c r="A1512" s="41"/>
      <c r="B1512" s="41"/>
      <c r="C1512" s="42"/>
    </row>
    <row r="1513" spans="1:3">
      <c r="A1513" s="41"/>
      <c r="B1513" s="41"/>
      <c r="C1513" s="42"/>
    </row>
    <row r="1514" spans="1:3">
      <c r="A1514" s="41"/>
      <c r="B1514" s="41"/>
      <c r="C1514" s="42"/>
    </row>
    <row r="1515" spans="1:3">
      <c r="A1515" s="41"/>
      <c r="B1515" s="41"/>
      <c r="C1515" s="42"/>
    </row>
    <row r="1516" spans="1:3">
      <c r="A1516" s="41"/>
      <c r="B1516" s="41"/>
      <c r="C1516" s="42"/>
    </row>
    <row r="1517" spans="1:3">
      <c r="A1517" s="41"/>
      <c r="B1517" s="41"/>
      <c r="C1517" s="42"/>
    </row>
    <row r="1518" spans="1:3">
      <c r="A1518" s="41"/>
      <c r="B1518" s="41"/>
      <c r="C1518" s="42"/>
    </row>
    <row r="1519" spans="1:3">
      <c r="A1519" s="41"/>
      <c r="B1519" s="41"/>
      <c r="C1519" s="42"/>
    </row>
    <row r="1520" spans="1:3">
      <c r="A1520" s="41"/>
      <c r="B1520" s="41"/>
      <c r="C1520" s="42"/>
    </row>
    <row r="1521" spans="1:3">
      <c r="A1521" s="41"/>
      <c r="B1521" s="41"/>
      <c r="C1521" s="42"/>
    </row>
    <row r="1522" spans="1:3">
      <c r="A1522" s="41"/>
      <c r="B1522" s="41"/>
      <c r="C1522" s="42"/>
    </row>
    <row r="1523" spans="1:3">
      <c r="A1523" s="41"/>
      <c r="B1523" s="41"/>
      <c r="C1523" s="42"/>
    </row>
    <row r="1524" spans="1:3">
      <c r="A1524" s="41"/>
      <c r="B1524" s="41"/>
      <c r="C1524" s="42"/>
    </row>
    <row r="1525" spans="1:3">
      <c r="A1525" s="41"/>
      <c r="B1525" s="41"/>
      <c r="C1525" s="42"/>
    </row>
    <row r="1526" spans="1:3">
      <c r="A1526" s="41"/>
      <c r="B1526" s="41"/>
      <c r="C1526" s="42"/>
    </row>
    <row r="1527" spans="1:3">
      <c r="A1527" s="41"/>
      <c r="B1527" s="41"/>
      <c r="C1527" s="42"/>
    </row>
    <row r="1528" spans="1:3">
      <c r="A1528" s="41"/>
      <c r="B1528" s="41"/>
      <c r="C1528" s="42"/>
    </row>
    <row r="1529" spans="1:3">
      <c r="A1529" s="41"/>
      <c r="B1529" s="41"/>
      <c r="C1529" s="42"/>
    </row>
    <row r="1530" spans="1:3">
      <c r="A1530" s="41"/>
      <c r="B1530" s="41"/>
      <c r="C1530" s="42"/>
    </row>
    <row r="1531" spans="1:3">
      <c r="A1531" s="41"/>
      <c r="B1531" s="41"/>
      <c r="C1531" s="42"/>
    </row>
    <row r="1532" spans="1:3">
      <c r="A1532" s="41"/>
      <c r="B1532" s="41"/>
      <c r="C1532" s="42"/>
    </row>
    <row r="1533" spans="1:3">
      <c r="A1533" s="41"/>
      <c r="B1533" s="41"/>
      <c r="C1533" s="42"/>
    </row>
    <row r="1534" spans="1:3">
      <c r="A1534" s="41"/>
      <c r="B1534" s="41"/>
      <c r="C1534" s="42"/>
    </row>
    <row r="1535" spans="1:3">
      <c r="A1535" s="41"/>
      <c r="B1535" s="41"/>
      <c r="C1535" s="42"/>
    </row>
    <row r="1536" spans="1:3">
      <c r="A1536" s="41"/>
      <c r="B1536" s="41"/>
      <c r="C1536" s="42"/>
    </row>
    <row r="1537" spans="1:3">
      <c r="A1537" s="41"/>
      <c r="B1537" s="41"/>
      <c r="C1537" s="42"/>
    </row>
    <row r="1538" spans="1:3">
      <c r="A1538" s="41"/>
      <c r="B1538" s="41"/>
      <c r="C1538" s="42"/>
    </row>
    <row r="1539" spans="1:3">
      <c r="A1539" s="41"/>
      <c r="B1539" s="41"/>
      <c r="C1539" s="42"/>
    </row>
    <row r="1540" spans="1:3">
      <c r="A1540" s="41"/>
      <c r="B1540" s="41"/>
      <c r="C1540" s="42"/>
    </row>
    <row r="1541" spans="1:3">
      <c r="A1541" s="41"/>
      <c r="B1541" s="41"/>
      <c r="C1541" s="42"/>
    </row>
    <row r="1542" spans="1:3">
      <c r="A1542" s="41"/>
      <c r="B1542" s="41"/>
      <c r="C1542" s="42"/>
    </row>
    <row r="1543" spans="1:3">
      <c r="A1543" s="41"/>
      <c r="B1543" s="41"/>
      <c r="C1543" s="42"/>
    </row>
    <row r="1544" spans="1:3">
      <c r="A1544" s="41"/>
      <c r="B1544" s="41"/>
      <c r="C1544" s="42"/>
    </row>
    <row r="1545" spans="1:3">
      <c r="A1545" s="41"/>
      <c r="B1545" s="41"/>
      <c r="C1545" s="42"/>
    </row>
    <row r="1546" spans="1:3">
      <c r="A1546" s="41"/>
      <c r="B1546" s="41"/>
      <c r="C1546" s="42"/>
    </row>
    <row r="1547" spans="1:3">
      <c r="A1547" s="41"/>
      <c r="B1547" s="41"/>
      <c r="C1547" s="42"/>
    </row>
    <row r="1548" spans="1:3">
      <c r="A1548" s="41"/>
      <c r="B1548" s="41"/>
      <c r="C1548" s="42"/>
    </row>
    <row r="1549" spans="1:3">
      <c r="A1549" s="41"/>
      <c r="B1549" s="41"/>
      <c r="C1549" s="42"/>
    </row>
    <row r="1550" spans="1:3">
      <c r="A1550" s="41"/>
      <c r="B1550" s="41"/>
      <c r="C1550" s="42"/>
    </row>
    <row r="1551" spans="1:3">
      <c r="A1551" s="41"/>
      <c r="B1551" s="41"/>
      <c r="C1551" s="42"/>
    </row>
    <row r="1552" spans="1:3">
      <c r="A1552" s="41"/>
      <c r="B1552" s="41"/>
      <c r="C1552" s="42"/>
    </row>
    <row r="1553" spans="1:3">
      <c r="A1553" s="41"/>
      <c r="B1553" s="41"/>
      <c r="C1553" s="42"/>
    </row>
    <row r="1554" spans="1:3">
      <c r="A1554" s="41"/>
      <c r="B1554" s="41"/>
      <c r="C1554" s="42"/>
    </row>
    <row r="1555" spans="1:3">
      <c r="A1555" s="41"/>
      <c r="B1555" s="41"/>
      <c r="C1555" s="42"/>
    </row>
    <row r="1556" spans="1:3">
      <c r="A1556" s="41"/>
      <c r="B1556" s="41"/>
      <c r="C1556" s="42"/>
    </row>
    <row r="1557" spans="1:3">
      <c r="A1557" s="41"/>
      <c r="B1557" s="41"/>
      <c r="C1557" s="42"/>
    </row>
    <row r="1558" spans="1:3">
      <c r="A1558" s="41"/>
      <c r="B1558" s="41"/>
      <c r="C1558" s="42"/>
    </row>
    <row r="1559" spans="1:3">
      <c r="A1559" s="41"/>
      <c r="B1559" s="41"/>
      <c r="C1559" s="42"/>
    </row>
    <row r="1560" spans="1:3">
      <c r="A1560" s="41"/>
      <c r="B1560" s="41"/>
      <c r="C1560" s="42"/>
    </row>
    <row r="1561" spans="1:3">
      <c r="A1561" s="41"/>
      <c r="B1561" s="41"/>
      <c r="C1561" s="42"/>
    </row>
    <row r="1562" spans="1:3">
      <c r="A1562" s="41"/>
      <c r="B1562" s="41"/>
      <c r="C1562" s="42"/>
    </row>
    <row r="1563" spans="1:3">
      <c r="A1563" s="41"/>
      <c r="B1563" s="41"/>
      <c r="C1563" s="42"/>
    </row>
    <row r="1564" spans="1:3">
      <c r="A1564" s="41"/>
      <c r="B1564" s="41"/>
      <c r="C1564" s="42"/>
    </row>
    <row r="1565" spans="1:3">
      <c r="A1565" s="41"/>
      <c r="B1565" s="41"/>
      <c r="C1565" s="42"/>
    </row>
    <row r="1566" spans="1:3">
      <c r="A1566" s="41"/>
      <c r="B1566" s="41"/>
      <c r="C1566" s="42"/>
    </row>
    <row r="1567" spans="1:3">
      <c r="A1567" s="41"/>
      <c r="B1567" s="41"/>
      <c r="C1567" s="42"/>
    </row>
    <row r="1568" spans="1:3">
      <c r="A1568" s="41"/>
      <c r="B1568" s="41"/>
      <c r="C1568" s="42"/>
    </row>
    <row r="1569" spans="1:3">
      <c r="A1569" s="41"/>
      <c r="B1569" s="41"/>
      <c r="C1569" s="42"/>
    </row>
    <row r="1570" spans="1:3">
      <c r="A1570" s="41"/>
      <c r="B1570" s="41"/>
      <c r="C1570" s="42"/>
    </row>
    <row r="1571" spans="1:3">
      <c r="A1571" s="41"/>
      <c r="B1571" s="41"/>
      <c r="C1571" s="42"/>
    </row>
    <row r="1572" spans="1:3">
      <c r="A1572" s="41"/>
      <c r="B1572" s="41"/>
      <c r="C1572" s="42"/>
    </row>
    <row r="1573" spans="1:3">
      <c r="A1573" s="41"/>
      <c r="B1573" s="41"/>
      <c r="C1573" s="42"/>
    </row>
    <row r="1574" spans="1:3">
      <c r="A1574" s="41"/>
      <c r="B1574" s="41"/>
      <c r="C1574" s="42"/>
    </row>
    <row r="1575" spans="1:3">
      <c r="A1575" s="41"/>
      <c r="B1575" s="41"/>
      <c r="C1575" s="42"/>
    </row>
    <row r="1576" spans="1:3">
      <c r="A1576" s="41"/>
      <c r="B1576" s="41"/>
      <c r="C1576" s="42"/>
    </row>
    <row r="1577" spans="1:3">
      <c r="A1577" s="41"/>
      <c r="B1577" s="41"/>
      <c r="C1577" s="42"/>
    </row>
    <row r="1578" spans="1:3">
      <c r="A1578" s="41"/>
      <c r="B1578" s="41"/>
      <c r="C1578" s="42"/>
    </row>
    <row r="1579" spans="1:3">
      <c r="A1579" s="41"/>
      <c r="B1579" s="41"/>
      <c r="C1579" s="42"/>
    </row>
    <row r="1580" spans="1:3">
      <c r="A1580" s="41"/>
      <c r="B1580" s="41"/>
      <c r="C1580" s="42"/>
    </row>
    <row r="1581" spans="1:3">
      <c r="A1581" s="41"/>
      <c r="B1581" s="41"/>
      <c r="C1581" s="42"/>
    </row>
    <row r="1582" spans="1:3">
      <c r="A1582" s="41"/>
      <c r="B1582" s="41"/>
      <c r="C1582" s="42"/>
    </row>
    <row r="1583" spans="1:3">
      <c r="A1583" s="41"/>
      <c r="B1583" s="41"/>
      <c r="C1583" s="42"/>
    </row>
    <row r="1584" spans="1:3">
      <c r="A1584" s="41"/>
      <c r="B1584" s="41"/>
      <c r="C1584" s="42"/>
    </row>
    <row r="1585" spans="1:3">
      <c r="A1585" s="41"/>
      <c r="B1585" s="41"/>
      <c r="C1585" s="42"/>
    </row>
    <row r="1586" spans="1:3">
      <c r="A1586" s="41"/>
      <c r="B1586" s="41"/>
      <c r="C1586" s="42"/>
    </row>
    <row r="1587" spans="1:3">
      <c r="A1587" s="41"/>
      <c r="B1587" s="41"/>
      <c r="C1587" s="42"/>
    </row>
    <row r="1588" spans="1:3">
      <c r="A1588" s="41"/>
      <c r="B1588" s="41"/>
      <c r="C1588" s="42"/>
    </row>
    <row r="1589" spans="1:3">
      <c r="A1589" s="41"/>
      <c r="B1589" s="41"/>
      <c r="C1589" s="42"/>
    </row>
    <row r="1590" spans="1:3">
      <c r="A1590" s="41"/>
      <c r="B1590" s="41"/>
      <c r="C1590" s="42"/>
    </row>
    <row r="1591" spans="1:3">
      <c r="A1591" s="41"/>
      <c r="B1591" s="41"/>
      <c r="C1591" s="42"/>
    </row>
    <row r="1592" spans="1:3">
      <c r="A1592" s="41"/>
      <c r="B1592" s="41"/>
      <c r="C1592" s="42"/>
    </row>
    <row r="1593" spans="1:3">
      <c r="A1593" s="41"/>
      <c r="B1593" s="41"/>
      <c r="C1593" s="42"/>
    </row>
    <row r="1594" spans="1:3">
      <c r="A1594" s="41"/>
      <c r="B1594" s="41"/>
      <c r="C1594" s="42"/>
    </row>
    <row r="1595" spans="1:3">
      <c r="A1595" s="41"/>
      <c r="B1595" s="41"/>
      <c r="C1595" s="42"/>
    </row>
    <row r="1596" spans="1:3">
      <c r="A1596" s="41"/>
      <c r="B1596" s="41"/>
      <c r="C1596" s="42"/>
    </row>
    <row r="1597" spans="1:3">
      <c r="A1597" s="41"/>
      <c r="B1597" s="41"/>
      <c r="C1597" s="42"/>
    </row>
    <row r="1598" spans="1:3">
      <c r="A1598" s="41"/>
      <c r="B1598" s="41"/>
      <c r="C1598" s="42"/>
    </row>
    <row r="1599" spans="1:3">
      <c r="A1599" s="41"/>
      <c r="B1599" s="41"/>
      <c r="C1599" s="42"/>
    </row>
    <row r="1600" spans="1:3">
      <c r="A1600" s="41"/>
      <c r="B1600" s="41"/>
      <c r="C1600" s="42"/>
    </row>
    <row r="1601" spans="1:3">
      <c r="A1601" s="41"/>
      <c r="B1601" s="41"/>
      <c r="C1601" s="42"/>
    </row>
    <row r="1602" spans="1:3">
      <c r="A1602" s="41"/>
      <c r="B1602" s="41"/>
      <c r="C1602" s="42"/>
    </row>
    <row r="1603" spans="1:3">
      <c r="A1603" s="41"/>
      <c r="B1603" s="41"/>
      <c r="C1603" s="42"/>
    </row>
    <row r="1604" spans="1:3">
      <c r="A1604" s="41"/>
      <c r="B1604" s="41"/>
      <c r="C1604" s="42"/>
    </row>
    <row r="1605" spans="1:3">
      <c r="A1605" s="41"/>
      <c r="B1605" s="41"/>
      <c r="C1605" s="42"/>
    </row>
    <row r="1606" spans="1:3">
      <c r="A1606" s="41"/>
      <c r="B1606" s="41"/>
      <c r="C1606" s="42"/>
    </row>
    <row r="1607" spans="1:3">
      <c r="A1607" s="41"/>
      <c r="B1607" s="41"/>
      <c r="C1607" s="42"/>
    </row>
    <row r="1608" spans="1:3">
      <c r="A1608" s="41"/>
      <c r="B1608" s="41"/>
      <c r="C1608" s="42"/>
    </row>
    <row r="1609" spans="1:3">
      <c r="A1609" s="41"/>
      <c r="B1609" s="41"/>
      <c r="C1609" s="42"/>
    </row>
    <row r="1610" spans="1:3">
      <c r="A1610" s="41"/>
      <c r="B1610" s="41"/>
      <c r="C1610" s="42"/>
    </row>
    <row r="1611" spans="1:3">
      <c r="A1611" s="41"/>
      <c r="B1611" s="41"/>
      <c r="C1611" s="42"/>
    </row>
    <row r="1612" spans="1:3">
      <c r="A1612" s="41"/>
      <c r="B1612" s="41"/>
      <c r="C1612" s="42"/>
    </row>
    <row r="1613" spans="1:3">
      <c r="A1613" s="41"/>
      <c r="B1613" s="41"/>
      <c r="C1613" s="42"/>
    </row>
    <row r="1614" spans="1:3">
      <c r="A1614" s="41"/>
      <c r="B1614" s="41"/>
      <c r="C1614" s="42"/>
    </row>
    <row r="1615" spans="1:3">
      <c r="A1615" s="41"/>
      <c r="B1615" s="41"/>
      <c r="C1615" s="42"/>
    </row>
    <row r="1616" spans="1:3">
      <c r="A1616" s="41"/>
      <c r="B1616" s="41"/>
      <c r="C1616" s="42"/>
    </row>
    <row r="1617" spans="1:3">
      <c r="A1617" s="41"/>
      <c r="B1617" s="41"/>
      <c r="C1617" s="42"/>
    </row>
    <row r="1618" spans="1:3">
      <c r="A1618" s="41"/>
      <c r="B1618" s="41"/>
      <c r="C1618" s="42"/>
    </row>
    <row r="1619" spans="1:3">
      <c r="A1619" s="41"/>
      <c r="B1619" s="41"/>
      <c r="C1619" s="42"/>
    </row>
    <row r="1620" spans="1:3">
      <c r="A1620" s="41"/>
      <c r="B1620" s="41"/>
      <c r="C1620" s="42"/>
    </row>
    <row r="1621" spans="1:3">
      <c r="A1621" s="41"/>
      <c r="B1621" s="41"/>
      <c r="C1621" s="42"/>
    </row>
    <row r="1622" spans="1:3">
      <c r="A1622" s="41"/>
      <c r="B1622" s="41"/>
      <c r="C1622" s="42"/>
    </row>
    <row r="1623" spans="1:3">
      <c r="A1623" s="41"/>
      <c r="B1623" s="41"/>
      <c r="C1623" s="42"/>
    </row>
    <row r="1624" spans="1:3">
      <c r="A1624" s="41"/>
      <c r="B1624" s="41"/>
      <c r="C1624" s="42"/>
    </row>
    <row r="1625" spans="1:3">
      <c r="A1625" s="41"/>
      <c r="B1625" s="41"/>
      <c r="C1625" s="42"/>
    </row>
    <row r="1626" spans="1:3">
      <c r="A1626" s="41"/>
      <c r="B1626" s="41"/>
      <c r="C1626" s="42"/>
    </row>
    <row r="1627" spans="1:3">
      <c r="A1627" s="41"/>
      <c r="B1627" s="41"/>
      <c r="C1627" s="42"/>
    </row>
    <row r="1628" spans="1:3">
      <c r="A1628" s="41"/>
      <c r="B1628" s="41"/>
      <c r="C1628" s="42"/>
    </row>
    <row r="1629" spans="1:3">
      <c r="A1629" s="41"/>
      <c r="B1629" s="41"/>
      <c r="C1629" s="42"/>
    </row>
    <row r="1630" spans="1:3">
      <c r="A1630" s="41"/>
      <c r="B1630" s="41"/>
      <c r="C1630" s="42"/>
    </row>
    <row r="1631" spans="1:3">
      <c r="A1631" s="41"/>
      <c r="B1631" s="41"/>
      <c r="C1631" s="42"/>
    </row>
    <row r="1632" spans="1:3">
      <c r="A1632" s="41"/>
      <c r="B1632" s="41"/>
      <c r="C1632" s="42"/>
    </row>
    <row r="1633" spans="1:3">
      <c r="A1633" s="41"/>
      <c r="B1633" s="41"/>
      <c r="C1633" s="42"/>
    </row>
    <row r="1634" spans="1:3">
      <c r="A1634" s="41"/>
      <c r="B1634" s="41"/>
      <c r="C1634" s="42"/>
    </row>
    <row r="1635" spans="1:3">
      <c r="A1635" s="41"/>
      <c r="B1635" s="41"/>
      <c r="C1635" s="42"/>
    </row>
    <row r="1636" spans="1:3">
      <c r="A1636" s="41"/>
      <c r="B1636" s="41"/>
      <c r="C1636" s="42"/>
    </row>
    <row r="1637" spans="1:3">
      <c r="A1637" s="41"/>
      <c r="B1637" s="41"/>
      <c r="C1637" s="42"/>
    </row>
    <row r="1638" spans="1:3">
      <c r="A1638" s="41"/>
      <c r="B1638" s="41"/>
      <c r="C1638" s="42"/>
    </row>
    <row r="1639" spans="1:3">
      <c r="A1639" s="41"/>
      <c r="B1639" s="41"/>
      <c r="C1639" s="42"/>
    </row>
    <row r="1640" spans="1:3">
      <c r="A1640" s="41"/>
      <c r="B1640" s="41"/>
      <c r="C1640" s="42"/>
    </row>
    <row r="1641" spans="1:3">
      <c r="A1641" s="41"/>
      <c r="B1641" s="41"/>
      <c r="C1641" s="42"/>
    </row>
    <row r="1642" spans="1:3">
      <c r="A1642" s="41"/>
      <c r="B1642" s="41"/>
      <c r="C1642" s="42"/>
    </row>
    <row r="1643" spans="1:3">
      <c r="A1643" s="41"/>
      <c r="B1643" s="41"/>
      <c r="C1643" s="42"/>
    </row>
    <row r="1644" spans="1:3">
      <c r="A1644" s="41"/>
      <c r="B1644" s="41"/>
      <c r="C1644" s="42"/>
    </row>
    <row r="1645" spans="1:3">
      <c r="A1645" s="41"/>
      <c r="B1645" s="41"/>
      <c r="C1645" s="42"/>
    </row>
    <row r="1646" spans="1:3">
      <c r="A1646" s="41"/>
      <c r="B1646" s="41"/>
      <c r="C1646" s="42"/>
    </row>
    <row r="1647" spans="1:3">
      <c r="A1647" s="41"/>
      <c r="B1647" s="41"/>
      <c r="C1647" s="42"/>
    </row>
    <row r="1648" spans="1:3">
      <c r="A1648" s="41"/>
      <c r="B1648" s="41"/>
      <c r="C1648" s="42"/>
    </row>
    <row r="1649" spans="1:3">
      <c r="A1649" s="41"/>
      <c r="B1649" s="41"/>
      <c r="C1649" s="42"/>
    </row>
    <row r="1650" spans="1:3">
      <c r="A1650" s="41"/>
      <c r="B1650" s="41"/>
      <c r="C1650" s="42"/>
    </row>
    <row r="1651" spans="1:3">
      <c r="A1651" s="41"/>
      <c r="B1651" s="41"/>
      <c r="C1651" s="42"/>
    </row>
    <row r="1652" spans="1:3">
      <c r="A1652" s="41"/>
      <c r="B1652" s="41"/>
      <c r="C1652" s="42"/>
    </row>
    <row r="1653" spans="1:3">
      <c r="A1653" s="41"/>
      <c r="B1653" s="41"/>
      <c r="C1653" s="42"/>
    </row>
    <row r="1654" spans="1:3">
      <c r="A1654" s="41"/>
      <c r="B1654" s="41"/>
      <c r="C1654" s="42"/>
    </row>
    <row r="1655" spans="1:3">
      <c r="A1655" s="41"/>
      <c r="B1655" s="41"/>
      <c r="C1655" s="42"/>
    </row>
    <row r="1656" spans="1:3">
      <c r="A1656" s="41"/>
      <c r="B1656" s="41"/>
      <c r="C1656" s="42"/>
    </row>
    <row r="1657" spans="1:3">
      <c r="A1657" s="41"/>
      <c r="B1657" s="41"/>
      <c r="C1657" s="42"/>
    </row>
    <row r="1658" spans="1:3">
      <c r="A1658" s="41"/>
      <c r="B1658" s="41"/>
      <c r="C1658" s="42"/>
    </row>
    <row r="1659" spans="1:3">
      <c r="A1659" s="41"/>
      <c r="B1659" s="41"/>
      <c r="C1659" s="42"/>
    </row>
    <row r="1660" spans="1:3">
      <c r="A1660" s="41"/>
      <c r="B1660" s="41"/>
      <c r="C1660" s="42"/>
    </row>
    <row r="1661" spans="1:3">
      <c r="A1661" s="41"/>
      <c r="B1661" s="41"/>
      <c r="C1661" s="42"/>
    </row>
    <row r="1662" spans="1:3">
      <c r="A1662" s="41"/>
      <c r="B1662" s="41"/>
      <c r="C1662" s="42"/>
    </row>
    <row r="1663" spans="1:3">
      <c r="A1663" s="41"/>
      <c r="B1663" s="41"/>
      <c r="C1663" s="42"/>
    </row>
    <row r="1664" spans="1:3">
      <c r="A1664" s="41"/>
      <c r="B1664" s="41"/>
      <c r="C1664" s="42"/>
    </row>
    <row r="1665" spans="1:3">
      <c r="A1665" s="41"/>
      <c r="B1665" s="41"/>
      <c r="C1665" s="42"/>
    </row>
    <row r="1666" spans="1:3">
      <c r="A1666" s="41"/>
      <c r="B1666" s="41"/>
      <c r="C1666" s="42"/>
    </row>
    <row r="1667" spans="1:3">
      <c r="A1667" s="41"/>
      <c r="B1667" s="41"/>
      <c r="C1667" s="42"/>
    </row>
    <row r="1668" spans="1:3">
      <c r="A1668" s="41"/>
      <c r="B1668" s="41"/>
      <c r="C1668" s="42"/>
    </row>
    <row r="1669" spans="1:3">
      <c r="A1669" s="41"/>
      <c r="B1669" s="41"/>
      <c r="C1669" s="42"/>
    </row>
    <row r="1670" spans="1:3">
      <c r="A1670" s="41"/>
      <c r="B1670" s="41"/>
      <c r="C1670" s="42"/>
    </row>
    <row r="1671" spans="1:3">
      <c r="A1671" s="41"/>
      <c r="B1671" s="41"/>
      <c r="C1671" s="42"/>
    </row>
    <row r="1672" spans="1:3">
      <c r="A1672" s="41"/>
      <c r="B1672" s="41"/>
      <c r="C1672" s="42"/>
    </row>
    <row r="1673" spans="1:3">
      <c r="A1673" s="41"/>
      <c r="B1673" s="41"/>
      <c r="C1673" s="42"/>
    </row>
    <row r="1674" spans="1:3">
      <c r="A1674" s="41"/>
      <c r="B1674" s="41"/>
      <c r="C1674" s="42"/>
    </row>
    <row r="1675" spans="1:3">
      <c r="A1675" s="41"/>
      <c r="B1675" s="41"/>
      <c r="C1675" s="42"/>
    </row>
    <row r="1676" spans="1:3">
      <c r="A1676" s="41"/>
      <c r="B1676" s="41"/>
      <c r="C1676" s="42"/>
    </row>
    <row r="1677" spans="1:3">
      <c r="A1677" s="41"/>
      <c r="B1677" s="41"/>
      <c r="C1677" s="42"/>
    </row>
    <row r="1678" spans="1:3">
      <c r="A1678" s="41"/>
      <c r="B1678" s="41"/>
      <c r="C1678" s="42"/>
    </row>
    <row r="1679" spans="1:3">
      <c r="A1679" s="41"/>
      <c r="B1679" s="41"/>
      <c r="C1679" s="42"/>
    </row>
    <row r="1680" spans="1:3">
      <c r="A1680" s="41"/>
      <c r="B1680" s="41"/>
      <c r="C1680" s="42"/>
    </row>
    <row r="1681" spans="1:3">
      <c r="A1681" s="41"/>
      <c r="B1681" s="41"/>
      <c r="C1681" s="42"/>
    </row>
    <row r="1682" spans="1:3">
      <c r="A1682" s="41"/>
      <c r="B1682" s="41"/>
      <c r="C1682" s="42"/>
    </row>
    <row r="1683" spans="1:3">
      <c r="A1683" s="41"/>
      <c r="B1683" s="41"/>
      <c r="C1683" s="42"/>
    </row>
    <row r="1684" spans="1:3">
      <c r="A1684" s="41"/>
      <c r="B1684" s="41"/>
      <c r="C1684" s="42"/>
    </row>
    <row r="1685" spans="1:3">
      <c r="A1685" s="41"/>
      <c r="B1685" s="41"/>
      <c r="C1685" s="42"/>
    </row>
    <row r="1686" spans="1:3">
      <c r="A1686" s="41"/>
      <c r="B1686" s="41"/>
      <c r="C1686" s="42"/>
    </row>
    <row r="1687" spans="1:3">
      <c r="A1687" s="41"/>
      <c r="B1687" s="41"/>
      <c r="C1687" s="42"/>
    </row>
    <row r="1688" spans="1:3">
      <c r="A1688" s="41"/>
      <c r="B1688" s="41"/>
      <c r="C1688" s="42"/>
    </row>
    <row r="1689" spans="1:3">
      <c r="A1689" s="41"/>
      <c r="B1689" s="41"/>
      <c r="C1689" s="42"/>
    </row>
    <row r="1690" spans="1:3">
      <c r="A1690" s="41"/>
      <c r="B1690" s="41"/>
      <c r="C1690" s="42"/>
    </row>
    <row r="1691" spans="1:3">
      <c r="A1691" s="41"/>
      <c r="B1691" s="41"/>
      <c r="C1691" s="42"/>
    </row>
    <row r="1692" spans="1:3">
      <c r="A1692" s="41"/>
      <c r="B1692" s="41"/>
      <c r="C1692" s="42"/>
    </row>
    <row r="1693" spans="1:3">
      <c r="A1693" s="41"/>
      <c r="B1693" s="41"/>
      <c r="C1693" s="42"/>
    </row>
    <row r="1694" spans="1:3">
      <c r="A1694" s="41"/>
      <c r="B1694" s="41"/>
      <c r="C1694" s="42"/>
    </row>
    <row r="1695" spans="1:3">
      <c r="A1695" s="41"/>
      <c r="B1695" s="41"/>
      <c r="C1695" s="42"/>
    </row>
    <row r="1696" spans="1:3">
      <c r="A1696" s="41"/>
      <c r="B1696" s="41"/>
      <c r="C1696" s="42"/>
    </row>
    <row r="1697" spans="1:3">
      <c r="A1697" s="41"/>
      <c r="B1697" s="41"/>
      <c r="C1697" s="42"/>
    </row>
    <row r="1698" spans="1:3">
      <c r="A1698" s="41"/>
      <c r="B1698" s="41"/>
      <c r="C1698" s="42"/>
    </row>
    <row r="1699" spans="1:3">
      <c r="A1699" s="41"/>
      <c r="B1699" s="41"/>
      <c r="C1699" s="42"/>
    </row>
    <row r="1700" spans="1:3">
      <c r="A1700" s="41"/>
      <c r="B1700" s="41"/>
      <c r="C1700" s="42"/>
    </row>
    <row r="1701" spans="1:3">
      <c r="A1701" s="41"/>
      <c r="B1701" s="41"/>
      <c r="C1701" s="42"/>
    </row>
    <row r="1702" spans="1:3">
      <c r="A1702" s="41"/>
      <c r="B1702" s="41"/>
      <c r="C1702" s="42"/>
    </row>
    <row r="1703" spans="1:3">
      <c r="A1703" s="41"/>
      <c r="B1703" s="41"/>
      <c r="C1703" s="42"/>
    </row>
    <row r="1704" spans="1:3">
      <c r="A1704" s="41"/>
      <c r="B1704" s="41"/>
      <c r="C1704" s="42"/>
    </row>
    <row r="1705" spans="1:3">
      <c r="A1705" s="41"/>
      <c r="B1705" s="41"/>
      <c r="C1705" s="42"/>
    </row>
    <row r="1706" spans="1:3">
      <c r="A1706" s="41"/>
      <c r="B1706" s="41"/>
      <c r="C1706" s="42"/>
    </row>
    <row r="1707" spans="1:3">
      <c r="A1707" s="41"/>
      <c r="B1707" s="41"/>
      <c r="C1707" s="42"/>
    </row>
    <row r="1708" spans="1:3">
      <c r="A1708" s="41"/>
      <c r="B1708" s="41"/>
      <c r="C1708" s="42"/>
    </row>
    <row r="1709" spans="1:3">
      <c r="A1709" s="41"/>
      <c r="B1709" s="41"/>
      <c r="C1709" s="42"/>
    </row>
    <row r="1710" spans="1:3">
      <c r="A1710" s="41"/>
      <c r="B1710" s="41"/>
      <c r="C1710" s="42"/>
    </row>
    <row r="1711" spans="1:3">
      <c r="A1711" s="41"/>
      <c r="B1711" s="41"/>
      <c r="C1711" s="42"/>
    </row>
    <row r="1712" spans="1:3">
      <c r="A1712" s="41"/>
      <c r="B1712" s="41"/>
      <c r="C1712" s="42"/>
    </row>
    <row r="1713" spans="1:3">
      <c r="A1713" s="41"/>
      <c r="B1713" s="41"/>
      <c r="C1713" s="42"/>
    </row>
    <row r="1714" spans="1:3">
      <c r="A1714" s="41"/>
      <c r="B1714" s="41"/>
      <c r="C1714" s="42"/>
    </row>
    <row r="1715" spans="1:3">
      <c r="A1715" s="41"/>
      <c r="B1715" s="41"/>
      <c r="C1715" s="42"/>
    </row>
    <row r="1716" spans="1:3">
      <c r="A1716" s="41"/>
      <c r="B1716" s="41"/>
      <c r="C1716" s="42"/>
    </row>
    <row r="1717" spans="1:3">
      <c r="A1717" s="41"/>
      <c r="B1717" s="41"/>
      <c r="C1717" s="42"/>
    </row>
    <row r="1718" spans="1:3">
      <c r="A1718" s="41"/>
      <c r="B1718" s="41"/>
      <c r="C1718" s="42"/>
    </row>
    <row r="1719" spans="1:3">
      <c r="A1719" s="41"/>
      <c r="B1719" s="41"/>
      <c r="C1719" s="42"/>
    </row>
    <row r="1720" spans="1:3">
      <c r="A1720" s="41"/>
      <c r="B1720" s="41"/>
      <c r="C1720" s="42"/>
    </row>
    <row r="1721" spans="1:3">
      <c r="A1721" s="41"/>
      <c r="B1721" s="41"/>
      <c r="C1721" s="42"/>
    </row>
    <row r="1722" spans="1:3">
      <c r="A1722" s="41"/>
      <c r="B1722" s="41"/>
      <c r="C1722" s="42"/>
    </row>
    <row r="1723" spans="1:3">
      <c r="A1723" s="41"/>
      <c r="B1723" s="41"/>
      <c r="C1723" s="42"/>
    </row>
    <row r="1724" spans="1:3">
      <c r="A1724" s="41"/>
      <c r="B1724" s="41"/>
      <c r="C1724" s="42"/>
    </row>
    <row r="1725" spans="1:3">
      <c r="A1725" s="41"/>
      <c r="B1725" s="41"/>
      <c r="C1725" s="42"/>
    </row>
    <row r="1726" spans="1:3">
      <c r="A1726" s="41"/>
      <c r="B1726" s="41"/>
      <c r="C1726" s="42"/>
    </row>
    <row r="1727" spans="1:3">
      <c r="A1727" s="41"/>
      <c r="B1727" s="41"/>
      <c r="C1727" s="42"/>
    </row>
    <row r="1728" spans="1:3">
      <c r="A1728" s="41"/>
      <c r="B1728" s="41"/>
      <c r="C1728" s="42"/>
    </row>
    <row r="1729" spans="1:3">
      <c r="A1729" s="41"/>
      <c r="B1729" s="41"/>
      <c r="C1729" s="42"/>
    </row>
    <row r="1730" spans="1:3">
      <c r="A1730" s="41"/>
      <c r="B1730" s="41"/>
      <c r="C1730" s="42"/>
    </row>
    <row r="1731" spans="1:3">
      <c r="A1731" s="41"/>
      <c r="B1731" s="41"/>
      <c r="C1731" s="42"/>
    </row>
    <row r="1732" spans="1:3">
      <c r="A1732" s="41"/>
      <c r="B1732" s="41"/>
      <c r="C1732" s="42"/>
    </row>
    <row r="1733" spans="1:3">
      <c r="A1733" s="41"/>
      <c r="B1733" s="41"/>
      <c r="C1733" s="42"/>
    </row>
    <row r="1734" spans="1:3">
      <c r="A1734" s="41"/>
      <c r="B1734" s="41"/>
      <c r="C1734" s="42"/>
    </row>
    <row r="1735" spans="1:3">
      <c r="A1735" s="41"/>
      <c r="B1735" s="41"/>
      <c r="C1735" s="42"/>
    </row>
    <row r="1736" spans="1:3">
      <c r="A1736" s="41"/>
      <c r="B1736" s="41"/>
      <c r="C1736" s="42"/>
    </row>
    <row r="1737" spans="1:3">
      <c r="A1737" s="41"/>
      <c r="B1737" s="41"/>
      <c r="C1737" s="42"/>
    </row>
    <row r="1738" spans="1:3">
      <c r="A1738" s="41"/>
      <c r="B1738" s="41"/>
      <c r="C1738" s="42"/>
    </row>
    <row r="1739" spans="1:3">
      <c r="A1739" s="41"/>
      <c r="B1739" s="41"/>
      <c r="C1739" s="42"/>
    </row>
    <row r="1740" spans="1:3">
      <c r="A1740" s="41"/>
      <c r="B1740" s="41"/>
      <c r="C1740" s="42"/>
    </row>
    <row r="1741" spans="1:3">
      <c r="A1741" s="41"/>
      <c r="B1741" s="41"/>
      <c r="C1741" s="42"/>
    </row>
    <row r="1742" spans="1:3">
      <c r="A1742" s="41"/>
      <c r="B1742" s="41"/>
      <c r="C1742" s="42"/>
    </row>
    <row r="1743" spans="1:3">
      <c r="A1743" s="41"/>
      <c r="B1743" s="41"/>
      <c r="C1743" s="42"/>
    </row>
    <row r="1744" spans="1:3">
      <c r="A1744" s="41"/>
      <c r="B1744" s="41"/>
      <c r="C1744" s="42"/>
    </row>
    <row r="1745" spans="1:3">
      <c r="A1745" s="41"/>
      <c r="B1745" s="41"/>
      <c r="C1745" s="42"/>
    </row>
    <row r="1746" spans="1:3">
      <c r="A1746" s="41"/>
      <c r="B1746" s="41"/>
      <c r="C1746" s="42"/>
    </row>
    <row r="1747" spans="1:3">
      <c r="A1747" s="41"/>
      <c r="B1747" s="41"/>
      <c r="C1747" s="42"/>
    </row>
    <row r="1748" spans="1:3">
      <c r="A1748" s="41"/>
      <c r="B1748" s="41"/>
      <c r="C1748" s="42"/>
    </row>
    <row r="1749" spans="1:3">
      <c r="A1749" s="41"/>
      <c r="B1749" s="41"/>
      <c r="C1749" s="42"/>
    </row>
    <row r="1750" spans="1:3">
      <c r="A1750" s="41"/>
      <c r="B1750" s="41"/>
      <c r="C1750" s="42"/>
    </row>
    <row r="1751" spans="1:3">
      <c r="A1751" s="41"/>
      <c r="B1751" s="41"/>
      <c r="C1751" s="42"/>
    </row>
    <row r="1752" spans="1:3">
      <c r="A1752" s="41"/>
      <c r="B1752" s="41"/>
      <c r="C1752" s="42"/>
    </row>
    <row r="1753" spans="1:3">
      <c r="A1753" s="41"/>
      <c r="B1753" s="41"/>
      <c r="C1753" s="42"/>
    </row>
    <row r="1754" spans="1:3">
      <c r="A1754" s="41"/>
      <c r="B1754" s="41"/>
      <c r="C1754" s="42"/>
    </row>
    <row r="1755" spans="1:3">
      <c r="A1755" s="41"/>
      <c r="B1755" s="41"/>
      <c r="C1755" s="42"/>
    </row>
    <row r="1756" spans="1:3">
      <c r="A1756" s="41"/>
      <c r="B1756" s="41"/>
      <c r="C1756" s="42"/>
    </row>
    <row r="1757" spans="1:3">
      <c r="A1757" s="41"/>
      <c r="B1757" s="41"/>
      <c r="C1757" s="42"/>
    </row>
    <row r="1758" spans="1:3">
      <c r="A1758" s="41"/>
      <c r="B1758" s="41"/>
      <c r="C1758" s="42"/>
    </row>
    <row r="1759" spans="1:3">
      <c r="A1759" s="41"/>
      <c r="B1759" s="41"/>
      <c r="C1759" s="42"/>
    </row>
    <row r="1760" spans="1:3">
      <c r="A1760" s="41"/>
      <c r="B1760" s="41"/>
      <c r="C1760" s="42"/>
    </row>
    <row r="1761" spans="1:3">
      <c r="A1761" s="41"/>
      <c r="B1761" s="41"/>
      <c r="C1761" s="42"/>
    </row>
    <row r="1762" spans="1:3">
      <c r="A1762" s="41"/>
      <c r="B1762" s="41"/>
      <c r="C1762" s="42"/>
    </row>
    <row r="1763" spans="1:3">
      <c r="A1763" s="41"/>
      <c r="B1763" s="41"/>
      <c r="C1763" s="42"/>
    </row>
    <row r="1764" spans="1:3">
      <c r="A1764" s="41"/>
      <c r="B1764" s="41"/>
      <c r="C1764" s="42"/>
    </row>
    <row r="1765" spans="1:3">
      <c r="A1765" s="41"/>
      <c r="B1765" s="41"/>
      <c r="C1765" s="42"/>
    </row>
    <row r="1766" spans="1:3">
      <c r="A1766" s="41"/>
      <c r="B1766" s="41"/>
      <c r="C1766" s="42"/>
    </row>
    <row r="1767" spans="1:3">
      <c r="A1767" s="41"/>
      <c r="B1767" s="41"/>
      <c r="C1767" s="42"/>
    </row>
    <row r="1768" spans="1:3">
      <c r="A1768" s="41"/>
      <c r="B1768" s="41"/>
      <c r="C1768" s="42"/>
    </row>
    <row r="1769" spans="1:3">
      <c r="A1769" s="41"/>
      <c r="B1769" s="41"/>
      <c r="C1769" s="42"/>
    </row>
    <row r="1770" spans="1:3">
      <c r="A1770" s="41"/>
      <c r="B1770" s="41"/>
      <c r="C1770" s="42"/>
    </row>
    <row r="1771" spans="1:3">
      <c r="A1771" s="41"/>
      <c r="B1771" s="41"/>
      <c r="C1771" s="42"/>
    </row>
    <row r="1772" spans="1:3">
      <c r="A1772" s="41"/>
      <c r="B1772" s="41"/>
      <c r="C1772" s="42"/>
    </row>
    <row r="1773" spans="1:3">
      <c r="A1773" s="41"/>
      <c r="B1773" s="41"/>
      <c r="C1773" s="42"/>
    </row>
    <row r="1774" spans="1:3">
      <c r="A1774" s="41"/>
      <c r="B1774" s="41"/>
      <c r="C1774" s="42"/>
    </row>
    <row r="1775" spans="1:3">
      <c r="A1775" s="41"/>
      <c r="B1775" s="41"/>
      <c r="C1775" s="42"/>
    </row>
    <row r="1776" spans="1:3">
      <c r="A1776" s="41"/>
      <c r="B1776" s="41"/>
      <c r="C1776" s="42"/>
    </row>
    <row r="1777" spans="1:3">
      <c r="A1777" s="41"/>
      <c r="B1777" s="41"/>
      <c r="C1777" s="42"/>
    </row>
    <row r="1778" spans="1:3">
      <c r="A1778" s="41"/>
      <c r="B1778" s="41"/>
      <c r="C1778" s="42"/>
    </row>
    <row r="1779" spans="1:3">
      <c r="A1779" s="41"/>
      <c r="B1779" s="41"/>
      <c r="C1779" s="42"/>
    </row>
    <row r="1780" spans="1:3">
      <c r="A1780" s="41"/>
      <c r="B1780" s="41"/>
      <c r="C1780" s="42"/>
    </row>
    <row r="1781" spans="1:3">
      <c r="A1781" s="41"/>
      <c r="B1781" s="41"/>
      <c r="C1781" s="42"/>
    </row>
    <row r="1782" spans="1:3">
      <c r="A1782" s="41"/>
      <c r="B1782" s="41"/>
      <c r="C1782" s="42"/>
    </row>
    <row r="1783" spans="1:3">
      <c r="A1783" s="41"/>
      <c r="B1783" s="41"/>
      <c r="C1783" s="42"/>
    </row>
    <row r="1784" spans="1:3">
      <c r="A1784" s="41"/>
      <c r="B1784" s="41"/>
      <c r="C1784" s="42"/>
    </row>
    <row r="1785" spans="1:3">
      <c r="A1785" s="41"/>
      <c r="B1785" s="41"/>
      <c r="C1785" s="42"/>
    </row>
    <row r="1786" spans="1:3">
      <c r="A1786" s="41"/>
      <c r="B1786" s="41"/>
      <c r="C1786" s="42"/>
    </row>
    <row r="1787" spans="1:3">
      <c r="A1787" s="41"/>
      <c r="B1787" s="41"/>
      <c r="C1787" s="42"/>
    </row>
    <row r="1788" spans="1:3">
      <c r="A1788" s="41"/>
      <c r="B1788" s="41"/>
      <c r="C1788" s="42"/>
    </row>
    <row r="1789" spans="1:3">
      <c r="A1789" s="41"/>
      <c r="B1789" s="41"/>
      <c r="C1789" s="42"/>
    </row>
    <row r="1790" spans="1:3">
      <c r="A1790" s="41"/>
      <c r="B1790" s="41"/>
      <c r="C1790" s="42"/>
    </row>
    <row r="1791" spans="1:3">
      <c r="A1791" s="41"/>
      <c r="B1791" s="41"/>
      <c r="C1791" s="42"/>
    </row>
    <row r="1792" spans="1:3">
      <c r="A1792" s="41"/>
      <c r="B1792" s="41"/>
      <c r="C1792" s="42"/>
    </row>
    <row r="1793" spans="1:3">
      <c r="A1793" s="41"/>
      <c r="B1793" s="41"/>
      <c r="C1793" s="42"/>
    </row>
    <row r="1794" spans="1:3">
      <c r="A1794" s="41"/>
      <c r="B1794" s="41"/>
      <c r="C1794" s="42"/>
    </row>
    <row r="1795" spans="1:3">
      <c r="A1795" s="41"/>
      <c r="B1795" s="41"/>
      <c r="C1795" s="42"/>
    </row>
    <row r="1796" spans="1:3">
      <c r="A1796" s="41"/>
      <c r="B1796" s="41"/>
      <c r="C1796" s="42"/>
    </row>
    <row r="1797" spans="1:3">
      <c r="A1797" s="41"/>
      <c r="B1797" s="41"/>
      <c r="C1797" s="42"/>
    </row>
    <row r="1798" spans="1:3">
      <c r="A1798" s="41"/>
      <c r="B1798" s="41"/>
      <c r="C1798" s="42"/>
    </row>
    <row r="1799" spans="1:3">
      <c r="A1799" s="41"/>
      <c r="B1799" s="41"/>
      <c r="C1799" s="42"/>
    </row>
    <row r="1800" spans="1:3">
      <c r="A1800" s="41"/>
      <c r="B1800" s="41"/>
      <c r="C1800" s="42"/>
    </row>
    <row r="1801" spans="1:3">
      <c r="A1801" s="41"/>
      <c r="B1801" s="41"/>
      <c r="C1801" s="42"/>
    </row>
    <row r="1802" spans="1:3">
      <c r="A1802" s="41"/>
      <c r="B1802" s="41"/>
      <c r="C1802" s="42"/>
    </row>
    <row r="1803" spans="1:3">
      <c r="A1803" s="41"/>
      <c r="B1803" s="41"/>
      <c r="C1803" s="42"/>
    </row>
    <row r="1804" spans="1:3">
      <c r="A1804" s="41"/>
      <c r="B1804" s="41"/>
      <c r="C1804" s="42"/>
    </row>
    <row r="1805" spans="1:3">
      <c r="A1805" s="41"/>
      <c r="B1805" s="41"/>
      <c r="C1805" s="42"/>
    </row>
    <row r="1806" spans="1:3">
      <c r="A1806" s="41"/>
      <c r="B1806" s="41"/>
      <c r="C1806" s="42"/>
    </row>
    <row r="1807" spans="1:3">
      <c r="A1807" s="41"/>
      <c r="B1807" s="41"/>
      <c r="C1807" s="42"/>
    </row>
    <row r="1808" spans="1:3">
      <c r="A1808" s="41"/>
      <c r="B1808" s="41"/>
      <c r="C1808" s="42"/>
    </row>
    <row r="1809" spans="1:3">
      <c r="A1809" s="41"/>
      <c r="B1809" s="41"/>
      <c r="C1809" s="42"/>
    </row>
    <row r="1810" spans="1:3">
      <c r="A1810" s="41"/>
      <c r="B1810" s="41"/>
      <c r="C1810" s="42"/>
    </row>
    <row r="1811" spans="1:3">
      <c r="A1811" s="41"/>
      <c r="B1811" s="41"/>
      <c r="C1811" s="42"/>
    </row>
    <row r="1812" spans="1:3">
      <c r="A1812" s="41"/>
      <c r="B1812" s="41"/>
      <c r="C1812" s="42"/>
    </row>
    <row r="1813" spans="1:3">
      <c r="A1813" s="41"/>
      <c r="B1813" s="41"/>
      <c r="C1813" s="42"/>
    </row>
    <row r="1814" spans="1:3">
      <c r="A1814" s="41"/>
      <c r="B1814" s="41"/>
      <c r="C1814" s="42"/>
    </row>
    <row r="1815" spans="1:3">
      <c r="A1815" s="41"/>
      <c r="B1815" s="41"/>
      <c r="C1815" s="42"/>
    </row>
    <row r="1816" spans="1:3">
      <c r="A1816" s="41"/>
      <c r="B1816" s="41"/>
      <c r="C1816" s="42"/>
    </row>
    <row r="1817" spans="1:3">
      <c r="A1817" s="41"/>
      <c r="B1817" s="41"/>
      <c r="C1817" s="42"/>
    </row>
    <row r="1818" spans="1:3">
      <c r="A1818" s="41"/>
      <c r="B1818" s="41"/>
      <c r="C1818" s="42"/>
    </row>
    <row r="1819" spans="1:3">
      <c r="A1819" s="41"/>
      <c r="B1819" s="41"/>
      <c r="C1819" s="42"/>
    </row>
    <row r="1820" spans="1:3">
      <c r="A1820" s="41"/>
      <c r="B1820" s="41"/>
      <c r="C1820" s="42"/>
    </row>
    <row r="1821" spans="1:3">
      <c r="A1821" s="41"/>
      <c r="B1821" s="41"/>
      <c r="C1821" s="42"/>
    </row>
    <row r="1822" spans="1:3">
      <c r="A1822" s="41"/>
      <c r="B1822" s="41"/>
      <c r="C1822" s="42"/>
    </row>
    <row r="1823" spans="1:3">
      <c r="A1823" s="41"/>
      <c r="B1823" s="41"/>
      <c r="C1823" s="42"/>
    </row>
    <row r="1824" spans="1:3">
      <c r="A1824" s="41"/>
      <c r="B1824" s="41"/>
      <c r="C1824" s="42"/>
    </row>
    <row r="1825" spans="1:3">
      <c r="A1825" s="41"/>
      <c r="B1825" s="41"/>
      <c r="C1825" s="42"/>
    </row>
    <row r="1826" spans="1:3">
      <c r="A1826" s="41"/>
      <c r="B1826" s="41"/>
      <c r="C1826" s="42"/>
    </row>
    <row r="1827" spans="1:3">
      <c r="A1827" s="41"/>
      <c r="B1827" s="41"/>
      <c r="C1827" s="42"/>
    </row>
    <row r="1828" spans="1:3">
      <c r="A1828" s="41"/>
      <c r="B1828" s="41"/>
      <c r="C1828" s="42"/>
    </row>
    <row r="1829" spans="1:3">
      <c r="A1829" s="41"/>
      <c r="B1829" s="41"/>
      <c r="C1829" s="42"/>
    </row>
    <row r="1830" spans="1:3">
      <c r="A1830" s="41"/>
      <c r="B1830" s="41"/>
      <c r="C1830" s="42"/>
    </row>
    <row r="1831" spans="1:3">
      <c r="A1831" s="41"/>
      <c r="B1831" s="41"/>
      <c r="C1831" s="42"/>
    </row>
    <row r="1832" spans="1:3">
      <c r="A1832" s="41"/>
      <c r="B1832" s="41"/>
      <c r="C1832" s="42"/>
    </row>
    <row r="1833" spans="1:3">
      <c r="A1833" s="41"/>
      <c r="B1833" s="41"/>
      <c r="C1833" s="42"/>
    </row>
    <row r="1834" spans="1:3">
      <c r="A1834" s="41"/>
      <c r="B1834" s="41"/>
      <c r="C1834" s="42"/>
    </row>
    <row r="1835" spans="1:3">
      <c r="A1835" s="41"/>
      <c r="B1835" s="41"/>
      <c r="C1835" s="42"/>
    </row>
    <row r="1836" spans="1:3">
      <c r="A1836" s="41"/>
      <c r="B1836" s="41"/>
      <c r="C1836" s="42"/>
    </row>
    <row r="1837" spans="1:3">
      <c r="A1837" s="41"/>
      <c r="B1837" s="41"/>
      <c r="C1837" s="42"/>
    </row>
    <row r="1838" spans="1:3">
      <c r="A1838" s="41"/>
      <c r="B1838" s="41"/>
      <c r="C1838" s="42"/>
    </row>
    <row r="1839" spans="1:3">
      <c r="A1839" s="41"/>
      <c r="B1839" s="41"/>
      <c r="C1839" s="42"/>
    </row>
    <row r="1840" spans="1:3">
      <c r="A1840" s="41"/>
      <c r="B1840" s="41"/>
      <c r="C1840" s="42"/>
    </row>
    <row r="1841" spans="1:3">
      <c r="A1841" s="41"/>
      <c r="B1841" s="41"/>
      <c r="C1841" s="42"/>
    </row>
    <row r="1842" spans="1:3">
      <c r="A1842" s="41"/>
      <c r="B1842" s="41"/>
      <c r="C1842" s="42"/>
    </row>
    <row r="1843" spans="1:3">
      <c r="A1843" s="41"/>
      <c r="B1843" s="41"/>
      <c r="C1843" s="42"/>
    </row>
    <row r="1844" spans="1:3">
      <c r="A1844" s="41"/>
      <c r="B1844" s="41"/>
      <c r="C1844" s="42"/>
    </row>
    <row r="1845" spans="1:3">
      <c r="A1845" s="41"/>
      <c r="B1845" s="41"/>
      <c r="C1845" s="42"/>
    </row>
    <row r="1846" spans="1:3">
      <c r="A1846" s="41"/>
      <c r="B1846" s="41"/>
      <c r="C1846" s="42"/>
    </row>
    <row r="1847" spans="1:3">
      <c r="A1847" s="41"/>
      <c r="B1847" s="41"/>
      <c r="C1847" s="42"/>
    </row>
    <row r="1848" spans="1:3">
      <c r="A1848" s="41"/>
      <c r="B1848" s="41"/>
      <c r="C1848" s="42"/>
    </row>
    <row r="1849" spans="1:3">
      <c r="A1849" s="41"/>
      <c r="B1849" s="41"/>
      <c r="C1849" s="42"/>
    </row>
    <row r="1850" spans="1:3">
      <c r="A1850" s="41"/>
      <c r="B1850" s="41"/>
      <c r="C1850" s="42"/>
    </row>
    <row r="1851" spans="1:3">
      <c r="A1851" s="41"/>
      <c r="B1851" s="41"/>
      <c r="C1851" s="42"/>
    </row>
    <row r="1852" spans="1:3">
      <c r="A1852" s="41"/>
      <c r="B1852" s="41"/>
      <c r="C1852" s="42"/>
    </row>
    <row r="1853" spans="1:3">
      <c r="A1853" s="41"/>
      <c r="B1853" s="41"/>
      <c r="C1853" s="42"/>
    </row>
    <row r="1854" spans="1:3">
      <c r="A1854" s="41"/>
      <c r="B1854" s="41"/>
      <c r="C1854" s="42"/>
    </row>
    <row r="1855" spans="1:3">
      <c r="A1855" s="41"/>
      <c r="B1855" s="41"/>
      <c r="C1855" s="42"/>
    </row>
    <row r="1856" spans="1:3">
      <c r="A1856" s="41"/>
      <c r="B1856" s="41"/>
      <c r="C1856" s="42"/>
    </row>
    <row r="1857" spans="1:3">
      <c r="A1857" s="41"/>
      <c r="B1857" s="41"/>
      <c r="C1857" s="42"/>
    </row>
    <row r="1858" spans="1:3">
      <c r="A1858" s="41"/>
      <c r="B1858" s="41"/>
      <c r="C1858" s="42"/>
    </row>
    <row r="1859" spans="1:3">
      <c r="A1859" s="41"/>
      <c r="B1859" s="41"/>
      <c r="C1859" s="42"/>
    </row>
    <row r="1860" spans="1:3">
      <c r="A1860" s="41"/>
      <c r="B1860" s="41"/>
      <c r="C1860" s="42"/>
    </row>
    <row r="1861" spans="1:3">
      <c r="A1861" s="41"/>
      <c r="B1861" s="41"/>
      <c r="C1861" s="42"/>
    </row>
    <row r="1862" spans="1:3">
      <c r="A1862" s="41"/>
      <c r="B1862" s="41"/>
      <c r="C1862" s="42"/>
    </row>
    <row r="1863" spans="1:3">
      <c r="A1863" s="41"/>
      <c r="B1863" s="41"/>
      <c r="C1863" s="42"/>
    </row>
    <row r="1864" spans="1:3">
      <c r="A1864" s="41"/>
      <c r="B1864" s="41"/>
      <c r="C1864" s="42"/>
    </row>
    <row r="1865" spans="1:3">
      <c r="A1865" s="41"/>
      <c r="B1865" s="41"/>
      <c r="C1865" s="42"/>
    </row>
    <row r="1866" spans="1:3">
      <c r="A1866" s="41"/>
      <c r="B1866" s="41"/>
      <c r="C1866" s="42"/>
    </row>
    <row r="1867" spans="1:3">
      <c r="A1867" s="41"/>
      <c r="B1867" s="41"/>
      <c r="C1867" s="42"/>
    </row>
    <row r="1868" spans="1:3">
      <c r="A1868" s="41"/>
      <c r="B1868" s="41"/>
      <c r="C1868" s="42"/>
    </row>
    <row r="1869" spans="1:3">
      <c r="A1869" s="41"/>
      <c r="B1869" s="41"/>
      <c r="C1869" s="42"/>
    </row>
    <row r="1870" spans="1:3">
      <c r="A1870" s="41"/>
      <c r="B1870" s="41"/>
      <c r="C1870" s="42"/>
    </row>
    <row r="1871" spans="1:3">
      <c r="A1871" s="41"/>
      <c r="B1871" s="41"/>
      <c r="C1871" s="42"/>
    </row>
    <row r="1872" spans="1:3">
      <c r="A1872" s="41"/>
      <c r="B1872" s="41"/>
      <c r="C1872" s="42"/>
    </row>
    <row r="1873" spans="1:3">
      <c r="A1873" s="41"/>
      <c r="B1873" s="41"/>
      <c r="C1873" s="42"/>
    </row>
    <row r="1874" spans="1:3">
      <c r="A1874" s="41"/>
      <c r="B1874" s="41"/>
      <c r="C1874" s="42"/>
    </row>
    <row r="1875" spans="1:3">
      <c r="A1875" s="41"/>
      <c r="B1875" s="41"/>
      <c r="C1875" s="42"/>
    </row>
    <row r="1876" spans="1:3">
      <c r="A1876" s="41"/>
      <c r="B1876" s="41"/>
      <c r="C1876" s="42"/>
    </row>
    <row r="1877" spans="1:3">
      <c r="A1877" s="41"/>
      <c r="B1877" s="41"/>
      <c r="C1877" s="42"/>
    </row>
    <row r="1878" spans="1:3">
      <c r="A1878" s="41"/>
      <c r="B1878" s="41"/>
      <c r="C1878" s="42"/>
    </row>
    <row r="1879" spans="1:3">
      <c r="A1879" s="41"/>
      <c r="B1879" s="41"/>
      <c r="C1879" s="42"/>
    </row>
    <row r="1880" spans="1:3">
      <c r="A1880" s="41"/>
      <c r="B1880" s="41"/>
      <c r="C1880" s="42"/>
    </row>
    <row r="1881" spans="1:3">
      <c r="A1881" s="41"/>
      <c r="B1881" s="41"/>
      <c r="C1881" s="42"/>
    </row>
    <row r="1882" spans="1:3">
      <c r="A1882" s="41"/>
      <c r="B1882" s="41"/>
      <c r="C1882" s="42"/>
    </row>
    <row r="1883" spans="1:3">
      <c r="A1883" s="41"/>
      <c r="B1883" s="41"/>
      <c r="C1883" s="42"/>
    </row>
    <row r="1884" spans="1:3">
      <c r="A1884" s="41"/>
      <c r="B1884" s="41"/>
      <c r="C1884" s="42"/>
    </row>
    <row r="1885" spans="1:3">
      <c r="A1885" s="41"/>
      <c r="B1885" s="41"/>
      <c r="C1885" s="42"/>
    </row>
    <row r="1886" spans="1:3">
      <c r="A1886" s="41"/>
      <c r="B1886" s="41"/>
      <c r="C1886" s="42"/>
    </row>
    <row r="1887" spans="1:3">
      <c r="A1887" s="41"/>
      <c r="B1887" s="41"/>
      <c r="C1887" s="42"/>
    </row>
    <row r="1888" spans="1:3">
      <c r="A1888" s="41"/>
      <c r="B1888" s="41"/>
      <c r="C1888" s="42"/>
    </row>
    <row r="1889" spans="1:3">
      <c r="A1889" s="41"/>
      <c r="B1889" s="41"/>
      <c r="C1889" s="42"/>
    </row>
    <row r="1890" spans="1:3">
      <c r="A1890" s="41"/>
      <c r="B1890" s="41"/>
      <c r="C1890" s="42"/>
    </row>
    <row r="1891" spans="1:3">
      <c r="A1891" s="41"/>
      <c r="B1891" s="41"/>
      <c r="C1891" s="42"/>
    </row>
    <row r="1892" spans="1:3">
      <c r="A1892" s="41"/>
      <c r="B1892" s="41"/>
      <c r="C1892" s="42"/>
    </row>
    <row r="1893" spans="1:3">
      <c r="A1893" s="41"/>
      <c r="B1893" s="41"/>
      <c r="C1893" s="42"/>
    </row>
    <row r="1894" spans="1:3">
      <c r="A1894" s="41"/>
      <c r="B1894" s="41"/>
      <c r="C1894" s="42"/>
    </row>
    <row r="1895" spans="1:3">
      <c r="A1895" s="41"/>
      <c r="B1895" s="41"/>
      <c r="C1895" s="42"/>
    </row>
    <row r="1896" spans="1:3">
      <c r="A1896" s="41"/>
      <c r="B1896" s="41"/>
      <c r="C1896" s="42"/>
    </row>
    <row r="1897" spans="1:3">
      <c r="A1897" s="41"/>
      <c r="B1897" s="41"/>
      <c r="C1897" s="42"/>
    </row>
    <row r="1898" spans="1:3">
      <c r="A1898" s="41"/>
      <c r="B1898" s="41"/>
      <c r="C1898" s="42"/>
    </row>
    <row r="1899" spans="1:3">
      <c r="A1899" s="41"/>
      <c r="B1899" s="41"/>
      <c r="C1899" s="42"/>
    </row>
    <row r="1900" spans="1:3">
      <c r="A1900" s="41"/>
      <c r="B1900" s="41"/>
      <c r="C1900" s="42"/>
    </row>
    <row r="1901" spans="1:3">
      <c r="A1901" s="41"/>
      <c r="B1901" s="41"/>
      <c r="C1901" s="42"/>
    </row>
    <row r="1902" spans="1:3">
      <c r="A1902" s="41"/>
      <c r="B1902" s="41"/>
      <c r="C1902" s="42"/>
    </row>
    <row r="1903" spans="1:3">
      <c r="A1903" s="41"/>
      <c r="B1903" s="41"/>
      <c r="C1903" s="42"/>
    </row>
    <row r="1904" spans="1:3">
      <c r="A1904" s="41"/>
      <c r="B1904" s="41"/>
      <c r="C1904" s="42"/>
    </row>
    <row r="1905" spans="1:3">
      <c r="A1905" s="41"/>
      <c r="B1905" s="41"/>
      <c r="C1905" s="42"/>
    </row>
    <row r="1906" spans="1:3">
      <c r="A1906" s="41"/>
      <c r="B1906" s="41"/>
      <c r="C1906" s="42"/>
    </row>
    <row r="1907" spans="1:3">
      <c r="A1907" s="41"/>
      <c r="B1907" s="41"/>
      <c r="C1907" s="42"/>
    </row>
    <row r="1908" spans="1:3">
      <c r="A1908" s="41"/>
      <c r="B1908" s="41"/>
      <c r="C1908" s="42"/>
    </row>
    <row r="1909" spans="1:3">
      <c r="A1909" s="41"/>
      <c r="B1909" s="41"/>
      <c r="C1909" s="42"/>
    </row>
    <row r="1910" spans="1:3">
      <c r="A1910" s="41"/>
      <c r="B1910" s="41"/>
      <c r="C1910" s="42"/>
    </row>
    <row r="1911" spans="1:3">
      <c r="A1911" s="41"/>
      <c r="B1911" s="41"/>
      <c r="C1911" s="42"/>
    </row>
    <row r="1912" spans="1:3">
      <c r="A1912" s="41"/>
      <c r="B1912" s="41"/>
      <c r="C1912" s="42"/>
    </row>
    <row r="1913" spans="1:3">
      <c r="A1913" s="41"/>
      <c r="B1913" s="41"/>
      <c r="C1913" s="42"/>
    </row>
    <row r="1914" spans="1:3">
      <c r="A1914" s="41"/>
      <c r="B1914" s="41"/>
      <c r="C1914" s="42"/>
    </row>
    <row r="1915" spans="1:3">
      <c r="A1915" s="41"/>
      <c r="B1915" s="41"/>
      <c r="C1915" s="42"/>
    </row>
    <row r="1916" spans="1:3">
      <c r="A1916" s="41"/>
      <c r="B1916" s="41"/>
      <c r="C1916" s="42"/>
    </row>
    <row r="1917" spans="1:3">
      <c r="A1917" s="41"/>
      <c r="B1917" s="41"/>
      <c r="C1917" s="42"/>
    </row>
    <row r="1918" spans="1:3">
      <c r="A1918" s="41"/>
      <c r="B1918" s="41"/>
      <c r="C1918" s="42"/>
    </row>
    <row r="1919" spans="1:3">
      <c r="A1919" s="41"/>
      <c r="B1919" s="41"/>
      <c r="C1919" s="42"/>
    </row>
    <row r="1920" spans="1:3">
      <c r="A1920" s="41"/>
      <c r="B1920" s="41"/>
      <c r="C1920" s="42"/>
    </row>
    <row r="1921" spans="1:3">
      <c r="A1921" s="41"/>
      <c r="B1921" s="41"/>
      <c r="C1921" s="42"/>
    </row>
    <row r="1922" spans="1:3">
      <c r="A1922" s="41"/>
      <c r="B1922" s="41"/>
      <c r="C1922" s="42"/>
    </row>
    <row r="1923" spans="1:3">
      <c r="A1923" s="41"/>
      <c r="B1923" s="41"/>
      <c r="C1923" s="42"/>
    </row>
    <row r="1924" spans="1:3">
      <c r="A1924" s="41"/>
      <c r="B1924" s="41"/>
      <c r="C1924" s="42"/>
    </row>
    <row r="1925" spans="1:3">
      <c r="A1925" s="41"/>
      <c r="B1925" s="41"/>
      <c r="C1925" s="42"/>
    </row>
    <row r="1926" spans="1:3">
      <c r="A1926" s="41"/>
      <c r="B1926" s="41"/>
      <c r="C1926" s="42"/>
    </row>
    <row r="1927" spans="1:3">
      <c r="A1927" s="41"/>
      <c r="B1927" s="41"/>
      <c r="C1927" s="42"/>
    </row>
    <row r="1928" spans="1:3">
      <c r="A1928" s="41"/>
      <c r="B1928" s="41"/>
      <c r="C1928" s="42"/>
    </row>
    <row r="1929" spans="1:3">
      <c r="A1929" s="41"/>
      <c r="B1929" s="41"/>
      <c r="C1929" s="42"/>
    </row>
    <row r="1930" spans="1:3">
      <c r="A1930" s="41"/>
      <c r="B1930" s="41"/>
      <c r="C1930" s="42"/>
    </row>
    <row r="1931" spans="1:3">
      <c r="A1931" s="41"/>
      <c r="B1931" s="41"/>
      <c r="C1931" s="42"/>
    </row>
    <row r="1932" spans="1:3">
      <c r="A1932" s="41"/>
      <c r="B1932" s="41"/>
      <c r="C1932" s="42"/>
    </row>
    <row r="1933" spans="1:3">
      <c r="A1933" s="41"/>
      <c r="B1933" s="41"/>
      <c r="C1933" s="42"/>
    </row>
    <row r="1934" spans="1:3">
      <c r="A1934" s="41"/>
      <c r="B1934" s="41"/>
      <c r="C1934" s="42"/>
    </row>
    <row r="1935" spans="1:3">
      <c r="A1935" s="41"/>
      <c r="B1935" s="41"/>
      <c r="C1935" s="42"/>
    </row>
    <row r="1936" spans="1:3">
      <c r="A1936" s="41"/>
      <c r="B1936" s="41"/>
      <c r="C1936" s="42"/>
    </row>
    <row r="1937" spans="1:3">
      <c r="A1937" s="41"/>
      <c r="B1937" s="41"/>
      <c r="C1937" s="42"/>
    </row>
    <row r="1938" spans="1:3">
      <c r="A1938" s="41"/>
      <c r="B1938" s="41"/>
      <c r="C1938" s="42"/>
    </row>
    <row r="1939" spans="1:3">
      <c r="A1939" s="41"/>
      <c r="B1939" s="41"/>
      <c r="C1939" s="42"/>
    </row>
    <row r="1940" spans="1:3">
      <c r="A1940" s="41"/>
      <c r="B1940" s="41"/>
      <c r="C1940" s="42"/>
    </row>
    <row r="1941" spans="1:3">
      <c r="A1941" s="41"/>
      <c r="B1941" s="41"/>
      <c r="C1941" s="42"/>
    </row>
    <row r="1942" spans="1:3">
      <c r="A1942" s="41"/>
      <c r="B1942" s="41"/>
      <c r="C1942" s="42"/>
    </row>
    <row r="1943" spans="1:3">
      <c r="A1943" s="41"/>
      <c r="B1943" s="41"/>
      <c r="C1943" s="42"/>
    </row>
    <row r="1944" spans="1:3">
      <c r="A1944" s="41"/>
      <c r="B1944" s="41"/>
      <c r="C1944" s="42"/>
    </row>
    <row r="1945" spans="1:3">
      <c r="A1945" s="41"/>
      <c r="B1945" s="41"/>
      <c r="C1945" s="42"/>
    </row>
    <row r="1946" spans="1:3">
      <c r="A1946" s="41"/>
      <c r="B1946" s="41"/>
      <c r="C1946" s="42"/>
    </row>
    <row r="1947" spans="1:3">
      <c r="A1947" s="41"/>
      <c r="B1947" s="41"/>
      <c r="C1947" s="42"/>
    </row>
    <row r="1948" spans="1:3">
      <c r="A1948" s="41"/>
      <c r="B1948" s="41"/>
      <c r="C1948" s="42"/>
    </row>
    <row r="1949" spans="1:3">
      <c r="A1949" s="41"/>
      <c r="B1949" s="41"/>
      <c r="C1949" s="42"/>
    </row>
    <row r="1950" spans="1:3">
      <c r="A1950" s="41"/>
      <c r="B1950" s="41"/>
      <c r="C1950" s="42"/>
    </row>
    <row r="1951" spans="1:3">
      <c r="A1951" s="41"/>
      <c r="B1951" s="41"/>
      <c r="C1951" s="42"/>
    </row>
    <row r="1952" spans="1:3">
      <c r="A1952" s="41"/>
      <c r="B1952" s="41"/>
      <c r="C1952" s="42"/>
    </row>
    <row r="1953" spans="1:3">
      <c r="A1953" s="41"/>
      <c r="B1953" s="41"/>
      <c r="C1953" s="42"/>
    </row>
    <row r="1954" spans="1:3">
      <c r="A1954" s="41"/>
      <c r="B1954" s="41"/>
      <c r="C1954" s="42"/>
    </row>
    <row r="1955" spans="1:3">
      <c r="A1955" s="41"/>
      <c r="B1955" s="41"/>
      <c r="C1955" s="42"/>
    </row>
    <row r="1956" spans="1:3">
      <c r="A1956" s="41"/>
      <c r="B1956" s="41"/>
      <c r="C1956" s="42"/>
    </row>
    <row r="1957" spans="1:3">
      <c r="A1957" s="41"/>
      <c r="B1957" s="41"/>
      <c r="C1957" s="42"/>
    </row>
    <row r="1958" spans="1:3">
      <c r="A1958" s="41"/>
      <c r="B1958" s="41"/>
      <c r="C1958" s="42"/>
    </row>
    <row r="1959" spans="1:3">
      <c r="A1959" s="41"/>
      <c r="B1959" s="41"/>
      <c r="C1959" s="42"/>
    </row>
    <row r="1960" spans="1:3">
      <c r="A1960" s="41"/>
      <c r="B1960" s="41"/>
      <c r="C1960" s="42"/>
    </row>
    <row r="1961" spans="1:3">
      <c r="A1961" s="41"/>
      <c r="B1961" s="41"/>
      <c r="C1961" s="42"/>
    </row>
    <row r="1962" spans="1:3">
      <c r="A1962" s="41"/>
      <c r="B1962" s="41"/>
      <c r="C1962" s="42"/>
    </row>
    <row r="1963" spans="1:3">
      <c r="A1963" s="41"/>
      <c r="B1963" s="41"/>
      <c r="C1963" s="42"/>
    </row>
    <row r="1964" spans="1:3">
      <c r="A1964" s="41"/>
      <c r="B1964" s="41"/>
      <c r="C1964" s="42"/>
    </row>
    <row r="1965" spans="1:3">
      <c r="A1965" s="41"/>
      <c r="B1965" s="41"/>
      <c r="C1965" s="42"/>
    </row>
    <row r="1966" spans="1:3">
      <c r="A1966" s="41"/>
      <c r="B1966" s="41"/>
      <c r="C1966" s="42"/>
    </row>
    <row r="1967" spans="1:3">
      <c r="A1967" s="41"/>
      <c r="B1967" s="41"/>
      <c r="C1967" s="42"/>
    </row>
    <row r="1968" spans="1:3">
      <c r="A1968" s="41"/>
      <c r="B1968" s="41"/>
      <c r="C1968" s="42"/>
    </row>
    <row r="1969" spans="1:3">
      <c r="A1969" s="41"/>
      <c r="B1969" s="41"/>
      <c r="C1969" s="42"/>
    </row>
    <row r="1970" spans="1:3">
      <c r="A1970" s="41"/>
      <c r="B1970" s="41"/>
      <c r="C1970" s="42"/>
    </row>
    <row r="1971" spans="1:3">
      <c r="A1971" s="41"/>
      <c r="B1971" s="41"/>
      <c r="C1971" s="42"/>
    </row>
    <row r="1972" spans="1:3">
      <c r="A1972" s="41"/>
      <c r="B1972" s="41"/>
      <c r="C1972" s="42"/>
    </row>
    <row r="1973" spans="1:3">
      <c r="A1973" s="41"/>
      <c r="B1973" s="41"/>
      <c r="C1973" s="42"/>
    </row>
    <row r="1974" spans="1:3">
      <c r="A1974" s="41"/>
      <c r="B1974" s="41"/>
      <c r="C1974" s="42"/>
    </row>
    <row r="1975" spans="1:3">
      <c r="A1975" s="41"/>
      <c r="B1975" s="41"/>
      <c r="C1975" s="42"/>
    </row>
    <row r="1976" spans="1:3">
      <c r="A1976" s="41"/>
      <c r="B1976" s="41"/>
      <c r="C1976" s="42"/>
    </row>
    <row r="1977" spans="1:3">
      <c r="A1977" s="41"/>
      <c r="B1977" s="41"/>
      <c r="C1977" s="42"/>
    </row>
    <row r="1978" spans="1:3">
      <c r="A1978" s="41"/>
      <c r="B1978" s="41"/>
      <c r="C1978" s="42"/>
    </row>
    <row r="1979" spans="1:3">
      <c r="A1979" s="41"/>
      <c r="B1979" s="41"/>
      <c r="C1979" s="42"/>
    </row>
    <row r="1980" spans="1:3">
      <c r="A1980" s="41"/>
      <c r="B1980" s="41"/>
      <c r="C1980" s="42"/>
    </row>
    <row r="1981" spans="1:3">
      <c r="A1981" s="41"/>
      <c r="B1981" s="41"/>
      <c r="C1981" s="42"/>
    </row>
    <row r="1982" spans="1:3">
      <c r="A1982" s="41"/>
      <c r="B1982" s="41"/>
      <c r="C1982" s="42"/>
    </row>
    <row r="1983" spans="1:3">
      <c r="A1983" s="41"/>
      <c r="B1983" s="41"/>
      <c r="C1983" s="42"/>
    </row>
    <row r="1984" spans="1:3">
      <c r="A1984" s="41"/>
      <c r="B1984" s="41"/>
      <c r="C1984" s="42"/>
    </row>
    <row r="1985" spans="1:3">
      <c r="A1985" s="41"/>
      <c r="B1985" s="41"/>
      <c r="C1985" s="42"/>
    </row>
    <row r="1986" spans="1:3">
      <c r="A1986" s="41"/>
      <c r="B1986" s="41"/>
      <c r="C1986" s="42"/>
    </row>
    <row r="1987" spans="1:3">
      <c r="A1987" s="41"/>
      <c r="B1987" s="41"/>
      <c r="C1987" s="42"/>
    </row>
    <row r="1988" spans="1:3">
      <c r="A1988" s="41"/>
      <c r="B1988" s="41"/>
      <c r="C1988" s="42"/>
    </row>
    <row r="1989" spans="1:3">
      <c r="A1989" s="41"/>
      <c r="B1989" s="41"/>
      <c r="C1989" s="42"/>
    </row>
    <row r="1990" spans="1:3">
      <c r="A1990" s="41"/>
      <c r="B1990" s="41"/>
      <c r="C1990" s="42"/>
    </row>
    <row r="1991" spans="1:3">
      <c r="A1991" s="41"/>
      <c r="B1991" s="41"/>
      <c r="C1991" s="42"/>
    </row>
    <row r="1992" spans="1:3">
      <c r="A1992" s="41"/>
      <c r="B1992" s="41"/>
      <c r="C1992" s="42"/>
    </row>
    <row r="1993" spans="1:3">
      <c r="A1993" s="41"/>
      <c r="B1993" s="41"/>
      <c r="C1993" s="42"/>
    </row>
    <row r="1994" spans="1:3">
      <c r="A1994" s="41"/>
      <c r="B1994" s="41"/>
      <c r="C1994" s="42"/>
    </row>
    <row r="1995" spans="1:3">
      <c r="A1995" s="41"/>
      <c r="B1995" s="41"/>
      <c r="C1995" s="42"/>
    </row>
    <row r="1996" spans="1:3">
      <c r="A1996" s="41"/>
      <c r="B1996" s="41"/>
      <c r="C1996" s="42"/>
    </row>
    <row r="1997" spans="1:3">
      <c r="A1997" s="41"/>
      <c r="B1997" s="41"/>
      <c r="C1997" s="42"/>
    </row>
    <row r="1998" spans="1:3">
      <c r="A1998" s="41"/>
      <c r="B1998" s="41"/>
      <c r="C1998" s="42"/>
    </row>
    <row r="1999" spans="1:3">
      <c r="A1999" s="41"/>
      <c r="B1999" s="41"/>
      <c r="C1999" s="42"/>
    </row>
    <row r="2000" spans="1:3">
      <c r="A2000" s="41"/>
      <c r="B2000" s="41"/>
      <c r="C2000" s="42"/>
    </row>
    <row r="2001" spans="1:3">
      <c r="A2001" s="41"/>
      <c r="B2001" s="41"/>
      <c r="C2001" s="42"/>
    </row>
    <row r="2002" spans="1:3">
      <c r="A2002" s="41"/>
      <c r="B2002" s="41"/>
      <c r="C2002" s="42"/>
    </row>
    <row r="2003" spans="1:3">
      <c r="A2003" s="41"/>
      <c r="B2003" s="41"/>
      <c r="C2003" s="42"/>
    </row>
    <row r="2004" spans="1:3">
      <c r="A2004" s="41"/>
      <c r="B2004" s="41"/>
      <c r="C2004" s="42"/>
    </row>
    <row r="2005" spans="1:3">
      <c r="A2005" s="41"/>
      <c r="B2005" s="41"/>
      <c r="C2005" s="42"/>
    </row>
    <row r="2006" spans="1:3">
      <c r="A2006" s="41"/>
      <c r="B2006" s="41"/>
      <c r="C2006" s="42"/>
    </row>
    <row r="2007" spans="1:3">
      <c r="A2007" s="41"/>
      <c r="B2007" s="41"/>
      <c r="C2007" s="42"/>
    </row>
    <row r="2008" spans="1:3">
      <c r="A2008" s="41"/>
      <c r="B2008" s="41"/>
      <c r="C2008" s="42"/>
    </row>
    <row r="2009" spans="1:3">
      <c r="A2009" s="41"/>
      <c r="B2009" s="41"/>
      <c r="C2009" s="42"/>
    </row>
    <row r="2010" spans="1:3">
      <c r="A2010" s="41"/>
      <c r="B2010" s="41"/>
      <c r="C2010" s="42"/>
    </row>
    <row r="2011" spans="1:3">
      <c r="A2011" s="41"/>
      <c r="B2011" s="41"/>
      <c r="C2011" s="42"/>
    </row>
    <row r="2012" spans="1:3">
      <c r="A2012" s="41"/>
      <c r="B2012" s="41"/>
      <c r="C2012" s="42"/>
    </row>
    <row r="2013" spans="1:3">
      <c r="A2013" s="41"/>
      <c r="B2013" s="41"/>
      <c r="C2013" s="42"/>
    </row>
    <row r="2014" spans="1:3">
      <c r="A2014" s="41"/>
      <c r="B2014" s="41"/>
      <c r="C2014" s="42"/>
    </row>
    <row r="2015" spans="1:3">
      <c r="A2015" s="41"/>
      <c r="B2015" s="41"/>
      <c r="C2015" s="42"/>
    </row>
    <row r="2016" spans="1:3">
      <c r="A2016" s="41"/>
      <c r="B2016" s="41"/>
      <c r="C2016" s="42"/>
    </row>
    <row r="2017" spans="1:3">
      <c r="A2017" s="41"/>
      <c r="B2017" s="41"/>
      <c r="C2017" s="42"/>
    </row>
    <row r="2018" spans="1:3">
      <c r="A2018" s="41"/>
      <c r="B2018" s="41"/>
      <c r="C2018" s="42"/>
    </row>
    <row r="2019" spans="1:3">
      <c r="A2019" s="41"/>
      <c r="B2019" s="41"/>
      <c r="C2019" s="42"/>
    </row>
    <row r="2020" spans="1:3">
      <c r="A2020" s="41"/>
      <c r="B2020" s="41"/>
      <c r="C2020" s="42"/>
    </row>
    <row r="2021" spans="1:3">
      <c r="A2021" s="41"/>
      <c r="B2021" s="41"/>
      <c r="C2021" s="42"/>
    </row>
    <row r="2022" spans="1:3">
      <c r="A2022" s="41"/>
      <c r="B2022" s="41"/>
      <c r="C2022" s="42"/>
    </row>
    <row r="2023" spans="1:3">
      <c r="A2023" s="41"/>
      <c r="B2023" s="41"/>
      <c r="C2023" s="42"/>
    </row>
    <row r="2024" spans="1:3">
      <c r="A2024" s="41"/>
      <c r="B2024" s="41"/>
      <c r="C2024" s="42"/>
    </row>
    <row r="2025" spans="1:3">
      <c r="A2025" s="41"/>
      <c r="B2025" s="41"/>
      <c r="C2025" s="42"/>
    </row>
    <row r="2026" spans="1:3">
      <c r="A2026" s="41"/>
      <c r="B2026" s="41"/>
      <c r="C2026" s="42"/>
    </row>
    <row r="2027" spans="1:3">
      <c r="A2027" s="41"/>
      <c r="B2027" s="41"/>
      <c r="C2027" s="42"/>
    </row>
    <row r="2028" spans="1:3">
      <c r="A2028" s="41"/>
      <c r="B2028" s="41"/>
      <c r="C2028" s="42"/>
    </row>
    <row r="2029" spans="1:3">
      <c r="A2029" s="41"/>
      <c r="B2029" s="41"/>
      <c r="C2029" s="42"/>
    </row>
    <row r="2030" spans="1:3">
      <c r="A2030" s="41"/>
      <c r="B2030" s="41"/>
      <c r="C2030" s="42"/>
    </row>
    <row r="2031" spans="1:3">
      <c r="A2031" s="41"/>
      <c r="B2031" s="41"/>
      <c r="C2031" s="42"/>
    </row>
    <row r="2032" spans="1:3">
      <c r="A2032" s="41"/>
      <c r="B2032" s="41"/>
      <c r="C2032" s="42"/>
    </row>
    <row r="2033" spans="1:3">
      <c r="A2033" s="41"/>
      <c r="B2033" s="41"/>
      <c r="C2033" s="42"/>
    </row>
    <row r="2034" spans="1:3">
      <c r="A2034" s="41"/>
      <c r="B2034" s="41"/>
      <c r="C2034" s="42"/>
    </row>
    <row r="2035" spans="1:3">
      <c r="A2035" s="41"/>
      <c r="B2035" s="41"/>
      <c r="C2035" s="42"/>
    </row>
    <row r="2036" spans="1:3">
      <c r="A2036" s="41"/>
      <c r="B2036" s="41"/>
      <c r="C2036" s="42"/>
    </row>
    <row r="2037" spans="1:3">
      <c r="A2037" s="41"/>
      <c r="B2037" s="41"/>
      <c r="C2037" s="42"/>
    </row>
    <row r="2038" spans="1:3">
      <c r="A2038" s="41"/>
      <c r="B2038" s="41"/>
      <c r="C2038" s="42"/>
    </row>
    <row r="2039" spans="1:3">
      <c r="A2039" s="41"/>
      <c r="B2039" s="41"/>
      <c r="C2039" s="42"/>
    </row>
    <row r="2040" spans="1:3">
      <c r="A2040" s="41"/>
      <c r="B2040" s="41"/>
      <c r="C2040" s="42"/>
    </row>
    <row r="2041" spans="1:3">
      <c r="A2041" s="41"/>
      <c r="B2041" s="41"/>
      <c r="C2041" s="42"/>
    </row>
    <row r="2042" spans="1:3">
      <c r="A2042" s="41"/>
      <c r="B2042" s="41"/>
      <c r="C2042" s="42"/>
    </row>
    <row r="2043" spans="1:3">
      <c r="A2043" s="41"/>
      <c r="B2043" s="41"/>
      <c r="C2043" s="42"/>
    </row>
    <row r="2044" spans="1:3">
      <c r="A2044" s="41"/>
      <c r="B2044" s="41"/>
      <c r="C2044" s="42"/>
    </row>
    <row r="2045" spans="1:3">
      <c r="A2045" s="41"/>
      <c r="B2045" s="41"/>
      <c r="C2045" s="42"/>
    </row>
    <row r="2046" spans="1:3">
      <c r="A2046" s="41"/>
      <c r="B2046" s="41"/>
      <c r="C2046" s="42"/>
    </row>
    <row r="2047" spans="1:3">
      <c r="A2047" s="41"/>
      <c r="B2047" s="41"/>
      <c r="C2047" s="42"/>
    </row>
    <row r="2048" spans="1:3">
      <c r="A2048" s="41"/>
      <c r="B2048" s="41"/>
      <c r="C2048" s="42"/>
    </row>
    <row r="2049" spans="1:3">
      <c r="A2049" s="41"/>
      <c r="B2049" s="41"/>
      <c r="C2049" s="42"/>
    </row>
    <row r="2050" spans="1:3">
      <c r="A2050" s="41"/>
      <c r="B2050" s="41"/>
      <c r="C2050" s="42"/>
    </row>
    <row r="2051" spans="1:3">
      <c r="A2051" s="41"/>
      <c r="B2051" s="41"/>
      <c r="C2051" s="42"/>
    </row>
    <row r="2052" spans="1:3">
      <c r="A2052" s="41"/>
      <c r="B2052" s="41"/>
      <c r="C2052" s="42"/>
    </row>
    <row r="2053" spans="1:3">
      <c r="A2053" s="41"/>
      <c r="B2053" s="41"/>
      <c r="C2053" s="42"/>
    </row>
    <row r="2054" spans="1:3">
      <c r="A2054" s="41"/>
      <c r="B2054" s="41"/>
      <c r="C2054" s="42"/>
    </row>
    <row r="2055" spans="1:3">
      <c r="A2055" s="41"/>
      <c r="B2055" s="41"/>
      <c r="C2055" s="42"/>
    </row>
    <row r="2056" spans="1:3">
      <c r="A2056" s="41"/>
      <c r="B2056" s="41"/>
      <c r="C2056" s="42"/>
    </row>
    <row r="2057" spans="1:3">
      <c r="A2057" s="41"/>
      <c r="B2057" s="41"/>
      <c r="C2057" s="42"/>
    </row>
    <row r="2058" spans="1:3">
      <c r="A2058" s="41"/>
      <c r="B2058" s="41"/>
      <c r="C2058" s="42"/>
    </row>
    <row r="2059" spans="1:3">
      <c r="A2059" s="41"/>
      <c r="B2059" s="41"/>
      <c r="C2059" s="42"/>
    </row>
    <row r="2060" spans="1:3">
      <c r="A2060" s="41"/>
      <c r="B2060" s="41"/>
      <c r="C2060" s="42"/>
    </row>
    <row r="2061" spans="1:3">
      <c r="A2061" s="41"/>
      <c r="B2061" s="41"/>
      <c r="C2061" s="42"/>
    </row>
    <row r="2062" spans="1:3">
      <c r="A2062" s="41"/>
      <c r="B2062" s="41"/>
      <c r="C2062" s="42"/>
    </row>
    <row r="2063" spans="1:3">
      <c r="A2063" s="41"/>
      <c r="B2063" s="41"/>
      <c r="C2063" s="42"/>
    </row>
    <row r="2064" spans="1:3">
      <c r="A2064" s="41"/>
      <c r="B2064" s="41"/>
      <c r="C2064" s="42"/>
    </row>
    <row r="2065" spans="1:3">
      <c r="A2065" s="41"/>
      <c r="B2065" s="41"/>
      <c r="C2065" s="42"/>
    </row>
    <row r="2066" spans="1:3">
      <c r="A2066" s="41"/>
      <c r="B2066" s="41"/>
      <c r="C2066" s="42"/>
    </row>
    <row r="2067" spans="1:3">
      <c r="A2067" s="41"/>
      <c r="B2067" s="41"/>
      <c r="C2067" s="42"/>
    </row>
    <row r="2068" spans="1:3">
      <c r="A2068" s="41"/>
      <c r="B2068" s="41"/>
      <c r="C2068" s="42"/>
    </row>
    <row r="2069" spans="1:3">
      <c r="A2069" s="41"/>
      <c r="B2069" s="41"/>
      <c r="C2069" s="42"/>
    </row>
    <row r="2070" spans="1:3">
      <c r="A2070" s="41"/>
      <c r="B2070" s="41"/>
      <c r="C2070" s="42"/>
    </row>
    <row r="2071" spans="1:3">
      <c r="A2071" s="41"/>
      <c r="B2071" s="41"/>
      <c r="C2071" s="42"/>
    </row>
    <row r="2072" spans="1:3">
      <c r="A2072" s="41"/>
      <c r="B2072" s="41"/>
      <c r="C2072" s="42"/>
    </row>
    <row r="2073" spans="1:3">
      <c r="A2073" s="41"/>
      <c r="B2073" s="41"/>
      <c r="C2073" s="42"/>
    </row>
    <row r="2074" spans="1:3">
      <c r="A2074" s="41"/>
      <c r="B2074" s="41"/>
      <c r="C2074" s="42"/>
    </row>
    <row r="2075" spans="1:3">
      <c r="A2075" s="41"/>
      <c r="B2075" s="41"/>
      <c r="C2075" s="42"/>
    </row>
    <row r="2076" spans="1:3">
      <c r="A2076" s="41"/>
      <c r="B2076" s="41"/>
      <c r="C2076" s="42"/>
    </row>
    <row r="2077" spans="1:3">
      <c r="A2077" s="41"/>
      <c r="B2077" s="41"/>
      <c r="C2077" s="42"/>
    </row>
    <row r="2078" spans="1:3">
      <c r="A2078" s="41"/>
      <c r="B2078" s="41"/>
      <c r="C2078" s="42"/>
    </row>
    <row r="2079" spans="1:3">
      <c r="A2079" s="41"/>
      <c r="B2079" s="41"/>
      <c r="C2079" s="42"/>
    </row>
    <row r="2080" spans="1:3">
      <c r="A2080" s="41"/>
      <c r="B2080" s="41"/>
      <c r="C2080" s="42"/>
    </row>
    <row r="2081" spans="1:3">
      <c r="A2081" s="41"/>
      <c r="B2081" s="41"/>
      <c r="C2081" s="42"/>
    </row>
    <row r="2082" spans="1:3">
      <c r="A2082" s="41"/>
      <c r="B2082" s="41"/>
      <c r="C2082" s="42"/>
    </row>
    <row r="2083" spans="1:3">
      <c r="A2083" s="41"/>
      <c r="B2083" s="41"/>
      <c r="C2083" s="42"/>
    </row>
    <row r="2084" spans="1:3">
      <c r="A2084" s="41"/>
      <c r="B2084" s="41"/>
      <c r="C2084" s="42"/>
    </row>
    <row r="2085" spans="1:3">
      <c r="A2085" s="41"/>
      <c r="B2085" s="41"/>
      <c r="C2085" s="42"/>
    </row>
    <row r="2086" spans="1:3">
      <c r="A2086" s="41"/>
      <c r="B2086" s="41"/>
      <c r="C2086" s="42"/>
    </row>
    <row r="2087" spans="1:3">
      <c r="A2087" s="41"/>
      <c r="B2087" s="41"/>
      <c r="C2087" s="42"/>
    </row>
    <row r="2088" spans="1:3">
      <c r="A2088" s="41"/>
      <c r="B2088" s="41"/>
      <c r="C2088" s="42"/>
    </row>
    <row r="2089" spans="1:3">
      <c r="A2089" s="41"/>
      <c r="B2089" s="41"/>
      <c r="C2089" s="42"/>
    </row>
    <row r="2090" spans="1:3">
      <c r="A2090" s="41"/>
      <c r="B2090" s="41"/>
      <c r="C2090" s="42"/>
    </row>
    <row r="2091" spans="1:3">
      <c r="A2091" s="41"/>
      <c r="B2091" s="41"/>
      <c r="C2091" s="42"/>
    </row>
    <row r="2092" spans="1:3">
      <c r="A2092" s="41"/>
      <c r="B2092" s="41"/>
      <c r="C2092" s="42"/>
    </row>
    <row r="2093" spans="1:3">
      <c r="A2093" s="41"/>
      <c r="B2093" s="41"/>
      <c r="C2093" s="42"/>
    </row>
    <row r="2094" spans="1:3">
      <c r="A2094" s="41"/>
      <c r="B2094" s="41"/>
      <c r="C2094" s="42"/>
    </row>
    <row r="2095" spans="1:3">
      <c r="A2095" s="41"/>
      <c r="B2095" s="41"/>
      <c r="C2095" s="42"/>
    </row>
    <row r="2096" spans="1:3">
      <c r="A2096" s="41"/>
      <c r="B2096" s="41"/>
      <c r="C2096" s="42"/>
    </row>
    <row r="2097" spans="1:3">
      <c r="A2097" s="41"/>
      <c r="B2097" s="41"/>
      <c r="C2097" s="42"/>
    </row>
    <row r="2098" spans="1:3">
      <c r="A2098" s="41"/>
      <c r="B2098" s="41"/>
      <c r="C2098" s="42"/>
    </row>
    <row r="2099" spans="1:3">
      <c r="A2099" s="41"/>
      <c r="B2099" s="41"/>
      <c r="C2099" s="42"/>
    </row>
    <row r="2100" spans="1:3">
      <c r="A2100" s="41"/>
      <c r="B2100" s="41"/>
      <c r="C2100" s="42"/>
    </row>
    <row r="2101" spans="1:3">
      <c r="A2101" s="41"/>
      <c r="B2101" s="41"/>
      <c r="C2101" s="42"/>
    </row>
    <row r="2102" spans="1:3">
      <c r="A2102" s="41"/>
      <c r="B2102" s="41"/>
      <c r="C2102"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Q993"/>
  <sheetViews>
    <sheetView tabSelected="1" topLeftCell="CA82" workbookViewId="0">
      <selection activeCell="CH92" sqref="CH92"/>
    </sheetView>
  </sheetViews>
  <sheetFormatPr baseColWidth="10" defaultColWidth="14.453125" defaultRowHeight="15" customHeight="1"/>
  <cols>
    <col min="5" max="5" width="25.7265625" customWidth="1"/>
    <col min="11" max="11" width="3.08984375" customWidth="1"/>
    <col min="14" max="14" width="19.26953125" customWidth="1"/>
    <col min="17" max="17" width="2.81640625" customWidth="1"/>
    <col min="19" max="20" width="4.453125" customWidth="1"/>
    <col min="25" max="25" width="4.453125" customWidth="1"/>
    <col min="30" max="30" width="4.26953125" customWidth="1"/>
    <col min="39" max="39" width="18.81640625" customWidth="1"/>
    <col min="40" max="40" width="4.453125" customWidth="1"/>
    <col min="43" max="43" width="4.81640625" customWidth="1"/>
    <col min="48" max="48" width="2.7265625" customWidth="1"/>
    <col min="53" max="53" width="2.54296875" customWidth="1"/>
    <col min="58" max="58" width="4.54296875" customWidth="1"/>
    <col min="84" max="84" width="6.453125" customWidth="1"/>
    <col min="86" max="86" width="16.7265625" bestFit="1" customWidth="1"/>
    <col min="91" max="91" width="4.81640625" customWidth="1"/>
  </cols>
  <sheetData>
    <row r="1" spans="1:95" ht="14.5">
      <c r="A1" s="14" t="s">
        <v>49</v>
      </c>
      <c r="B1" s="14" t="s">
        <v>50</v>
      </c>
      <c r="C1" s="14" t="s">
        <v>51</v>
      </c>
      <c r="D1" s="14" t="s">
        <v>52</v>
      </c>
      <c r="E1" s="15" t="s">
        <v>53</v>
      </c>
      <c r="F1" s="15" t="s">
        <v>54</v>
      </c>
      <c r="G1" s="15" t="s">
        <v>55</v>
      </c>
      <c r="H1" s="15" t="s">
        <v>56</v>
      </c>
      <c r="I1" s="15" t="s">
        <v>57</v>
      </c>
      <c r="J1" s="15" t="s">
        <v>58</v>
      </c>
      <c r="K1" s="12"/>
      <c r="L1" s="15" t="s">
        <v>59</v>
      </c>
      <c r="M1" s="15" t="s">
        <v>60</v>
      </c>
      <c r="N1" s="15" t="s">
        <v>61</v>
      </c>
      <c r="O1" s="15" t="s">
        <v>62</v>
      </c>
      <c r="P1" s="15" t="s">
        <v>63</v>
      </c>
      <c r="Q1" s="12"/>
      <c r="R1" s="16" t="s">
        <v>64</v>
      </c>
      <c r="S1" s="12"/>
      <c r="T1" s="12" t="s">
        <v>2435</v>
      </c>
      <c r="U1" s="15" t="s">
        <v>2407</v>
      </c>
      <c r="V1" s="15" t="s">
        <v>2408</v>
      </c>
      <c r="W1" s="15" t="s">
        <v>65</v>
      </c>
      <c r="X1" s="15" t="s">
        <v>66</v>
      </c>
      <c r="Y1" s="12"/>
      <c r="Z1" s="15" t="s">
        <v>2409</v>
      </c>
      <c r="AA1" s="15" t="s">
        <v>2410</v>
      </c>
      <c r="AB1" s="15" t="s">
        <v>67</v>
      </c>
      <c r="AC1" s="15" t="s">
        <v>68</v>
      </c>
      <c r="AD1" s="12"/>
      <c r="AE1" s="17" t="s">
        <v>69</v>
      </c>
      <c r="AF1" s="17" t="s">
        <v>70</v>
      </c>
      <c r="AG1" s="17" t="s">
        <v>71</v>
      </c>
      <c r="AH1" s="17" t="s">
        <v>72</v>
      </c>
      <c r="AI1" s="17" t="s">
        <v>73</v>
      </c>
      <c r="AJ1" s="17" t="s">
        <v>74</v>
      </c>
      <c r="AK1" s="17" t="s">
        <v>75</v>
      </c>
      <c r="AL1" s="17" t="s">
        <v>76</v>
      </c>
      <c r="AM1" s="17" t="s">
        <v>77</v>
      </c>
      <c r="AN1" s="12"/>
      <c r="AO1" s="13" t="s">
        <v>78</v>
      </c>
      <c r="AP1" s="13" t="s">
        <v>79</v>
      </c>
      <c r="AQ1" s="12"/>
      <c r="AR1" s="18" t="s">
        <v>80</v>
      </c>
      <c r="AS1" s="18" t="s">
        <v>81</v>
      </c>
      <c r="AT1" s="18" t="s">
        <v>82</v>
      </c>
      <c r="AU1" s="18" t="s">
        <v>83</v>
      </c>
      <c r="AV1" s="12"/>
      <c r="AW1" s="18" t="s">
        <v>2411</v>
      </c>
      <c r="AX1" s="18" t="s">
        <v>2412</v>
      </c>
      <c r="AY1" s="18" t="s">
        <v>84</v>
      </c>
      <c r="AZ1" s="18" t="s">
        <v>85</v>
      </c>
      <c r="BA1" s="12"/>
      <c r="BB1" s="18" t="s">
        <v>2413</v>
      </c>
      <c r="BC1" s="18" t="s">
        <v>2414</v>
      </c>
      <c r="BD1" s="18" t="s">
        <v>86</v>
      </c>
      <c r="BE1" s="18" t="s">
        <v>87</v>
      </c>
      <c r="BF1" s="12"/>
      <c r="BG1" s="19" t="s">
        <v>88</v>
      </c>
      <c r="BH1" s="19" t="s">
        <v>89</v>
      </c>
      <c r="BI1" s="19" t="s">
        <v>90</v>
      </c>
      <c r="BJ1" s="19" t="s">
        <v>91</v>
      </c>
      <c r="BK1" s="12"/>
      <c r="BL1" s="19" t="s">
        <v>2415</v>
      </c>
      <c r="BM1" s="19" t="s">
        <v>2416</v>
      </c>
      <c r="BN1" s="19" t="s">
        <v>92</v>
      </c>
      <c r="BO1" s="19" t="s">
        <v>93</v>
      </c>
      <c r="BP1" s="12"/>
      <c r="BQ1" s="19" t="s">
        <v>2417</v>
      </c>
      <c r="BR1" s="19" t="s">
        <v>2418</v>
      </c>
      <c r="BS1" s="19" t="s">
        <v>94</v>
      </c>
      <c r="BT1" s="19" t="s">
        <v>95</v>
      </c>
      <c r="BU1" s="12"/>
      <c r="BV1" s="20" t="s">
        <v>2426</v>
      </c>
      <c r="BW1" s="20" t="s">
        <v>2427</v>
      </c>
      <c r="BX1" s="20" t="s">
        <v>2428</v>
      </c>
      <c r="BY1" s="20" t="s">
        <v>2429</v>
      </c>
      <c r="BZ1" s="20" t="s">
        <v>2430</v>
      </c>
      <c r="CA1" s="12"/>
      <c r="CB1" s="20" t="s">
        <v>2431</v>
      </c>
      <c r="CC1" s="20" t="s">
        <v>2432</v>
      </c>
      <c r="CD1" s="147" t="s">
        <v>2433</v>
      </c>
      <c r="CE1" s="147" t="s">
        <v>2434</v>
      </c>
      <c r="CF1" s="12"/>
      <c r="CG1" s="21" t="s">
        <v>2399</v>
      </c>
      <c r="CH1" s="21" t="s">
        <v>2400</v>
      </c>
      <c r="CI1" s="21" t="s">
        <v>2401</v>
      </c>
      <c r="CJ1" s="21" t="s">
        <v>2402</v>
      </c>
      <c r="CK1" s="21" t="s">
        <v>2403</v>
      </c>
      <c r="CL1" s="21" t="s">
        <v>2404</v>
      </c>
      <c r="CM1" s="12"/>
      <c r="CN1" s="21" t="s">
        <v>2419</v>
      </c>
      <c r="CO1" s="21" t="s">
        <v>2420</v>
      </c>
      <c r="CP1" s="21" t="s">
        <v>2405</v>
      </c>
      <c r="CQ1" s="21" t="s">
        <v>2406</v>
      </c>
    </row>
    <row r="2" spans="1:95" ht="14.5">
      <c r="A2" s="22" t="s">
        <v>96</v>
      </c>
      <c r="B2" s="22">
        <v>54850098200044</v>
      </c>
      <c r="C2" s="22" t="s">
        <v>18</v>
      </c>
      <c r="D2" s="22"/>
      <c r="E2" s="22" t="s">
        <v>2424</v>
      </c>
      <c r="F2" s="22" t="s">
        <v>98</v>
      </c>
      <c r="G2" s="22"/>
      <c r="H2" s="22" t="str">
        <f t="array" ref="H2">IFERROR(INDEX(dénomination_ced!$C$2:$C$1102, MATCH(F2, dénomination_ced!$C$1:$C$1102, 0)), "Non classifié")</f>
        <v>Non classifié</v>
      </c>
      <c r="I2" s="23" t="s">
        <v>2421</v>
      </c>
      <c r="J2" s="23" t="s">
        <v>99</v>
      </c>
      <c r="K2" s="13"/>
      <c r="L2" s="23" t="s">
        <v>100</v>
      </c>
      <c r="M2" s="24">
        <v>1789</v>
      </c>
      <c r="N2" s="23" t="s">
        <v>101</v>
      </c>
      <c r="O2" s="23">
        <v>7</v>
      </c>
      <c r="P2" s="23" t="s">
        <v>102</v>
      </c>
      <c r="Q2" s="13"/>
      <c r="R2" s="13"/>
      <c r="S2" s="13"/>
      <c r="T2" s="13" t="s">
        <v>2436</v>
      </c>
      <c r="U2" s="23" t="s">
        <v>11</v>
      </c>
      <c r="V2" s="23" t="s">
        <v>12</v>
      </c>
      <c r="W2" s="23" t="s">
        <v>103</v>
      </c>
      <c r="X2" s="23" t="s">
        <v>13</v>
      </c>
      <c r="Y2" s="13"/>
      <c r="Z2" s="23" t="s">
        <v>104</v>
      </c>
      <c r="AA2" s="23" t="s">
        <v>105</v>
      </c>
      <c r="AB2" s="23" t="s">
        <v>106</v>
      </c>
      <c r="AC2" s="23" t="s">
        <v>107</v>
      </c>
      <c r="AD2" s="13"/>
      <c r="AE2" s="25" t="s">
        <v>108</v>
      </c>
      <c r="AF2" s="23" t="s">
        <v>108</v>
      </c>
      <c r="AG2" s="23"/>
      <c r="AH2" s="23" t="s">
        <v>109</v>
      </c>
      <c r="AI2" s="23" t="s">
        <v>110</v>
      </c>
      <c r="AJ2" s="23">
        <v>5</v>
      </c>
      <c r="AK2" s="23" t="s">
        <v>111</v>
      </c>
      <c r="AL2" s="23"/>
      <c r="AM2" s="13"/>
      <c r="AN2" s="13"/>
      <c r="AO2" s="26" t="s">
        <v>112</v>
      </c>
      <c r="AP2" s="26" t="s">
        <v>112</v>
      </c>
      <c r="AQ2" s="13"/>
      <c r="AR2" s="26"/>
      <c r="AS2" s="26"/>
      <c r="AT2" s="26"/>
      <c r="AU2" s="23"/>
      <c r="AV2" s="13"/>
      <c r="AW2" s="23"/>
      <c r="AX2" s="23"/>
      <c r="AY2" s="23"/>
      <c r="AZ2" s="23"/>
      <c r="BA2" s="13"/>
      <c r="BB2" s="23"/>
      <c r="BC2" s="23"/>
      <c r="BD2" s="23"/>
      <c r="BE2" s="23"/>
      <c r="BF2" s="13"/>
      <c r="BG2" s="26" t="s">
        <v>113</v>
      </c>
      <c r="BH2" s="26">
        <v>39933934000016</v>
      </c>
      <c r="BI2" s="26" t="s">
        <v>114</v>
      </c>
      <c r="BJ2" s="26" t="s">
        <v>115</v>
      </c>
      <c r="BK2" s="13"/>
      <c r="BL2" s="23" t="s">
        <v>116</v>
      </c>
      <c r="BM2" s="23" t="s">
        <v>117</v>
      </c>
      <c r="BN2" s="23" t="s">
        <v>118</v>
      </c>
      <c r="BO2" s="23" t="s">
        <v>119</v>
      </c>
      <c r="BP2" s="13"/>
      <c r="BQ2" s="23" t="s">
        <v>120</v>
      </c>
      <c r="BR2" s="23" t="s">
        <v>121</v>
      </c>
      <c r="BS2" s="23" t="s">
        <v>122</v>
      </c>
      <c r="BT2" s="23" t="s">
        <v>123</v>
      </c>
      <c r="BU2" s="13"/>
      <c r="BV2" s="26" t="s">
        <v>113</v>
      </c>
      <c r="BW2" s="26" t="s">
        <v>124</v>
      </c>
      <c r="BX2" s="26" t="s">
        <v>114</v>
      </c>
      <c r="BY2" s="26"/>
      <c r="BZ2" s="26" t="s">
        <v>125</v>
      </c>
      <c r="CA2" s="13"/>
      <c r="CB2" s="23" t="s">
        <v>126</v>
      </c>
      <c r="CC2" s="23" t="s">
        <v>127</v>
      </c>
      <c r="CD2" s="23" t="s">
        <v>128</v>
      </c>
      <c r="CE2" s="23" t="s">
        <v>129</v>
      </c>
      <c r="CF2" s="13"/>
      <c r="CG2" s="26" t="s">
        <v>130</v>
      </c>
      <c r="CH2" s="26"/>
      <c r="CI2" s="26"/>
      <c r="CJ2" s="26"/>
      <c r="CK2" s="26" t="s">
        <v>131</v>
      </c>
      <c r="CL2" s="23" t="s">
        <v>132</v>
      </c>
      <c r="CM2" s="13"/>
      <c r="CN2" s="23" t="s">
        <v>133</v>
      </c>
      <c r="CO2" s="23" t="s">
        <v>134</v>
      </c>
      <c r="CP2" s="23" t="s">
        <v>135</v>
      </c>
      <c r="CQ2" s="23" t="s">
        <v>136</v>
      </c>
    </row>
    <row r="3" spans="1:95" ht="14.5">
      <c r="A3" s="27" t="s">
        <v>96</v>
      </c>
      <c r="B3" s="27">
        <v>54850098200044</v>
      </c>
      <c r="C3" s="27" t="s">
        <v>18</v>
      </c>
      <c r="D3" s="27"/>
      <c r="E3" s="27" t="s">
        <v>2390</v>
      </c>
      <c r="F3" s="28" t="s">
        <v>138</v>
      </c>
      <c r="G3" s="28"/>
      <c r="H3" s="22" t="str">
        <f t="array" ref="H3">IFERROR(INDEX(dénomination_ced!$C$2:$C$1102, MATCH(F3, dénomination_ced!$C$1:$C$1102, 0)), "Non classifié")</f>
        <v>Non classifié</v>
      </c>
      <c r="I3" s="25" t="s">
        <v>2423</v>
      </c>
      <c r="J3" s="23" t="s">
        <v>139</v>
      </c>
      <c r="K3" s="12"/>
      <c r="L3" s="29" t="s">
        <v>112</v>
      </c>
      <c r="M3" s="29" t="s">
        <v>112</v>
      </c>
      <c r="N3" s="29" t="s">
        <v>112</v>
      </c>
      <c r="O3" s="29" t="s">
        <v>112</v>
      </c>
      <c r="P3" s="29" t="s">
        <v>112</v>
      </c>
      <c r="Q3" s="12"/>
      <c r="R3" s="12"/>
      <c r="S3" s="12"/>
      <c r="T3" s="13" t="s">
        <v>2436</v>
      </c>
      <c r="U3" s="25" t="s">
        <v>11</v>
      </c>
      <c r="V3" s="25" t="s">
        <v>12</v>
      </c>
      <c r="W3" s="23" t="s">
        <v>103</v>
      </c>
      <c r="X3" s="25" t="s">
        <v>13</v>
      </c>
      <c r="Y3" s="12"/>
      <c r="Z3" s="23" t="s">
        <v>104</v>
      </c>
      <c r="AA3" s="23" t="s">
        <v>105</v>
      </c>
      <c r="AB3" s="23" t="s">
        <v>106</v>
      </c>
      <c r="AC3" s="23" t="s">
        <v>107</v>
      </c>
      <c r="AD3" s="12"/>
      <c r="AE3" s="25" t="s">
        <v>108</v>
      </c>
      <c r="AF3" s="23" t="s">
        <v>108</v>
      </c>
      <c r="AG3" s="25"/>
      <c r="AH3" s="23" t="s">
        <v>109</v>
      </c>
      <c r="AI3" s="23" t="s">
        <v>110</v>
      </c>
      <c r="AJ3" s="25">
        <v>5</v>
      </c>
      <c r="AK3" s="23" t="s">
        <v>111</v>
      </c>
      <c r="AL3" s="25"/>
      <c r="AM3" s="12"/>
      <c r="AN3" s="12"/>
      <c r="AO3" s="29" t="s">
        <v>112</v>
      </c>
      <c r="AP3" s="29" t="s">
        <v>112</v>
      </c>
      <c r="AQ3" s="12"/>
      <c r="AR3" s="29"/>
      <c r="AS3" s="25"/>
      <c r="AT3" s="25"/>
      <c r="AU3" s="29"/>
      <c r="AV3" s="12"/>
      <c r="AW3" s="25"/>
      <c r="AX3" s="25"/>
      <c r="AY3" s="25"/>
      <c r="AZ3" s="25"/>
      <c r="BA3" s="12"/>
      <c r="BB3" s="25"/>
      <c r="BC3" s="25"/>
      <c r="BD3" s="25"/>
      <c r="BE3" s="25"/>
      <c r="BF3" s="12"/>
      <c r="BG3" s="29" t="s">
        <v>140</v>
      </c>
      <c r="BH3" s="25" t="s">
        <v>141</v>
      </c>
      <c r="BI3" s="29" t="s">
        <v>142</v>
      </c>
      <c r="BJ3" s="29">
        <v>2167061</v>
      </c>
      <c r="BK3" s="12"/>
      <c r="BL3" s="23" t="s">
        <v>116</v>
      </c>
      <c r="BM3" s="23" t="s">
        <v>117</v>
      </c>
      <c r="BN3" s="23" t="s">
        <v>118</v>
      </c>
      <c r="BO3" s="23" t="s">
        <v>119</v>
      </c>
      <c r="BP3" s="12"/>
      <c r="BQ3" s="23" t="s">
        <v>120</v>
      </c>
      <c r="BR3" s="23" t="s">
        <v>121</v>
      </c>
      <c r="BS3" s="23" t="s">
        <v>122</v>
      </c>
      <c r="BT3" s="23" t="s">
        <v>123</v>
      </c>
      <c r="BU3" s="12"/>
      <c r="BV3" s="29"/>
      <c r="BW3" s="25"/>
      <c r="BX3" s="29"/>
      <c r="BY3" s="29"/>
      <c r="BZ3" s="29"/>
      <c r="CA3" s="12"/>
      <c r="CB3" s="25"/>
      <c r="CC3" s="25"/>
      <c r="CD3" s="25"/>
      <c r="CE3" s="25"/>
      <c r="CF3" s="12"/>
      <c r="CG3" s="29" t="s">
        <v>143</v>
      </c>
      <c r="CH3" s="146">
        <v>35238105700038</v>
      </c>
      <c r="CI3" s="29" t="s">
        <v>145</v>
      </c>
      <c r="CJ3" s="25"/>
      <c r="CK3" s="29" t="s">
        <v>146</v>
      </c>
      <c r="CL3" s="29" t="s">
        <v>132</v>
      </c>
      <c r="CM3" s="12"/>
      <c r="CN3" s="23" t="s">
        <v>133</v>
      </c>
      <c r="CO3" s="23" t="s">
        <v>134</v>
      </c>
      <c r="CP3" s="23" t="s">
        <v>135</v>
      </c>
      <c r="CQ3" s="23" t="s">
        <v>136</v>
      </c>
    </row>
    <row r="4" spans="1:95" ht="14.5">
      <c r="A4" s="22" t="s">
        <v>96</v>
      </c>
      <c r="B4" s="22">
        <v>54850098200044</v>
      </c>
      <c r="C4" s="22" t="s">
        <v>18</v>
      </c>
      <c r="D4" s="22"/>
      <c r="E4" s="22" t="s">
        <v>2391</v>
      </c>
      <c r="F4" s="30" t="s">
        <v>148</v>
      </c>
      <c r="G4" s="31" t="s">
        <v>149</v>
      </c>
      <c r="H4" s="22" t="str">
        <f t="array" ref="H4">IFERROR(INDEX(dénomination_ced!$C$2:$C$1102, MATCH(F4, dénomination_ced!$C$1:$C$1102, 0)), "Non classifié")</f>
        <v>Non classifié</v>
      </c>
      <c r="I4" s="23" t="s">
        <v>2421</v>
      </c>
      <c r="J4" s="23" t="s">
        <v>150</v>
      </c>
      <c r="K4" s="13"/>
      <c r="L4" s="23" t="s">
        <v>151</v>
      </c>
      <c r="M4" s="13">
        <v>1742</v>
      </c>
      <c r="N4" s="23" t="s">
        <v>101</v>
      </c>
      <c r="O4" s="23">
        <v>7</v>
      </c>
      <c r="P4" s="23" t="s">
        <v>102</v>
      </c>
      <c r="Q4" s="13"/>
      <c r="R4" s="13"/>
      <c r="S4" s="13"/>
      <c r="T4" s="13" t="s">
        <v>2436</v>
      </c>
      <c r="U4" s="23" t="s">
        <v>11</v>
      </c>
      <c r="V4" s="23" t="s">
        <v>12</v>
      </c>
      <c r="W4" s="23" t="s">
        <v>103</v>
      </c>
      <c r="X4" s="23" t="s">
        <v>13</v>
      </c>
      <c r="Y4" s="13"/>
      <c r="Z4" s="23" t="s">
        <v>104</v>
      </c>
      <c r="AA4" s="23" t="s">
        <v>105</v>
      </c>
      <c r="AB4" s="23" t="s">
        <v>106</v>
      </c>
      <c r="AC4" s="23" t="s">
        <v>107</v>
      </c>
      <c r="AD4" s="13"/>
      <c r="AE4" s="25" t="s">
        <v>108</v>
      </c>
      <c r="AF4" s="23" t="s">
        <v>108</v>
      </c>
      <c r="AG4" s="23"/>
      <c r="AH4" s="23" t="s">
        <v>109</v>
      </c>
      <c r="AI4" s="23" t="s">
        <v>110</v>
      </c>
      <c r="AJ4" s="23">
        <v>5</v>
      </c>
      <c r="AK4" s="23" t="s">
        <v>111</v>
      </c>
      <c r="AL4" s="23"/>
      <c r="AM4" s="13"/>
      <c r="AN4" s="13"/>
      <c r="AO4" s="26" t="s">
        <v>112</v>
      </c>
      <c r="AP4" s="26" t="s">
        <v>112</v>
      </c>
      <c r="AQ4" s="13"/>
      <c r="AR4" s="31"/>
      <c r="AS4" s="31"/>
      <c r="AT4" s="31"/>
      <c r="AU4" s="31"/>
      <c r="AV4" s="13"/>
      <c r="AW4" s="23"/>
      <c r="AX4" s="23"/>
      <c r="AY4" s="23"/>
      <c r="AZ4" s="23"/>
      <c r="BA4" s="13"/>
      <c r="BB4" s="23"/>
      <c r="BC4" s="23"/>
      <c r="BD4" s="23"/>
      <c r="BE4" s="23"/>
      <c r="BF4" s="13"/>
      <c r="BG4" s="29" t="s">
        <v>140</v>
      </c>
      <c r="BH4" s="25" t="s">
        <v>141</v>
      </c>
      <c r="BI4" s="29" t="s">
        <v>142</v>
      </c>
      <c r="BJ4" s="29">
        <v>2167061</v>
      </c>
      <c r="BK4" s="13"/>
      <c r="BL4" s="23" t="s">
        <v>116</v>
      </c>
      <c r="BM4" s="23" t="s">
        <v>117</v>
      </c>
      <c r="BN4" s="23" t="s">
        <v>118</v>
      </c>
      <c r="BO4" s="23" t="s">
        <v>119</v>
      </c>
      <c r="BP4" s="13"/>
      <c r="BQ4" s="23" t="s">
        <v>120</v>
      </c>
      <c r="BR4" s="23" t="s">
        <v>121</v>
      </c>
      <c r="BS4" s="23" t="s">
        <v>122</v>
      </c>
      <c r="BT4" s="23" t="s">
        <v>123</v>
      </c>
      <c r="BU4" s="13"/>
      <c r="BV4" s="31"/>
      <c r="BW4" s="31"/>
      <c r="BX4" s="31"/>
      <c r="BY4" s="31"/>
      <c r="BZ4" s="31"/>
      <c r="CA4" s="13"/>
      <c r="CB4" s="23"/>
      <c r="CC4" s="23"/>
      <c r="CD4" s="23"/>
      <c r="CE4" s="23"/>
      <c r="CF4" s="13"/>
      <c r="CG4" s="29" t="s">
        <v>143</v>
      </c>
      <c r="CH4" s="25" t="s">
        <v>144</v>
      </c>
      <c r="CI4" s="29" t="s">
        <v>145</v>
      </c>
      <c r="CJ4" s="25"/>
      <c r="CK4" s="29" t="s">
        <v>146</v>
      </c>
      <c r="CL4" s="29" t="s">
        <v>132</v>
      </c>
      <c r="CM4" s="13"/>
      <c r="CN4" s="23" t="s">
        <v>133</v>
      </c>
      <c r="CO4" s="23" t="s">
        <v>134</v>
      </c>
      <c r="CP4" s="23" t="s">
        <v>135</v>
      </c>
      <c r="CQ4" s="23" t="s">
        <v>136</v>
      </c>
    </row>
    <row r="5" spans="1:95" ht="14.5">
      <c r="A5" s="27" t="s">
        <v>96</v>
      </c>
      <c r="B5" s="27">
        <v>54850098200044</v>
      </c>
      <c r="C5" s="27" t="s">
        <v>18</v>
      </c>
      <c r="D5" s="27"/>
      <c r="E5" s="27" t="s">
        <v>2392</v>
      </c>
      <c r="F5" s="28" t="s">
        <v>152</v>
      </c>
      <c r="G5" s="29" t="s">
        <v>153</v>
      </c>
      <c r="H5" s="22" t="str">
        <f t="array" ref="H5">IFERROR(INDEX(dénomination_ced!$C$2:$C$1102, MATCH(F5, dénomination_ced!$C$1:$C$1102, 0)), "Non classifié")</f>
        <v>Non classifié</v>
      </c>
      <c r="I5" s="25" t="s">
        <v>2423</v>
      </c>
      <c r="J5" s="23" t="s">
        <v>154</v>
      </c>
      <c r="K5" s="12"/>
      <c r="L5" s="29" t="s">
        <v>112</v>
      </c>
      <c r="M5" s="29" t="s">
        <v>112</v>
      </c>
      <c r="N5" s="29" t="s">
        <v>112</v>
      </c>
      <c r="O5" s="29" t="s">
        <v>112</v>
      </c>
      <c r="P5" s="29" t="s">
        <v>112</v>
      </c>
      <c r="Q5" s="12"/>
      <c r="R5" s="12"/>
      <c r="S5" s="12"/>
      <c r="T5" s="13" t="s">
        <v>2436</v>
      </c>
      <c r="U5" s="25" t="s">
        <v>11</v>
      </c>
      <c r="V5" s="25" t="s">
        <v>12</v>
      </c>
      <c r="W5" s="23" t="s">
        <v>103</v>
      </c>
      <c r="X5" s="25" t="s">
        <v>13</v>
      </c>
      <c r="Y5" s="12"/>
      <c r="Z5" s="23" t="s">
        <v>104</v>
      </c>
      <c r="AA5" s="23" t="s">
        <v>105</v>
      </c>
      <c r="AB5" s="23" t="s">
        <v>106</v>
      </c>
      <c r="AC5" s="23" t="s">
        <v>107</v>
      </c>
      <c r="AD5" s="12"/>
      <c r="AE5" s="25" t="s">
        <v>108</v>
      </c>
      <c r="AF5" s="23" t="s">
        <v>108</v>
      </c>
      <c r="AG5" s="25"/>
      <c r="AH5" s="23" t="s">
        <v>109</v>
      </c>
      <c r="AI5" s="23" t="s">
        <v>110</v>
      </c>
      <c r="AJ5" s="25">
        <v>7</v>
      </c>
      <c r="AK5" s="23" t="s">
        <v>111</v>
      </c>
      <c r="AL5" s="25"/>
      <c r="AM5" s="12"/>
      <c r="AN5" s="12"/>
      <c r="AO5" s="29" t="s">
        <v>112</v>
      </c>
      <c r="AP5" s="29" t="s">
        <v>112</v>
      </c>
      <c r="AQ5" s="12"/>
      <c r="AR5" s="29"/>
      <c r="AS5" s="25"/>
      <c r="AT5" s="25"/>
      <c r="AU5" s="29"/>
      <c r="AV5" s="12"/>
      <c r="AW5" s="25"/>
      <c r="AX5" s="25"/>
      <c r="AY5" s="25"/>
      <c r="AZ5" s="25"/>
      <c r="BA5" s="12"/>
      <c r="BB5" s="25"/>
      <c r="BC5" s="25"/>
      <c r="BD5" s="25"/>
      <c r="BE5" s="25"/>
      <c r="BF5" s="12"/>
      <c r="BG5" s="29" t="s">
        <v>155</v>
      </c>
      <c r="BH5" s="25" t="s">
        <v>156</v>
      </c>
      <c r="BI5" s="29" t="s">
        <v>157</v>
      </c>
      <c r="BJ5" s="29">
        <v>2067081</v>
      </c>
      <c r="BK5" s="12"/>
      <c r="BL5" s="23" t="s">
        <v>116</v>
      </c>
      <c r="BM5" s="23" t="s">
        <v>117</v>
      </c>
      <c r="BN5" s="23" t="s">
        <v>118</v>
      </c>
      <c r="BO5" s="23" t="s">
        <v>119</v>
      </c>
      <c r="BP5" s="12"/>
      <c r="BQ5" s="23" t="s">
        <v>120</v>
      </c>
      <c r="BR5" s="23" t="s">
        <v>121</v>
      </c>
      <c r="BS5" s="23" t="s">
        <v>122</v>
      </c>
      <c r="BT5" s="23" t="s">
        <v>123</v>
      </c>
      <c r="BU5" s="12"/>
      <c r="BV5" s="29"/>
      <c r="BW5" s="25"/>
      <c r="BX5" s="29"/>
      <c r="BY5" s="29"/>
      <c r="BZ5" s="29"/>
      <c r="CA5" s="12"/>
      <c r="CB5" s="25"/>
      <c r="CC5" s="25"/>
      <c r="CD5" s="25"/>
      <c r="CE5" s="25"/>
      <c r="CF5" s="12"/>
      <c r="CG5" s="29" t="s">
        <v>155</v>
      </c>
      <c r="CH5" s="25" t="s">
        <v>156</v>
      </c>
      <c r="CI5" s="29" t="s">
        <v>157</v>
      </c>
      <c r="CJ5" s="25"/>
      <c r="CK5" s="29" t="s">
        <v>146</v>
      </c>
      <c r="CL5" s="29" t="s">
        <v>132</v>
      </c>
      <c r="CM5" s="12"/>
      <c r="CN5" s="23" t="s">
        <v>133</v>
      </c>
      <c r="CO5" s="23" t="s">
        <v>134</v>
      </c>
      <c r="CP5" s="23" t="s">
        <v>135</v>
      </c>
      <c r="CQ5" s="23" t="s">
        <v>136</v>
      </c>
    </row>
    <row r="6" spans="1:95" ht="14.5">
      <c r="A6" s="22" t="s">
        <v>96</v>
      </c>
      <c r="B6" s="22">
        <v>54850098200044</v>
      </c>
      <c r="C6" s="22" t="s">
        <v>18</v>
      </c>
      <c r="D6" s="22"/>
      <c r="E6" s="22" t="s">
        <v>2393</v>
      </c>
      <c r="F6" s="32" t="s">
        <v>159</v>
      </c>
      <c r="G6" s="23" t="s">
        <v>160</v>
      </c>
      <c r="H6" s="22" t="str">
        <f t="array" ref="H6">IFERROR(INDEX(dénomination_ced!$C$2:$C$1102, MATCH(F6, dénomination_ced!$C$1:$C$1102, 0)), "Non classifié")</f>
        <v>Non classifié</v>
      </c>
      <c r="I6" s="25" t="s">
        <v>2423</v>
      </c>
      <c r="J6" s="23" t="s">
        <v>161</v>
      </c>
      <c r="K6" s="13"/>
      <c r="L6" s="23" t="s">
        <v>162</v>
      </c>
      <c r="M6" s="13">
        <v>1777</v>
      </c>
      <c r="N6" s="23" t="s">
        <v>101</v>
      </c>
      <c r="O6" s="23">
        <v>7</v>
      </c>
      <c r="P6" s="23" t="s">
        <v>102</v>
      </c>
      <c r="Q6" s="13"/>
      <c r="R6" s="13"/>
      <c r="S6" s="13"/>
      <c r="T6" s="13" t="s">
        <v>2436</v>
      </c>
      <c r="U6" s="23" t="s">
        <v>11</v>
      </c>
      <c r="V6" s="23" t="s">
        <v>12</v>
      </c>
      <c r="W6" s="23" t="s">
        <v>103</v>
      </c>
      <c r="X6" s="23" t="s">
        <v>13</v>
      </c>
      <c r="Y6" s="13"/>
      <c r="Z6" s="23" t="s">
        <v>104</v>
      </c>
      <c r="AA6" s="23" t="s">
        <v>105</v>
      </c>
      <c r="AB6" s="23" t="s">
        <v>106</v>
      </c>
      <c r="AC6" s="23" t="s">
        <v>107</v>
      </c>
      <c r="AD6" s="13"/>
      <c r="AE6" s="25" t="s">
        <v>108</v>
      </c>
      <c r="AF6" s="23" t="s">
        <v>108</v>
      </c>
      <c r="AG6" s="23"/>
      <c r="AH6" s="23" t="s">
        <v>109</v>
      </c>
      <c r="AI6" s="23" t="s">
        <v>110</v>
      </c>
      <c r="AJ6" s="23">
        <v>7</v>
      </c>
      <c r="AK6" s="23" t="s">
        <v>111</v>
      </c>
      <c r="AL6" s="23"/>
      <c r="AM6" s="13"/>
      <c r="AN6" s="13"/>
      <c r="AO6" s="26" t="s">
        <v>112</v>
      </c>
      <c r="AP6" s="26" t="s">
        <v>112</v>
      </c>
      <c r="AQ6" s="13"/>
      <c r="AR6" s="26"/>
      <c r="AS6" s="26"/>
      <c r="AT6" s="26"/>
      <c r="AU6" s="26"/>
      <c r="AV6" s="13"/>
      <c r="AW6" s="23"/>
      <c r="AX6" s="23"/>
      <c r="AY6" s="23"/>
      <c r="AZ6" s="23"/>
      <c r="BA6" s="13"/>
      <c r="BB6" s="23"/>
      <c r="BC6" s="23"/>
      <c r="BD6" s="23"/>
      <c r="BE6" s="23"/>
      <c r="BF6" s="13"/>
      <c r="BG6" s="26" t="s">
        <v>163</v>
      </c>
      <c r="BH6" s="26">
        <v>30223694800030</v>
      </c>
      <c r="BI6" s="26" t="s">
        <v>164</v>
      </c>
      <c r="BJ6" s="26">
        <v>7540873</v>
      </c>
      <c r="BK6" s="13"/>
      <c r="BL6" s="23" t="s">
        <v>116</v>
      </c>
      <c r="BM6" s="23" t="s">
        <v>117</v>
      </c>
      <c r="BN6" s="23" t="s">
        <v>118</v>
      </c>
      <c r="BO6" s="23" t="s">
        <v>119</v>
      </c>
      <c r="BP6" s="13"/>
      <c r="BQ6" s="23" t="s">
        <v>120</v>
      </c>
      <c r="BR6" s="23" t="s">
        <v>121</v>
      </c>
      <c r="BS6" s="23" t="s">
        <v>122</v>
      </c>
      <c r="BT6" s="23" t="s">
        <v>123</v>
      </c>
      <c r="BU6" s="13"/>
      <c r="BV6" s="26" t="s">
        <v>163</v>
      </c>
      <c r="BW6" s="26" t="s">
        <v>124</v>
      </c>
      <c r="BX6" s="26" t="s">
        <v>164</v>
      </c>
      <c r="BY6" s="26"/>
      <c r="BZ6" s="26" t="s">
        <v>165</v>
      </c>
      <c r="CA6" s="13"/>
      <c r="CB6" s="23" t="s">
        <v>126</v>
      </c>
      <c r="CC6" s="23" t="s">
        <v>127</v>
      </c>
      <c r="CD6" s="23" t="s">
        <v>128</v>
      </c>
      <c r="CE6" s="23" t="s">
        <v>129</v>
      </c>
      <c r="CF6" s="13"/>
      <c r="CG6" s="26" t="s">
        <v>163</v>
      </c>
      <c r="CH6" s="26">
        <v>30223694800030</v>
      </c>
      <c r="CI6" s="26" t="s">
        <v>164</v>
      </c>
      <c r="CJ6" s="26"/>
      <c r="CK6" s="26" t="s">
        <v>166</v>
      </c>
      <c r="CL6" s="23" t="s">
        <v>167</v>
      </c>
      <c r="CM6" s="13"/>
      <c r="CN6" s="23" t="s">
        <v>133</v>
      </c>
      <c r="CO6" s="23" t="s">
        <v>134</v>
      </c>
      <c r="CP6" s="23" t="s">
        <v>135</v>
      </c>
      <c r="CQ6" s="23" t="s">
        <v>136</v>
      </c>
    </row>
    <row r="7" spans="1:95" ht="14.5">
      <c r="A7" s="27" t="s">
        <v>96</v>
      </c>
      <c r="B7" s="27">
        <v>54850098200044</v>
      </c>
      <c r="C7" s="27" t="s">
        <v>18</v>
      </c>
      <c r="D7" s="27"/>
      <c r="E7" s="27" t="s">
        <v>2424</v>
      </c>
      <c r="F7" s="28" t="s">
        <v>169</v>
      </c>
      <c r="G7" s="29" t="s">
        <v>170</v>
      </c>
      <c r="H7" s="22" t="str">
        <f t="array" ref="H7">IFERROR(INDEX(dénomination_ced!$C$2:$C$1102, MATCH(F7, dénomination_ced!$C$1:$C$1102, 0)), "Non classifié")</f>
        <v>Non classifié</v>
      </c>
      <c r="I7" s="25" t="s">
        <v>2423</v>
      </c>
      <c r="J7" s="23" t="s">
        <v>171</v>
      </c>
      <c r="K7" s="12"/>
      <c r="L7" s="23" t="s">
        <v>172</v>
      </c>
      <c r="M7" s="24">
        <v>1774</v>
      </c>
      <c r="N7" s="23" t="s">
        <v>101</v>
      </c>
      <c r="O7" s="23">
        <v>7</v>
      </c>
      <c r="P7" s="23" t="s">
        <v>102</v>
      </c>
      <c r="Q7" s="12"/>
      <c r="R7" s="12"/>
      <c r="S7" s="12"/>
      <c r="T7" s="13" t="s">
        <v>2436</v>
      </c>
      <c r="U7" s="25" t="s">
        <v>11</v>
      </c>
      <c r="V7" s="25" t="s">
        <v>12</v>
      </c>
      <c r="W7" s="23" t="s">
        <v>103</v>
      </c>
      <c r="X7" s="25" t="s">
        <v>13</v>
      </c>
      <c r="Y7" s="12"/>
      <c r="Z7" s="23" t="s">
        <v>104</v>
      </c>
      <c r="AA7" s="23" t="s">
        <v>105</v>
      </c>
      <c r="AB7" s="23" t="s">
        <v>106</v>
      </c>
      <c r="AC7" s="23" t="s">
        <v>107</v>
      </c>
      <c r="AD7" s="12"/>
      <c r="AE7" s="25" t="s">
        <v>108</v>
      </c>
      <c r="AF7" s="23" t="s">
        <v>108</v>
      </c>
      <c r="AG7" s="25"/>
      <c r="AH7" s="23" t="s">
        <v>109</v>
      </c>
      <c r="AI7" s="23" t="s">
        <v>110</v>
      </c>
      <c r="AJ7" s="25">
        <v>7</v>
      </c>
      <c r="AK7" s="23" t="s">
        <v>111</v>
      </c>
      <c r="AL7" s="25"/>
      <c r="AM7" s="12"/>
      <c r="AN7" s="12"/>
      <c r="AO7" s="29" t="s">
        <v>112</v>
      </c>
      <c r="AP7" s="29" t="s">
        <v>112</v>
      </c>
      <c r="AQ7" s="12"/>
      <c r="AR7" s="29"/>
      <c r="AS7" s="29"/>
      <c r="AT7" s="29"/>
      <c r="AU7" s="25"/>
      <c r="AV7" s="12"/>
      <c r="AW7" s="25"/>
      <c r="AX7" s="25"/>
      <c r="AY7" s="25"/>
      <c r="AZ7" s="25"/>
      <c r="BA7" s="12"/>
      <c r="BB7" s="25"/>
      <c r="BC7" s="25"/>
      <c r="BD7" s="25"/>
      <c r="BE7" s="25"/>
      <c r="BF7" s="12"/>
      <c r="BG7" s="29" t="s">
        <v>113</v>
      </c>
      <c r="BH7" s="29">
        <v>39933934000016</v>
      </c>
      <c r="BI7" s="29" t="s">
        <v>114</v>
      </c>
      <c r="BJ7" s="29" t="s">
        <v>115</v>
      </c>
      <c r="BK7" s="12"/>
      <c r="BL7" s="23" t="s">
        <v>116</v>
      </c>
      <c r="BM7" s="23" t="s">
        <v>117</v>
      </c>
      <c r="BN7" s="23" t="s">
        <v>118</v>
      </c>
      <c r="BO7" s="23" t="s">
        <v>119</v>
      </c>
      <c r="BP7" s="12"/>
      <c r="BQ7" s="23" t="s">
        <v>120</v>
      </c>
      <c r="BR7" s="23" t="s">
        <v>121</v>
      </c>
      <c r="BS7" s="23" t="s">
        <v>122</v>
      </c>
      <c r="BT7" s="23" t="s">
        <v>123</v>
      </c>
      <c r="BU7" s="12"/>
      <c r="BV7" s="29" t="s">
        <v>113</v>
      </c>
      <c r="BW7" s="29" t="s">
        <v>124</v>
      </c>
      <c r="BX7" s="29" t="s">
        <v>114</v>
      </c>
      <c r="BY7" s="29"/>
      <c r="BZ7" s="29" t="s">
        <v>125</v>
      </c>
      <c r="CA7" s="12"/>
      <c r="CB7" s="23" t="s">
        <v>126</v>
      </c>
      <c r="CC7" s="23" t="s">
        <v>127</v>
      </c>
      <c r="CD7" s="23" t="s">
        <v>128</v>
      </c>
      <c r="CE7" s="23" t="s">
        <v>129</v>
      </c>
      <c r="CF7" s="12"/>
      <c r="CG7" s="29" t="s">
        <v>130</v>
      </c>
      <c r="CH7" s="29"/>
      <c r="CI7" s="25"/>
      <c r="CJ7" s="29"/>
      <c r="CK7" s="29" t="s">
        <v>125</v>
      </c>
      <c r="CL7" s="25" t="s">
        <v>132</v>
      </c>
      <c r="CM7" s="12"/>
      <c r="CN7" s="23" t="s">
        <v>133</v>
      </c>
      <c r="CO7" s="23" t="s">
        <v>134</v>
      </c>
      <c r="CP7" s="23" t="s">
        <v>135</v>
      </c>
      <c r="CQ7" s="23" t="s">
        <v>136</v>
      </c>
    </row>
    <row r="8" spans="1:95" ht="14.5">
      <c r="A8" s="22" t="s">
        <v>96</v>
      </c>
      <c r="B8" s="22">
        <v>54850098200044</v>
      </c>
      <c r="C8" s="22" t="s">
        <v>18</v>
      </c>
      <c r="D8" s="22"/>
      <c r="E8" s="22" t="s">
        <v>2394</v>
      </c>
      <c r="F8" s="22" t="s">
        <v>174</v>
      </c>
      <c r="G8" s="22"/>
      <c r="H8" s="22" t="str">
        <f t="array" ref="H8">IFERROR(INDEX(dénomination_ced!$C$2:$C$1102, MATCH(F8, dénomination_ced!$C$1:$C$1102, 0)), "Non classifié")</f>
        <v>Non classifié</v>
      </c>
      <c r="I8" s="25" t="s">
        <v>2423</v>
      </c>
      <c r="J8" s="23" t="s">
        <v>175</v>
      </c>
      <c r="K8" s="13"/>
      <c r="L8" s="26" t="s">
        <v>112</v>
      </c>
      <c r="M8" s="26" t="s">
        <v>112</v>
      </c>
      <c r="N8" s="26" t="s">
        <v>112</v>
      </c>
      <c r="O8" s="26" t="s">
        <v>112</v>
      </c>
      <c r="P8" s="26" t="s">
        <v>112</v>
      </c>
      <c r="Q8" s="13"/>
      <c r="R8" s="13"/>
      <c r="S8" s="13"/>
      <c r="T8" s="13" t="s">
        <v>2436</v>
      </c>
      <c r="U8" s="23" t="s">
        <v>11</v>
      </c>
      <c r="V8" s="23" t="s">
        <v>12</v>
      </c>
      <c r="W8" s="23" t="s">
        <v>103</v>
      </c>
      <c r="X8" s="23" t="s">
        <v>13</v>
      </c>
      <c r="Y8" s="13"/>
      <c r="Z8" s="23" t="s">
        <v>104</v>
      </c>
      <c r="AA8" s="23" t="s">
        <v>105</v>
      </c>
      <c r="AB8" s="23" t="s">
        <v>106</v>
      </c>
      <c r="AC8" s="23" t="s">
        <v>107</v>
      </c>
      <c r="AD8" s="13"/>
      <c r="AE8" s="25" t="s">
        <v>108</v>
      </c>
      <c r="AF8" s="23" t="s">
        <v>108</v>
      </c>
      <c r="AG8" s="23"/>
      <c r="AH8" s="23" t="s">
        <v>109</v>
      </c>
      <c r="AI8" s="23" t="s">
        <v>110</v>
      </c>
      <c r="AJ8" s="23">
        <v>12</v>
      </c>
      <c r="AK8" s="23" t="s">
        <v>111</v>
      </c>
      <c r="AL8" s="23"/>
      <c r="AM8" s="13"/>
      <c r="AN8" s="13"/>
      <c r="AO8" s="26" t="s">
        <v>112</v>
      </c>
      <c r="AP8" s="26" t="s">
        <v>112</v>
      </c>
      <c r="AQ8" s="13"/>
      <c r="AR8" s="26"/>
      <c r="AS8" s="26"/>
      <c r="AT8" s="26"/>
      <c r="AU8" s="26"/>
      <c r="AV8" s="13"/>
      <c r="AW8" s="23"/>
      <c r="AX8" s="23"/>
      <c r="AY8" s="23"/>
      <c r="AZ8" s="23"/>
      <c r="BA8" s="13"/>
      <c r="BB8" s="23"/>
      <c r="BC8" s="23"/>
      <c r="BD8" s="23"/>
      <c r="BE8" s="23"/>
      <c r="BF8" s="13"/>
      <c r="BG8" s="26" t="s">
        <v>176</v>
      </c>
      <c r="BH8" s="23" t="s">
        <v>177</v>
      </c>
      <c r="BI8" s="26" t="s">
        <v>178</v>
      </c>
      <c r="BJ8" s="26" t="s">
        <v>179</v>
      </c>
      <c r="BK8" s="13"/>
      <c r="BL8" s="23" t="s">
        <v>116</v>
      </c>
      <c r="BM8" s="23" t="s">
        <v>117</v>
      </c>
      <c r="BN8" s="23" t="s">
        <v>118</v>
      </c>
      <c r="BO8" s="23" t="s">
        <v>119</v>
      </c>
      <c r="BP8" s="13"/>
      <c r="BQ8" s="23" t="s">
        <v>120</v>
      </c>
      <c r="BR8" s="23" t="s">
        <v>121</v>
      </c>
      <c r="BS8" s="23" t="s">
        <v>122</v>
      </c>
      <c r="BT8" s="23" t="s">
        <v>123</v>
      </c>
      <c r="BU8" s="13"/>
      <c r="BV8" s="26"/>
      <c r="BW8" s="23"/>
      <c r="BX8" s="26"/>
      <c r="BY8" s="26"/>
      <c r="BZ8" s="26"/>
      <c r="CA8" s="13"/>
      <c r="CB8" s="23" t="s">
        <v>126</v>
      </c>
      <c r="CC8" s="23" t="s">
        <v>127</v>
      </c>
      <c r="CD8" s="23" t="s">
        <v>128</v>
      </c>
      <c r="CE8" s="23" t="s">
        <v>129</v>
      </c>
      <c r="CF8" s="13"/>
      <c r="CG8" s="26" t="s">
        <v>176</v>
      </c>
      <c r="CH8" s="23" t="s">
        <v>177</v>
      </c>
      <c r="CI8" s="26" t="s">
        <v>178</v>
      </c>
      <c r="CJ8" s="23"/>
      <c r="CK8" s="26" t="s">
        <v>180</v>
      </c>
      <c r="CL8" s="26" t="s">
        <v>181</v>
      </c>
      <c r="CM8" s="13"/>
      <c r="CN8" s="23" t="s">
        <v>133</v>
      </c>
      <c r="CO8" s="23" t="s">
        <v>134</v>
      </c>
      <c r="CP8" s="23" t="s">
        <v>135</v>
      </c>
      <c r="CQ8" s="23" t="s">
        <v>136</v>
      </c>
    </row>
    <row r="9" spans="1:95" ht="14.5">
      <c r="A9" s="27" t="s">
        <v>96</v>
      </c>
      <c r="B9" s="27">
        <v>54850098200044</v>
      </c>
      <c r="C9" s="27" t="s">
        <v>18</v>
      </c>
      <c r="D9" s="27"/>
      <c r="E9" s="144" t="s">
        <v>2391</v>
      </c>
      <c r="F9" s="28" t="s">
        <v>183</v>
      </c>
      <c r="G9" s="29" t="s">
        <v>184</v>
      </c>
      <c r="H9" s="22" t="str">
        <f t="array" ref="H9">IFERROR(INDEX(dénomination_ced!$C$2:$C$1102, MATCH(F9, dénomination_ced!$C$1:$C$1102, 0)), "Non classifié")</f>
        <v>Non classifié</v>
      </c>
      <c r="I9" s="25" t="s">
        <v>2423</v>
      </c>
      <c r="J9" s="23" t="s">
        <v>185</v>
      </c>
      <c r="K9" s="12"/>
      <c r="L9" s="23" t="s">
        <v>186</v>
      </c>
      <c r="M9" s="24">
        <v>1734</v>
      </c>
      <c r="N9" s="23" t="s">
        <v>101</v>
      </c>
      <c r="O9" s="23">
        <v>7</v>
      </c>
      <c r="P9" s="23" t="s">
        <v>102</v>
      </c>
      <c r="Q9" s="12"/>
      <c r="R9" s="12"/>
      <c r="S9" s="12"/>
      <c r="T9" s="13" t="s">
        <v>2436</v>
      </c>
      <c r="U9" s="25" t="s">
        <v>11</v>
      </c>
      <c r="V9" s="25" t="s">
        <v>12</v>
      </c>
      <c r="W9" s="23" t="s">
        <v>103</v>
      </c>
      <c r="X9" s="25" t="s">
        <v>13</v>
      </c>
      <c r="Y9" s="12"/>
      <c r="Z9" s="23" t="s">
        <v>104</v>
      </c>
      <c r="AA9" s="23" t="s">
        <v>105</v>
      </c>
      <c r="AB9" s="23" t="s">
        <v>106</v>
      </c>
      <c r="AC9" s="23" t="s">
        <v>107</v>
      </c>
      <c r="AD9" s="12"/>
      <c r="AE9" s="25" t="s">
        <v>108</v>
      </c>
      <c r="AF9" s="23" t="s">
        <v>108</v>
      </c>
      <c r="AG9" s="25"/>
      <c r="AH9" s="23" t="s">
        <v>109</v>
      </c>
      <c r="AI9" s="23" t="s">
        <v>110</v>
      </c>
      <c r="AJ9" s="25">
        <v>12</v>
      </c>
      <c r="AK9" s="23" t="s">
        <v>111</v>
      </c>
      <c r="AL9" s="25"/>
      <c r="AM9" s="12"/>
      <c r="AN9" s="12"/>
      <c r="AO9" s="29" t="s">
        <v>112</v>
      </c>
      <c r="AP9" s="29" t="s">
        <v>112</v>
      </c>
      <c r="AQ9" s="12"/>
      <c r="AR9" s="29"/>
      <c r="AS9" s="29"/>
      <c r="AT9" s="29"/>
      <c r="AU9" s="29"/>
      <c r="AV9" s="12"/>
      <c r="AW9" s="25"/>
      <c r="AX9" s="25"/>
      <c r="AY9" s="25"/>
      <c r="AZ9" s="25"/>
      <c r="BA9" s="12"/>
      <c r="BB9" s="25"/>
      <c r="BC9" s="25"/>
      <c r="BD9" s="25"/>
      <c r="BE9" s="25"/>
      <c r="BF9" s="12"/>
      <c r="BG9" s="29" t="s">
        <v>187</v>
      </c>
      <c r="BH9" s="29">
        <v>39002820700020</v>
      </c>
      <c r="BI9" s="29" t="s">
        <v>188</v>
      </c>
      <c r="BJ9" s="29">
        <v>2267008</v>
      </c>
      <c r="BK9" s="12"/>
      <c r="BL9" s="23" t="s">
        <v>116</v>
      </c>
      <c r="BM9" s="23" t="s">
        <v>117</v>
      </c>
      <c r="BN9" s="23" t="s">
        <v>118</v>
      </c>
      <c r="BO9" s="23" t="s">
        <v>119</v>
      </c>
      <c r="BP9" s="12"/>
      <c r="BQ9" s="23" t="s">
        <v>120</v>
      </c>
      <c r="BR9" s="23" t="s">
        <v>121</v>
      </c>
      <c r="BS9" s="23" t="s">
        <v>122</v>
      </c>
      <c r="BT9" s="23" t="s">
        <v>123</v>
      </c>
      <c r="BU9" s="12"/>
      <c r="BV9" s="29"/>
      <c r="BW9" s="29"/>
      <c r="BX9" s="29"/>
      <c r="BY9" s="29"/>
      <c r="BZ9" s="29"/>
      <c r="CA9" s="12"/>
      <c r="CB9" s="25"/>
      <c r="CC9" s="25"/>
      <c r="CD9" s="25"/>
      <c r="CE9" s="25"/>
      <c r="CF9" s="12"/>
      <c r="CG9" s="29" t="s">
        <v>189</v>
      </c>
      <c r="CH9" s="29">
        <v>45025886800022</v>
      </c>
      <c r="CI9" s="29" t="s">
        <v>190</v>
      </c>
      <c r="CJ9" s="29"/>
      <c r="CK9" s="29" t="s">
        <v>191</v>
      </c>
      <c r="CL9" s="25" t="s">
        <v>132</v>
      </c>
      <c r="CM9" s="12"/>
      <c r="CN9" s="23" t="s">
        <v>133</v>
      </c>
      <c r="CO9" s="23" t="s">
        <v>134</v>
      </c>
      <c r="CP9" s="23" t="s">
        <v>135</v>
      </c>
      <c r="CQ9" s="23" t="s">
        <v>136</v>
      </c>
    </row>
    <row r="10" spans="1:95" ht="14.5">
      <c r="A10" s="22" t="s">
        <v>96</v>
      </c>
      <c r="B10" s="22">
        <v>54850098200044</v>
      </c>
      <c r="C10" s="22" t="s">
        <v>18</v>
      </c>
      <c r="D10" s="22"/>
      <c r="E10" s="145" t="s">
        <v>2391</v>
      </c>
      <c r="F10" s="28" t="s">
        <v>183</v>
      </c>
      <c r="G10" s="29" t="s">
        <v>192</v>
      </c>
      <c r="H10" s="22" t="str">
        <f t="array" ref="H10">IFERROR(INDEX(dénomination_ced!$C$2:$C$1102, MATCH(F10, dénomination_ced!$C$1:$C$1102, 0)), "Non classifié")</f>
        <v>Non classifié</v>
      </c>
      <c r="I10" s="25" t="s">
        <v>2423</v>
      </c>
      <c r="J10" s="23" t="s">
        <v>193</v>
      </c>
      <c r="K10" s="12"/>
      <c r="L10" s="23" t="s">
        <v>186</v>
      </c>
      <c r="M10" s="24">
        <v>1734</v>
      </c>
      <c r="N10" s="23" t="s">
        <v>101</v>
      </c>
      <c r="O10" s="23">
        <v>7</v>
      </c>
      <c r="P10" s="23" t="s">
        <v>102</v>
      </c>
      <c r="Q10" s="12"/>
      <c r="R10" s="12"/>
      <c r="S10" s="12"/>
      <c r="T10" s="13" t="s">
        <v>2436</v>
      </c>
      <c r="U10" s="25" t="s">
        <v>11</v>
      </c>
      <c r="V10" s="25" t="s">
        <v>12</v>
      </c>
      <c r="W10" s="23" t="s">
        <v>103</v>
      </c>
      <c r="X10" s="25" t="s">
        <v>13</v>
      </c>
      <c r="Y10" s="12"/>
      <c r="Z10" s="23" t="s">
        <v>104</v>
      </c>
      <c r="AA10" s="23" t="s">
        <v>105</v>
      </c>
      <c r="AB10" s="23" t="s">
        <v>106</v>
      </c>
      <c r="AC10" s="23" t="s">
        <v>107</v>
      </c>
      <c r="AD10" s="12"/>
      <c r="AE10" s="25" t="s">
        <v>108</v>
      </c>
      <c r="AF10" s="23" t="s">
        <v>108</v>
      </c>
      <c r="AG10" s="25"/>
      <c r="AH10" s="23" t="s">
        <v>109</v>
      </c>
      <c r="AI10" s="23" t="s">
        <v>110</v>
      </c>
      <c r="AJ10" s="25">
        <v>1</v>
      </c>
      <c r="AK10" s="23" t="s">
        <v>111</v>
      </c>
      <c r="AL10" s="25"/>
      <c r="AM10" s="12"/>
      <c r="AN10" s="12"/>
      <c r="AO10" s="29" t="s">
        <v>112</v>
      </c>
      <c r="AP10" s="29" t="s">
        <v>112</v>
      </c>
      <c r="AQ10" s="12"/>
      <c r="AR10" s="29"/>
      <c r="AS10" s="29"/>
      <c r="AT10" s="29"/>
      <c r="AU10" s="29"/>
      <c r="AV10" s="12"/>
      <c r="AW10" s="25"/>
      <c r="AX10" s="25"/>
      <c r="AY10" s="25"/>
      <c r="AZ10" s="25"/>
      <c r="BA10" s="12"/>
      <c r="BB10" s="25"/>
      <c r="BC10" s="25"/>
      <c r="BD10" s="25"/>
      <c r="BE10" s="25"/>
      <c r="BF10" s="12"/>
      <c r="BG10" s="29" t="s">
        <v>187</v>
      </c>
      <c r="BH10" s="29">
        <v>39002820700020</v>
      </c>
      <c r="BI10" s="29" t="s">
        <v>188</v>
      </c>
      <c r="BJ10" s="29">
        <v>2267008</v>
      </c>
      <c r="BK10" s="12"/>
      <c r="BL10" s="23" t="s">
        <v>116</v>
      </c>
      <c r="BM10" s="23" t="s">
        <v>117</v>
      </c>
      <c r="BN10" s="23" t="s">
        <v>118</v>
      </c>
      <c r="BO10" s="23" t="s">
        <v>119</v>
      </c>
      <c r="BP10" s="12"/>
      <c r="BQ10" s="23" t="s">
        <v>120</v>
      </c>
      <c r="BR10" s="23" t="s">
        <v>121</v>
      </c>
      <c r="BS10" s="23" t="s">
        <v>122</v>
      </c>
      <c r="BT10" s="23" t="s">
        <v>123</v>
      </c>
      <c r="BU10" s="12"/>
      <c r="BV10" s="29"/>
      <c r="BW10" s="29"/>
      <c r="BX10" s="29"/>
      <c r="BY10" s="29"/>
      <c r="BZ10" s="29"/>
      <c r="CA10" s="13"/>
      <c r="CB10" s="23"/>
      <c r="CC10" s="23"/>
      <c r="CD10" s="23"/>
      <c r="CE10" s="23"/>
      <c r="CF10" s="13"/>
      <c r="CG10" s="29" t="s">
        <v>189</v>
      </c>
      <c r="CH10" s="29">
        <v>45025886800022</v>
      </c>
      <c r="CI10" s="29" t="s">
        <v>190</v>
      </c>
      <c r="CJ10" s="29"/>
      <c r="CK10" s="29" t="s">
        <v>191</v>
      </c>
      <c r="CL10" s="25" t="s">
        <v>132</v>
      </c>
      <c r="CM10" s="12"/>
      <c r="CN10" s="23" t="s">
        <v>133</v>
      </c>
      <c r="CO10" s="23" t="s">
        <v>134</v>
      </c>
      <c r="CP10" s="23" t="s">
        <v>135</v>
      </c>
      <c r="CQ10" s="23" t="s">
        <v>136</v>
      </c>
    </row>
    <row r="11" spans="1:95" ht="14.5">
      <c r="A11" s="27" t="s">
        <v>96</v>
      </c>
      <c r="B11" s="27">
        <v>54850098200044</v>
      </c>
      <c r="C11" s="27" t="s">
        <v>18</v>
      </c>
      <c r="D11" s="27"/>
      <c r="E11" s="27" t="s">
        <v>2393</v>
      </c>
      <c r="F11" s="22" t="s">
        <v>195</v>
      </c>
      <c r="G11" s="22"/>
      <c r="H11" s="22" t="str">
        <f t="array" ref="H11">IFERROR(INDEX(dénomination_ced!$C$2:$C$1102, MATCH(F11, dénomination_ced!$C$1:$C$1102, 0)), "Non classifié")</f>
        <v>Non classifié</v>
      </c>
      <c r="I11" s="25" t="s">
        <v>2423</v>
      </c>
      <c r="J11" s="23" t="s">
        <v>196</v>
      </c>
      <c r="K11" s="13"/>
      <c r="L11" s="29" t="s">
        <v>112</v>
      </c>
      <c r="M11" s="29" t="s">
        <v>112</v>
      </c>
      <c r="N11" s="29" t="s">
        <v>112</v>
      </c>
      <c r="O11" s="29" t="s">
        <v>112</v>
      </c>
      <c r="P11" s="29" t="s">
        <v>112</v>
      </c>
      <c r="Q11" s="13"/>
      <c r="R11" s="13"/>
      <c r="S11" s="13"/>
      <c r="T11" s="13" t="s">
        <v>2436</v>
      </c>
      <c r="U11" s="23" t="s">
        <v>11</v>
      </c>
      <c r="V11" s="23" t="s">
        <v>12</v>
      </c>
      <c r="W11" s="23" t="s">
        <v>103</v>
      </c>
      <c r="X11" s="23" t="s">
        <v>13</v>
      </c>
      <c r="Y11" s="13"/>
      <c r="Z11" s="23" t="s">
        <v>104</v>
      </c>
      <c r="AA11" s="23" t="s">
        <v>105</v>
      </c>
      <c r="AB11" s="23" t="s">
        <v>106</v>
      </c>
      <c r="AC11" s="23" t="s">
        <v>107</v>
      </c>
      <c r="AD11" s="13"/>
      <c r="AE11" s="25" t="s">
        <v>108</v>
      </c>
      <c r="AF11" s="23" t="s">
        <v>108</v>
      </c>
      <c r="AG11" s="23"/>
      <c r="AH11" s="23" t="s">
        <v>109</v>
      </c>
      <c r="AI11" s="23" t="s">
        <v>110</v>
      </c>
      <c r="AJ11" s="23">
        <v>1</v>
      </c>
      <c r="AK11" s="23" t="s">
        <v>111</v>
      </c>
      <c r="AL11" s="23"/>
      <c r="AM11" s="13"/>
      <c r="AN11" s="13"/>
      <c r="AO11" s="26" t="s">
        <v>112</v>
      </c>
      <c r="AP11" s="26" t="s">
        <v>112</v>
      </c>
      <c r="AQ11" s="13"/>
      <c r="AR11" s="26"/>
      <c r="AS11" s="26"/>
      <c r="AT11" s="26"/>
      <c r="AU11" s="23"/>
      <c r="AV11" s="13"/>
      <c r="AW11" s="23"/>
      <c r="AX11" s="23"/>
      <c r="AY11" s="23"/>
      <c r="AZ11" s="23"/>
      <c r="BA11" s="13"/>
      <c r="BB11" s="23"/>
      <c r="BC11" s="23"/>
      <c r="BD11" s="23"/>
      <c r="BE11" s="23"/>
      <c r="BF11" s="13"/>
      <c r="BG11" s="26" t="s">
        <v>113</v>
      </c>
      <c r="BH11" s="26">
        <v>39933934000016</v>
      </c>
      <c r="BI11" s="26" t="s">
        <v>114</v>
      </c>
      <c r="BJ11" s="26" t="s">
        <v>115</v>
      </c>
      <c r="BK11" s="13"/>
      <c r="BL11" s="23" t="s">
        <v>116</v>
      </c>
      <c r="BM11" s="23" t="s">
        <v>117</v>
      </c>
      <c r="BN11" s="23" t="s">
        <v>118</v>
      </c>
      <c r="BO11" s="23" t="s">
        <v>119</v>
      </c>
      <c r="BP11" s="13"/>
      <c r="BQ11" s="23" t="s">
        <v>120</v>
      </c>
      <c r="BR11" s="23" t="s">
        <v>121</v>
      </c>
      <c r="BS11" s="23" t="s">
        <v>122</v>
      </c>
      <c r="BT11" s="23" t="s">
        <v>123</v>
      </c>
      <c r="BU11" s="13"/>
      <c r="BV11" s="26" t="s">
        <v>113</v>
      </c>
      <c r="BW11" s="26" t="s">
        <v>124</v>
      </c>
      <c r="BX11" s="26" t="s">
        <v>114</v>
      </c>
      <c r="BY11" s="26"/>
      <c r="BZ11" s="26" t="s">
        <v>125</v>
      </c>
      <c r="CA11" s="13"/>
      <c r="CB11" s="23" t="s">
        <v>126</v>
      </c>
      <c r="CC11" s="23" t="s">
        <v>127</v>
      </c>
      <c r="CD11" s="23" t="s">
        <v>128</v>
      </c>
      <c r="CE11" s="23" t="s">
        <v>129</v>
      </c>
      <c r="CF11" s="13"/>
      <c r="CG11" s="26" t="s">
        <v>130</v>
      </c>
      <c r="CH11" s="26"/>
      <c r="CI11" s="26"/>
      <c r="CJ11" s="26"/>
      <c r="CK11" s="26" t="s">
        <v>131</v>
      </c>
      <c r="CL11" s="23" t="s">
        <v>132</v>
      </c>
      <c r="CM11" s="13"/>
      <c r="CN11" s="23" t="s">
        <v>133</v>
      </c>
      <c r="CO11" s="23" t="s">
        <v>134</v>
      </c>
      <c r="CP11" s="23" t="s">
        <v>135</v>
      </c>
      <c r="CQ11" s="23" t="s">
        <v>136</v>
      </c>
    </row>
    <row r="12" spans="1:95" ht="14.5">
      <c r="A12" s="22" t="s">
        <v>96</v>
      </c>
      <c r="B12" s="22">
        <v>54850098200044</v>
      </c>
      <c r="C12" s="22" t="s">
        <v>18</v>
      </c>
      <c r="D12" s="22"/>
      <c r="E12" s="145" t="s">
        <v>2395</v>
      </c>
      <c r="F12" s="28" t="s">
        <v>198</v>
      </c>
      <c r="G12" s="28"/>
      <c r="H12" s="22" t="str">
        <f t="array" ref="H12">IFERROR(INDEX(dénomination_ced!$C$2:$C$1102, MATCH(F12, dénomination_ced!$C$1:$C$1102, 0)), "Non classifié")</f>
        <v>Non classifié</v>
      </c>
      <c r="I12" s="25" t="s">
        <v>2423</v>
      </c>
      <c r="J12" s="23" t="s">
        <v>199</v>
      </c>
      <c r="K12" s="12"/>
      <c r="L12" s="29" t="s">
        <v>112</v>
      </c>
      <c r="M12" s="29" t="s">
        <v>112</v>
      </c>
      <c r="N12" s="29" t="s">
        <v>112</v>
      </c>
      <c r="O12" s="29" t="s">
        <v>112</v>
      </c>
      <c r="P12" s="29" t="s">
        <v>112</v>
      </c>
      <c r="Q12" s="12"/>
      <c r="R12" s="12" t="s">
        <v>200</v>
      </c>
      <c r="S12" s="12"/>
      <c r="T12" s="13" t="s">
        <v>2436</v>
      </c>
      <c r="U12" s="25" t="s">
        <v>11</v>
      </c>
      <c r="V12" s="25" t="s">
        <v>12</v>
      </c>
      <c r="W12" s="23" t="s">
        <v>103</v>
      </c>
      <c r="X12" s="25" t="s">
        <v>13</v>
      </c>
      <c r="Y12" s="12"/>
      <c r="Z12" s="23" t="s">
        <v>104</v>
      </c>
      <c r="AA12" s="23" t="s">
        <v>105</v>
      </c>
      <c r="AB12" s="23" t="s">
        <v>106</v>
      </c>
      <c r="AC12" s="23" t="s">
        <v>107</v>
      </c>
      <c r="AD12" s="12"/>
      <c r="AE12" s="23" t="s">
        <v>201</v>
      </c>
      <c r="AF12" s="25" t="s">
        <v>2437</v>
      </c>
      <c r="AG12" s="25"/>
      <c r="AH12" s="25" t="s">
        <v>202</v>
      </c>
      <c r="AI12" s="25" t="s">
        <v>203</v>
      </c>
      <c r="AJ12" s="25">
        <v>2</v>
      </c>
      <c r="AK12" s="23" t="s">
        <v>111</v>
      </c>
      <c r="AL12" s="25"/>
      <c r="AM12" s="12"/>
      <c r="AN12" s="12"/>
      <c r="AO12" s="29" t="s">
        <v>112</v>
      </c>
      <c r="AP12" s="29" t="s">
        <v>112</v>
      </c>
      <c r="AQ12" s="12"/>
      <c r="AR12" s="29"/>
      <c r="AS12" s="25"/>
      <c r="AT12" s="25"/>
      <c r="AU12" s="29"/>
      <c r="AV12" s="12"/>
      <c r="AW12" s="25"/>
      <c r="AX12" s="25"/>
      <c r="AY12" s="25"/>
      <c r="AZ12" s="25"/>
      <c r="BA12" s="12"/>
      <c r="BB12" s="25"/>
      <c r="BC12" s="25"/>
      <c r="BD12" s="25"/>
      <c r="BE12" s="25"/>
      <c r="BF12" s="12"/>
      <c r="BG12" s="29" t="s">
        <v>140</v>
      </c>
      <c r="BH12" s="25" t="s">
        <v>141</v>
      </c>
      <c r="BI12" s="29" t="s">
        <v>142</v>
      </c>
      <c r="BJ12" s="29">
        <v>2167061</v>
      </c>
      <c r="BK12" s="12"/>
      <c r="BL12" s="23" t="s">
        <v>116</v>
      </c>
      <c r="BM12" s="23" t="s">
        <v>117</v>
      </c>
      <c r="BN12" s="23" t="s">
        <v>118</v>
      </c>
      <c r="BO12" s="23" t="s">
        <v>119</v>
      </c>
      <c r="BP12" s="12"/>
      <c r="BQ12" s="23" t="s">
        <v>120</v>
      </c>
      <c r="BR12" s="23" t="s">
        <v>121</v>
      </c>
      <c r="BS12" s="23" t="s">
        <v>122</v>
      </c>
      <c r="BT12" s="23" t="s">
        <v>123</v>
      </c>
      <c r="BU12" s="12"/>
      <c r="BV12" s="29"/>
      <c r="BW12" s="25"/>
      <c r="BX12" s="29"/>
      <c r="BY12" s="29"/>
      <c r="BZ12" s="29"/>
      <c r="CA12" s="13"/>
      <c r="CB12" s="23"/>
      <c r="CC12" s="23"/>
      <c r="CD12" s="23"/>
      <c r="CE12" s="23"/>
      <c r="CF12" s="13"/>
      <c r="CG12" s="29" t="s">
        <v>163</v>
      </c>
      <c r="CH12" s="25" t="s">
        <v>204</v>
      </c>
      <c r="CI12" s="29" t="s">
        <v>205</v>
      </c>
      <c r="CJ12" s="25"/>
      <c r="CK12" s="29" t="s">
        <v>206</v>
      </c>
      <c r="CL12" s="29" t="s">
        <v>207</v>
      </c>
      <c r="CM12" s="12"/>
      <c r="CN12" s="23" t="s">
        <v>133</v>
      </c>
      <c r="CO12" s="23" t="s">
        <v>134</v>
      </c>
      <c r="CP12" s="23" t="s">
        <v>135</v>
      </c>
      <c r="CQ12" s="23" t="s">
        <v>136</v>
      </c>
    </row>
    <row r="13" spans="1:95" ht="14.5">
      <c r="A13" s="27" t="s">
        <v>96</v>
      </c>
      <c r="B13" s="27">
        <v>54850098200044</v>
      </c>
      <c r="C13" s="27" t="s">
        <v>18</v>
      </c>
      <c r="D13" s="27"/>
      <c r="E13" s="144" t="s">
        <v>2395</v>
      </c>
      <c r="F13" s="28" t="s">
        <v>198</v>
      </c>
      <c r="G13" s="28"/>
      <c r="H13" s="22" t="str">
        <f t="array" ref="H13">IFERROR(INDEX(dénomination_ced!$C$2:$C$1102, MATCH(F13, dénomination_ced!$C$1:$C$1102, 0)), "Non classifié")</f>
        <v>Non classifié</v>
      </c>
      <c r="I13" s="25" t="s">
        <v>2423</v>
      </c>
      <c r="J13" s="23" t="s">
        <v>208</v>
      </c>
      <c r="K13" s="12"/>
      <c r="L13" s="29" t="s">
        <v>112</v>
      </c>
      <c r="M13" s="29" t="s">
        <v>112</v>
      </c>
      <c r="N13" s="29" t="s">
        <v>112</v>
      </c>
      <c r="O13" s="29" t="s">
        <v>112</v>
      </c>
      <c r="P13" s="29" t="s">
        <v>112</v>
      </c>
      <c r="Q13" s="12"/>
      <c r="R13" s="12" t="s">
        <v>200</v>
      </c>
      <c r="S13" s="12"/>
      <c r="T13" s="13" t="s">
        <v>2436</v>
      </c>
      <c r="U13" s="25" t="s">
        <v>11</v>
      </c>
      <c r="V13" s="25" t="s">
        <v>12</v>
      </c>
      <c r="W13" s="23" t="s">
        <v>103</v>
      </c>
      <c r="X13" s="25" t="s">
        <v>13</v>
      </c>
      <c r="Y13" s="12"/>
      <c r="Z13" s="23" t="s">
        <v>104</v>
      </c>
      <c r="AA13" s="23" t="s">
        <v>105</v>
      </c>
      <c r="AB13" s="23" t="s">
        <v>106</v>
      </c>
      <c r="AC13" s="23" t="s">
        <v>107</v>
      </c>
      <c r="AD13" s="12"/>
      <c r="AE13" s="23" t="s">
        <v>201</v>
      </c>
      <c r="AF13" s="25" t="s">
        <v>2437</v>
      </c>
      <c r="AG13" s="25"/>
      <c r="AH13" s="25" t="s">
        <v>202</v>
      </c>
      <c r="AI13" s="25" t="s">
        <v>203</v>
      </c>
      <c r="AJ13" s="25">
        <v>2</v>
      </c>
      <c r="AK13" s="23" t="s">
        <v>111</v>
      </c>
      <c r="AL13" s="25"/>
      <c r="AM13" s="12"/>
      <c r="AN13" s="12"/>
      <c r="AO13" s="29" t="s">
        <v>112</v>
      </c>
      <c r="AP13" s="29" t="s">
        <v>112</v>
      </c>
      <c r="AQ13" s="12"/>
      <c r="AR13" s="29"/>
      <c r="AS13" s="25"/>
      <c r="AT13" s="25"/>
      <c r="AU13" s="29"/>
      <c r="AV13" s="12"/>
      <c r="AW13" s="25"/>
      <c r="AX13" s="25"/>
      <c r="AY13" s="25"/>
      <c r="AZ13" s="25"/>
      <c r="BA13" s="12"/>
      <c r="BB13" s="25"/>
      <c r="BC13" s="25"/>
      <c r="BD13" s="25"/>
      <c r="BE13" s="25"/>
      <c r="BF13" s="12"/>
      <c r="BG13" s="29" t="s">
        <v>140</v>
      </c>
      <c r="BH13" s="25" t="s">
        <v>141</v>
      </c>
      <c r="BI13" s="29" t="s">
        <v>142</v>
      </c>
      <c r="BJ13" s="29">
        <v>2167061</v>
      </c>
      <c r="BK13" s="12"/>
      <c r="BL13" s="23" t="s">
        <v>116</v>
      </c>
      <c r="BM13" s="23" t="s">
        <v>117</v>
      </c>
      <c r="BN13" s="23" t="s">
        <v>118</v>
      </c>
      <c r="BO13" s="23" t="s">
        <v>119</v>
      </c>
      <c r="BP13" s="12"/>
      <c r="BQ13" s="23" t="s">
        <v>120</v>
      </c>
      <c r="BR13" s="23" t="s">
        <v>121</v>
      </c>
      <c r="BS13" s="23" t="s">
        <v>122</v>
      </c>
      <c r="BT13" s="23" t="s">
        <v>123</v>
      </c>
      <c r="BU13" s="12"/>
      <c r="BV13" s="29"/>
      <c r="BW13" s="25"/>
      <c r="BX13" s="29"/>
      <c r="BY13" s="29"/>
      <c r="BZ13" s="29"/>
      <c r="CA13" s="12"/>
      <c r="CB13" s="25"/>
      <c r="CC13" s="25"/>
      <c r="CD13" s="25"/>
      <c r="CE13" s="25"/>
      <c r="CF13" s="12"/>
      <c r="CG13" s="29" t="s">
        <v>143</v>
      </c>
      <c r="CH13" s="25" t="s">
        <v>144</v>
      </c>
      <c r="CI13" s="29" t="s">
        <v>145</v>
      </c>
      <c r="CJ13" s="25"/>
      <c r="CK13" s="29" t="s">
        <v>209</v>
      </c>
      <c r="CL13" s="29" t="s">
        <v>210</v>
      </c>
      <c r="CM13" s="12"/>
      <c r="CN13" s="23" t="s">
        <v>133</v>
      </c>
      <c r="CO13" s="23" t="s">
        <v>134</v>
      </c>
      <c r="CP13" s="23" t="s">
        <v>135</v>
      </c>
      <c r="CQ13" s="23" t="s">
        <v>136</v>
      </c>
    </row>
    <row r="14" spans="1:95" ht="14.5">
      <c r="A14" s="22" t="s">
        <v>96</v>
      </c>
      <c r="B14" s="22">
        <v>54850098200044</v>
      </c>
      <c r="C14" s="22" t="s">
        <v>18</v>
      </c>
      <c r="D14" s="22"/>
      <c r="E14" s="22" t="s">
        <v>2422</v>
      </c>
      <c r="F14" s="22" t="s">
        <v>212</v>
      </c>
      <c r="G14" s="26" t="s">
        <v>213</v>
      </c>
      <c r="H14" s="22" t="str">
        <f t="array" ref="H14">IFERROR(INDEX(dénomination_ced!$C$2:$C$1102, MATCH(F14, dénomination_ced!$C$1:$C$1102, 0)), "Non classifié")</f>
        <v>Non classifié</v>
      </c>
      <c r="I14" s="23" t="s">
        <v>2421</v>
      </c>
      <c r="J14" s="23" t="s">
        <v>214</v>
      </c>
      <c r="K14" s="13"/>
      <c r="L14" s="26" t="s">
        <v>112</v>
      </c>
      <c r="M14" s="26" t="s">
        <v>112</v>
      </c>
      <c r="N14" s="26" t="s">
        <v>112</v>
      </c>
      <c r="O14" s="26" t="s">
        <v>112</v>
      </c>
      <c r="P14" s="26" t="s">
        <v>112</v>
      </c>
      <c r="Q14" s="13"/>
      <c r="R14" s="12" t="s">
        <v>200</v>
      </c>
      <c r="S14" s="13"/>
      <c r="T14" s="13" t="s">
        <v>2436</v>
      </c>
      <c r="U14" s="23" t="s">
        <v>11</v>
      </c>
      <c r="V14" s="23" t="s">
        <v>12</v>
      </c>
      <c r="W14" s="23" t="s">
        <v>103</v>
      </c>
      <c r="X14" s="23" t="s">
        <v>13</v>
      </c>
      <c r="Y14" s="13"/>
      <c r="Z14" s="23" t="s">
        <v>104</v>
      </c>
      <c r="AA14" s="23" t="s">
        <v>105</v>
      </c>
      <c r="AB14" s="23" t="s">
        <v>106</v>
      </c>
      <c r="AC14" s="23" t="s">
        <v>107</v>
      </c>
      <c r="AD14" s="13"/>
      <c r="AE14" s="23" t="s">
        <v>201</v>
      </c>
      <c r="AF14" s="25" t="s">
        <v>2437</v>
      </c>
      <c r="AG14" s="23"/>
      <c r="AH14" s="25" t="s">
        <v>202</v>
      </c>
      <c r="AI14" s="25" t="s">
        <v>203</v>
      </c>
      <c r="AJ14" s="23">
        <v>4</v>
      </c>
      <c r="AK14" s="23" t="s">
        <v>111</v>
      </c>
      <c r="AL14" s="23"/>
      <c r="AM14" s="13"/>
      <c r="AN14" s="13"/>
      <c r="AO14" s="26" t="s">
        <v>112</v>
      </c>
      <c r="AP14" s="26" t="s">
        <v>112</v>
      </c>
      <c r="AQ14" s="13"/>
      <c r="AR14" s="26"/>
      <c r="AS14" s="26"/>
      <c r="AT14" s="26"/>
      <c r="AU14" s="23"/>
      <c r="AV14" s="13"/>
      <c r="AW14" s="23"/>
      <c r="AX14" s="23"/>
      <c r="AY14" s="23"/>
      <c r="AZ14" s="23"/>
      <c r="BA14" s="13"/>
      <c r="BB14" s="23"/>
      <c r="BC14" s="23"/>
      <c r="BD14" s="23"/>
      <c r="BE14" s="23"/>
      <c r="BF14" s="13"/>
      <c r="BG14" s="26" t="s">
        <v>113</v>
      </c>
      <c r="BH14" s="26">
        <v>39933934000016</v>
      </c>
      <c r="BI14" s="26" t="s">
        <v>114</v>
      </c>
      <c r="BJ14" s="26" t="s">
        <v>115</v>
      </c>
      <c r="BK14" s="13"/>
      <c r="BL14" s="23" t="s">
        <v>116</v>
      </c>
      <c r="BM14" s="23" t="s">
        <v>117</v>
      </c>
      <c r="BN14" s="23" t="s">
        <v>118</v>
      </c>
      <c r="BO14" s="23" t="s">
        <v>119</v>
      </c>
      <c r="BP14" s="13"/>
      <c r="BQ14" s="23" t="s">
        <v>120</v>
      </c>
      <c r="BR14" s="23" t="s">
        <v>121</v>
      </c>
      <c r="BS14" s="23" t="s">
        <v>122</v>
      </c>
      <c r="BT14" s="23" t="s">
        <v>123</v>
      </c>
      <c r="BU14" s="13"/>
      <c r="BV14" s="26" t="s">
        <v>113</v>
      </c>
      <c r="BW14" s="26" t="s">
        <v>124</v>
      </c>
      <c r="BX14" s="26" t="s">
        <v>114</v>
      </c>
      <c r="BY14" s="26"/>
      <c r="BZ14" s="26" t="s">
        <v>215</v>
      </c>
      <c r="CA14" s="13"/>
      <c r="CB14" s="23" t="s">
        <v>126</v>
      </c>
      <c r="CC14" s="23" t="s">
        <v>127</v>
      </c>
      <c r="CD14" s="23" t="s">
        <v>128</v>
      </c>
      <c r="CE14" s="23" t="s">
        <v>129</v>
      </c>
      <c r="CF14" s="13"/>
      <c r="CG14" s="26" t="s">
        <v>130</v>
      </c>
      <c r="CH14" s="26"/>
      <c r="CI14" s="26"/>
      <c r="CJ14" s="26"/>
      <c r="CK14" s="26" t="s">
        <v>216</v>
      </c>
      <c r="CL14" s="23" t="s">
        <v>217</v>
      </c>
      <c r="CM14" s="13"/>
      <c r="CN14" s="23" t="s">
        <v>133</v>
      </c>
      <c r="CO14" s="23" t="s">
        <v>134</v>
      </c>
      <c r="CP14" s="23" t="s">
        <v>135</v>
      </c>
      <c r="CQ14" s="23" t="s">
        <v>136</v>
      </c>
    </row>
    <row r="15" spans="1:95" ht="14.5">
      <c r="A15" s="27" t="s">
        <v>96</v>
      </c>
      <c r="B15" s="27">
        <v>54850098200044</v>
      </c>
      <c r="C15" s="27" t="s">
        <v>18</v>
      </c>
      <c r="D15" s="27"/>
      <c r="E15" s="27" t="s">
        <v>2390</v>
      </c>
      <c r="F15" s="28" t="s">
        <v>219</v>
      </c>
      <c r="G15" s="29" t="s">
        <v>220</v>
      </c>
      <c r="H15" s="22" t="str">
        <f t="array" ref="H15">IFERROR(INDEX(dénomination_ced!$C$2:$C$1102, MATCH(F15, dénomination_ced!$C$1:$C$1102, 0)), "Non classifié")</f>
        <v>Non classifié</v>
      </c>
      <c r="I15" s="25" t="s">
        <v>2423</v>
      </c>
      <c r="J15" s="23" t="s">
        <v>221</v>
      </c>
      <c r="K15" s="12"/>
      <c r="L15" s="29" t="s">
        <v>112</v>
      </c>
      <c r="M15" s="29" t="s">
        <v>112</v>
      </c>
      <c r="N15" s="29" t="s">
        <v>112</v>
      </c>
      <c r="O15" s="29" t="s">
        <v>112</v>
      </c>
      <c r="P15" s="29" t="s">
        <v>112</v>
      </c>
      <c r="Q15" s="12"/>
      <c r="R15" s="12" t="s">
        <v>200</v>
      </c>
      <c r="S15" s="12"/>
      <c r="T15" s="13" t="s">
        <v>2436</v>
      </c>
      <c r="U15" s="25" t="s">
        <v>11</v>
      </c>
      <c r="V15" s="25" t="s">
        <v>12</v>
      </c>
      <c r="W15" s="23" t="s">
        <v>103</v>
      </c>
      <c r="X15" s="25" t="s">
        <v>13</v>
      </c>
      <c r="Y15" s="12"/>
      <c r="Z15" s="23" t="s">
        <v>104</v>
      </c>
      <c r="AA15" s="23" t="s">
        <v>105</v>
      </c>
      <c r="AB15" s="23" t="s">
        <v>106</v>
      </c>
      <c r="AC15" s="23" t="s">
        <v>107</v>
      </c>
      <c r="AD15" s="12"/>
      <c r="AE15" s="23" t="s">
        <v>201</v>
      </c>
      <c r="AF15" s="25" t="s">
        <v>2437</v>
      </c>
      <c r="AG15" s="25"/>
      <c r="AH15" s="25" t="s">
        <v>202</v>
      </c>
      <c r="AI15" s="25" t="s">
        <v>203</v>
      </c>
      <c r="AJ15" s="25">
        <v>4</v>
      </c>
      <c r="AK15" s="23" t="s">
        <v>111</v>
      </c>
      <c r="AL15" s="25"/>
      <c r="AM15" s="12"/>
      <c r="AN15" s="12"/>
      <c r="AO15" s="29" t="s">
        <v>112</v>
      </c>
      <c r="AP15" s="29" t="s">
        <v>112</v>
      </c>
      <c r="AQ15" s="12"/>
      <c r="AR15" s="29"/>
      <c r="AS15" s="25"/>
      <c r="AT15" s="25"/>
      <c r="AU15" s="29"/>
      <c r="AV15" s="12"/>
      <c r="AW15" s="25"/>
      <c r="AX15" s="25"/>
      <c r="AY15" s="25"/>
      <c r="AZ15" s="25"/>
      <c r="BA15" s="12"/>
      <c r="BB15" s="25"/>
      <c r="BC15" s="25"/>
      <c r="BD15" s="25"/>
      <c r="BE15" s="25"/>
      <c r="BF15" s="12"/>
      <c r="BG15" s="29" t="s">
        <v>155</v>
      </c>
      <c r="BH15" s="25" t="s">
        <v>156</v>
      </c>
      <c r="BI15" s="29" t="s">
        <v>157</v>
      </c>
      <c r="BJ15" s="29">
        <v>2067081</v>
      </c>
      <c r="BK15" s="12"/>
      <c r="BL15" s="23" t="s">
        <v>116</v>
      </c>
      <c r="BM15" s="23" t="s">
        <v>117</v>
      </c>
      <c r="BN15" s="23" t="s">
        <v>118</v>
      </c>
      <c r="BO15" s="23" t="s">
        <v>119</v>
      </c>
      <c r="BP15" s="12"/>
      <c r="BQ15" s="23" t="s">
        <v>120</v>
      </c>
      <c r="BR15" s="23" t="s">
        <v>121</v>
      </c>
      <c r="BS15" s="23" t="s">
        <v>122</v>
      </c>
      <c r="BT15" s="23" t="s">
        <v>123</v>
      </c>
      <c r="BU15" s="12"/>
      <c r="BV15" s="29"/>
      <c r="BW15" s="25"/>
      <c r="BX15" s="29"/>
      <c r="BY15" s="29"/>
      <c r="BZ15" s="29"/>
      <c r="CA15" s="12"/>
      <c r="CB15" s="25"/>
      <c r="CC15" s="25"/>
      <c r="CD15" s="25"/>
      <c r="CE15" s="25"/>
      <c r="CF15" s="12"/>
      <c r="CG15" s="29" t="s">
        <v>155</v>
      </c>
      <c r="CH15" s="25" t="s">
        <v>156</v>
      </c>
      <c r="CI15" s="29" t="s">
        <v>157</v>
      </c>
      <c r="CJ15" s="25"/>
      <c r="CK15" s="29" t="s">
        <v>146</v>
      </c>
      <c r="CL15" s="29" t="s">
        <v>132</v>
      </c>
      <c r="CM15" s="12"/>
      <c r="CN15" s="23" t="s">
        <v>133</v>
      </c>
      <c r="CO15" s="23" t="s">
        <v>134</v>
      </c>
      <c r="CP15" s="23" t="s">
        <v>135</v>
      </c>
      <c r="CQ15" s="23" t="s">
        <v>136</v>
      </c>
    </row>
    <row r="16" spans="1:95" ht="14.5">
      <c r="A16" s="22" t="s">
        <v>96</v>
      </c>
      <c r="B16" s="22">
        <v>54850098200044</v>
      </c>
      <c r="C16" s="22" t="s">
        <v>18</v>
      </c>
      <c r="D16" s="22"/>
      <c r="E16" s="22" t="s">
        <v>2396</v>
      </c>
      <c r="F16" s="22" t="s">
        <v>159</v>
      </c>
      <c r="G16" s="26" t="s">
        <v>222</v>
      </c>
      <c r="H16" s="22" t="str">
        <f t="array" ref="H16">IFERROR(INDEX(dénomination_ced!$C$2:$C$1102, MATCH(F16, dénomination_ced!$C$1:$C$1102, 0)), "Non classifié")</f>
        <v>Non classifié</v>
      </c>
      <c r="I16" s="25" t="s">
        <v>2423</v>
      </c>
      <c r="J16" s="23" t="s">
        <v>223</v>
      </c>
      <c r="K16" s="13"/>
      <c r="L16" s="23" t="s">
        <v>186</v>
      </c>
      <c r="M16" s="24">
        <v>1734</v>
      </c>
      <c r="N16" s="23" t="s">
        <v>101</v>
      </c>
      <c r="O16" s="23">
        <v>7</v>
      </c>
      <c r="P16" s="23" t="s">
        <v>102</v>
      </c>
      <c r="Q16" s="13"/>
      <c r="R16" s="12" t="s">
        <v>200</v>
      </c>
      <c r="S16" s="13"/>
      <c r="T16" s="13" t="s">
        <v>2436</v>
      </c>
      <c r="U16" s="23" t="s">
        <v>11</v>
      </c>
      <c r="V16" s="23" t="s">
        <v>12</v>
      </c>
      <c r="W16" s="23" t="s">
        <v>103</v>
      </c>
      <c r="X16" s="23" t="s">
        <v>13</v>
      </c>
      <c r="Y16" s="13"/>
      <c r="Z16" s="23" t="s">
        <v>104</v>
      </c>
      <c r="AA16" s="23" t="s">
        <v>105</v>
      </c>
      <c r="AB16" s="23" t="s">
        <v>106</v>
      </c>
      <c r="AC16" s="23" t="s">
        <v>107</v>
      </c>
      <c r="AD16" s="13"/>
      <c r="AE16" s="23" t="s">
        <v>201</v>
      </c>
      <c r="AF16" s="25" t="s">
        <v>2437</v>
      </c>
      <c r="AG16" s="23"/>
      <c r="AH16" s="25" t="s">
        <v>202</v>
      </c>
      <c r="AI16" s="25" t="s">
        <v>203</v>
      </c>
      <c r="AJ16" s="23">
        <v>2</v>
      </c>
      <c r="AK16" s="23" t="s">
        <v>111</v>
      </c>
      <c r="AL16" s="23"/>
      <c r="AM16" s="13"/>
      <c r="AN16" s="13"/>
      <c r="AO16" s="26" t="s">
        <v>112</v>
      </c>
      <c r="AP16" s="26" t="s">
        <v>112</v>
      </c>
      <c r="AQ16" s="13"/>
      <c r="AR16" s="26"/>
      <c r="AS16" s="26"/>
      <c r="AT16" s="26"/>
      <c r="AU16" s="23"/>
      <c r="AV16" s="13"/>
      <c r="AW16" s="23"/>
      <c r="AX16" s="23"/>
      <c r="AY16" s="23"/>
      <c r="AZ16" s="23"/>
      <c r="BA16" s="13"/>
      <c r="BB16" s="23"/>
      <c r="BC16" s="23"/>
      <c r="BD16" s="23"/>
      <c r="BE16" s="23"/>
      <c r="BF16" s="13"/>
      <c r="BG16" s="26" t="s">
        <v>113</v>
      </c>
      <c r="BH16" s="26">
        <v>39933934000016</v>
      </c>
      <c r="BI16" s="26" t="s">
        <v>114</v>
      </c>
      <c r="BJ16" s="26" t="s">
        <v>115</v>
      </c>
      <c r="BK16" s="13"/>
      <c r="BL16" s="23" t="s">
        <v>116</v>
      </c>
      <c r="BM16" s="23" t="s">
        <v>117</v>
      </c>
      <c r="BN16" s="23" t="s">
        <v>118</v>
      </c>
      <c r="BO16" s="23" t="s">
        <v>119</v>
      </c>
      <c r="BP16" s="13"/>
      <c r="BQ16" s="23" t="s">
        <v>120</v>
      </c>
      <c r="BR16" s="23" t="s">
        <v>121</v>
      </c>
      <c r="BS16" s="23" t="s">
        <v>122</v>
      </c>
      <c r="BT16" s="23" t="s">
        <v>123</v>
      </c>
      <c r="BU16" s="13"/>
      <c r="BV16" s="26" t="s">
        <v>113</v>
      </c>
      <c r="BW16" s="26" t="s">
        <v>124</v>
      </c>
      <c r="BX16" s="26" t="s">
        <v>114</v>
      </c>
      <c r="BY16" s="26"/>
      <c r="BZ16" s="26" t="s">
        <v>125</v>
      </c>
      <c r="CA16" s="13"/>
      <c r="CB16" s="23" t="s">
        <v>126</v>
      </c>
      <c r="CC16" s="23" t="s">
        <v>127</v>
      </c>
      <c r="CD16" s="23" t="s">
        <v>128</v>
      </c>
      <c r="CE16" s="23" t="s">
        <v>129</v>
      </c>
      <c r="CF16" s="13"/>
      <c r="CG16" s="26" t="s">
        <v>130</v>
      </c>
      <c r="CH16" s="26"/>
      <c r="CI16" s="26"/>
      <c r="CJ16" s="26"/>
      <c r="CK16" s="26" t="s">
        <v>125</v>
      </c>
      <c r="CL16" s="23" t="s">
        <v>132</v>
      </c>
      <c r="CM16" s="13"/>
      <c r="CN16" s="23" t="s">
        <v>133</v>
      </c>
      <c r="CO16" s="23" t="s">
        <v>134</v>
      </c>
      <c r="CP16" s="23" t="s">
        <v>135</v>
      </c>
      <c r="CQ16" s="23" t="s">
        <v>136</v>
      </c>
    </row>
    <row r="17" spans="1:95" ht="14.5">
      <c r="A17" s="27" t="s">
        <v>96</v>
      </c>
      <c r="B17" s="27">
        <v>54850098200044</v>
      </c>
      <c r="C17" s="27" t="s">
        <v>18</v>
      </c>
      <c r="D17" s="27"/>
      <c r="E17" s="144" t="s">
        <v>2396</v>
      </c>
      <c r="F17" s="28" t="s">
        <v>225</v>
      </c>
      <c r="G17" s="29"/>
      <c r="H17" s="22" t="str">
        <f t="array" ref="H17">IFERROR(INDEX(dénomination_ced!$C$2:$C$1102, MATCH(F17, dénomination_ced!$C$1:$C$1102, 0)), "Non classifié")</f>
        <v>Non classifié</v>
      </c>
      <c r="I17" s="25" t="s">
        <v>2423</v>
      </c>
      <c r="J17" s="23" t="s">
        <v>226</v>
      </c>
      <c r="K17" s="12"/>
      <c r="L17" s="29" t="s">
        <v>112</v>
      </c>
      <c r="M17" s="29" t="s">
        <v>112</v>
      </c>
      <c r="N17" s="29" t="s">
        <v>112</v>
      </c>
      <c r="O17" s="29" t="s">
        <v>112</v>
      </c>
      <c r="P17" s="29" t="s">
        <v>112</v>
      </c>
      <c r="Q17" s="12"/>
      <c r="R17" s="12"/>
      <c r="S17" s="12"/>
      <c r="T17" s="13" t="s">
        <v>2436</v>
      </c>
      <c r="U17" s="25" t="s">
        <v>11</v>
      </c>
      <c r="V17" s="25" t="s">
        <v>12</v>
      </c>
      <c r="W17" s="23" t="s">
        <v>103</v>
      </c>
      <c r="X17" s="25" t="s">
        <v>13</v>
      </c>
      <c r="Y17" s="12"/>
      <c r="Z17" s="23" t="s">
        <v>104</v>
      </c>
      <c r="AA17" s="23" t="s">
        <v>105</v>
      </c>
      <c r="AB17" s="23" t="s">
        <v>106</v>
      </c>
      <c r="AC17" s="23" t="s">
        <v>107</v>
      </c>
      <c r="AD17" s="12"/>
      <c r="AE17" s="23" t="s">
        <v>201</v>
      </c>
      <c r="AF17" s="25" t="s">
        <v>2437</v>
      </c>
      <c r="AG17" s="25"/>
      <c r="AH17" s="25" t="s">
        <v>202</v>
      </c>
      <c r="AI17" s="25" t="s">
        <v>203</v>
      </c>
      <c r="AJ17" s="25">
        <v>1</v>
      </c>
      <c r="AK17" s="23" t="s">
        <v>111</v>
      </c>
      <c r="AL17" s="25"/>
      <c r="AM17" s="12"/>
      <c r="AN17" s="12"/>
      <c r="AO17" s="29" t="s">
        <v>112</v>
      </c>
      <c r="AP17" s="29" t="s">
        <v>112</v>
      </c>
      <c r="AQ17" s="12"/>
      <c r="AR17" s="29"/>
      <c r="AS17" s="29"/>
      <c r="AT17" s="29"/>
      <c r="AU17" s="29"/>
      <c r="AV17" s="12"/>
      <c r="AW17" s="25"/>
      <c r="AX17" s="25"/>
      <c r="AY17" s="25"/>
      <c r="AZ17" s="25"/>
      <c r="BA17" s="12"/>
      <c r="BB17" s="25"/>
      <c r="BC17" s="25"/>
      <c r="BD17" s="25"/>
      <c r="BE17" s="25"/>
      <c r="BF17" s="12"/>
      <c r="BG17" s="29" t="s">
        <v>227</v>
      </c>
      <c r="BH17" s="29" t="s">
        <v>228</v>
      </c>
      <c r="BI17" s="29" t="s">
        <v>229</v>
      </c>
      <c r="BJ17" s="29" t="s">
        <v>230</v>
      </c>
      <c r="BK17" s="12"/>
      <c r="BL17" s="23" t="s">
        <v>116</v>
      </c>
      <c r="BM17" s="23" t="s">
        <v>117</v>
      </c>
      <c r="BN17" s="23" t="s">
        <v>118</v>
      </c>
      <c r="BO17" s="23" t="s">
        <v>119</v>
      </c>
      <c r="BP17" s="12"/>
      <c r="BQ17" s="23" t="s">
        <v>120</v>
      </c>
      <c r="BR17" s="23" t="s">
        <v>121</v>
      </c>
      <c r="BS17" s="23" t="s">
        <v>122</v>
      </c>
      <c r="BT17" s="23" t="s">
        <v>123</v>
      </c>
      <c r="BU17" s="12"/>
      <c r="BV17" s="29"/>
      <c r="BW17" s="29"/>
      <c r="BX17" s="29"/>
      <c r="BY17" s="29"/>
      <c r="BZ17" s="29"/>
      <c r="CA17" s="12"/>
      <c r="CB17" s="25"/>
      <c r="CC17" s="25"/>
      <c r="CD17" s="25"/>
      <c r="CE17" s="25"/>
      <c r="CF17" s="12"/>
      <c r="CG17" s="29" t="s">
        <v>231</v>
      </c>
      <c r="CH17" s="29" t="s">
        <v>232</v>
      </c>
      <c r="CI17" s="29" t="s">
        <v>233</v>
      </c>
      <c r="CJ17" s="29"/>
      <c r="CK17" s="29" t="s">
        <v>131</v>
      </c>
      <c r="CL17" s="29" t="s">
        <v>132</v>
      </c>
      <c r="CM17" s="12"/>
      <c r="CN17" s="23" t="s">
        <v>133</v>
      </c>
      <c r="CO17" s="23" t="s">
        <v>134</v>
      </c>
      <c r="CP17" s="23" t="s">
        <v>135</v>
      </c>
      <c r="CQ17" s="23" t="s">
        <v>136</v>
      </c>
    </row>
    <row r="18" spans="1:95" ht="14.5">
      <c r="A18" s="22" t="s">
        <v>96</v>
      </c>
      <c r="B18" s="22">
        <v>54850098200044</v>
      </c>
      <c r="C18" s="22" t="s">
        <v>18</v>
      </c>
      <c r="D18" s="22"/>
      <c r="E18" s="145" t="s">
        <v>2396</v>
      </c>
      <c r="F18" s="28" t="s">
        <v>225</v>
      </c>
      <c r="G18" s="29" t="s">
        <v>234</v>
      </c>
      <c r="H18" s="22" t="str">
        <f t="array" ref="H18">IFERROR(INDEX(dénomination_ced!$C$2:$C$1102, MATCH(F18, dénomination_ced!$C$1:$C$1102, 0)), "Non classifié")</f>
        <v>Non classifié</v>
      </c>
      <c r="I18" s="25" t="s">
        <v>2423</v>
      </c>
      <c r="J18" s="23" t="s">
        <v>235</v>
      </c>
      <c r="K18" s="12"/>
      <c r="L18" s="29" t="s">
        <v>112</v>
      </c>
      <c r="M18" s="29" t="s">
        <v>112</v>
      </c>
      <c r="N18" s="29" t="s">
        <v>112</v>
      </c>
      <c r="O18" s="29" t="s">
        <v>112</v>
      </c>
      <c r="P18" s="29" t="s">
        <v>112</v>
      </c>
      <c r="Q18" s="12"/>
      <c r="R18" s="12"/>
      <c r="S18" s="12"/>
      <c r="T18" s="13" t="s">
        <v>2436</v>
      </c>
      <c r="U18" s="25" t="s">
        <v>11</v>
      </c>
      <c r="V18" s="25" t="s">
        <v>12</v>
      </c>
      <c r="W18" s="23" t="s">
        <v>103</v>
      </c>
      <c r="X18" s="25" t="s">
        <v>13</v>
      </c>
      <c r="Y18" s="12"/>
      <c r="Z18" s="23" t="s">
        <v>104</v>
      </c>
      <c r="AA18" s="23" t="s">
        <v>105</v>
      </c>
      <c r="AB18" s="23" t="s">
        <v>106</v>
      </c>
      <c r="AC18" s="23" t="s">
        <v>107</v>
      </c>
      <c r="AD18" s="12"/>
      <c r="AE18" s="23" t="s">
        <v>201</v>
      </c>
      <c r="AF18" s="25" t="s">
        <v>2437</v>
      </c>
      <c r="AG18" s="25"/>
      <c r="AH18" s="25" t="s">
        <v>202</v>
      </c>
      <c r="AI18" s="25" t="s">
        <v>203</v>
      </c>
      <c r="AJ18" s="25">
        <v>2</v>
      </c>
      <c r="AK18" s="23" t="s">
        <v>111</v>
      </c>
      <c r="AL18" s="25"/>
      <c r="AM18" s="12"/>
      <c r="AN18" s="12"/>
      <c r="AO18" s="29" t="s">
        <v>112</v>
      </c>
      <c r="AP18" s="29" t="s">
        <v>112</v>
      </c>
      <c r="AQ18" s="12"/>
      <c r="AR18" s="29"/>
      <c r="AS18" s="25"/>
      <c r="AT18" s="25"/>
      <c r="AU18" s="29"/>
      <c r="AV18" s="12"/>
      <c r="AW18" s="25"/>
      <c r="AX18" s="25"/>
      <c r="AY18" s="25"/>
      <c r="AZ18" s="25"/>
      <c r="BA18" s="12"/>
      <c r="BB18" s="25"/>
      <c r="BC18" s="25"/>
      <c r="BD18" s="25"/>
      <c r="BE18" s="25"/>
      <c r="BF18" s="12"/>
      <c r="BG18" s="29" t="s">
        <v>236</v>
      </c>
      <c r="BH18" s="25" t="s">
        <v>237</v>
      </c>
      <c r="BI18" s="29" t="s">
        <v>238</v>
      </c>
      <c r="BJ18" s="29">
        <v>1967071</v>
      </c>
      <c r="BK18" s="12"/>
      <c r="BL18" s="23" t="s">
        <v>116</v>
      </c>
      <c r="BM18" s="23" t="s">
        <v>117</v>
      </c>
      <c r="BN18" s="23" t="s">
        <v>118</v>
      </c>
      <c r="BO18" s="23" t="s">
        <v>119</v>
      </c>
      <c r="BP18" s="12"/>
      <c r="BQ18" s="23" t="s">
        <v>120</v>
      </c>
      <c r="BR18" s="23" t="s">
        <v>121</v>
      </c>
      <c r="BS18" s="23" t="s">
        <v>122</v>
      </c>
      <c r="BT18" s="23" t="s">
        <v>123</v>
      </c>
      <c r="BU18" s="12"/>
      <c r="BV18" s="29"/>
      <c r="BW18" s="25"/>
      <c r="BX18" s="29"/>
      <c r="BY18" s="29"/>
      <c r="BZ18" s="29"/>
      <c r="CA18" s="13"/>
      <c r="CB18" s="23"/>
      <c r="CC18" s="23"/>
      <c r="CD18" s="23"/>
      <c r="CE18" s="23"/>
      <c r="CF18" s="13"/>
      <c r="CG18" s="29" t="s">
        <v>239</v>
      </c>
      <c r="CH18" s="25" t="s">
        <v>232</v>
      </c>
      <c r="CI18" s="29" t="s">
        <v>240</v>
      </c>
      <c r="CJ18" s="25"/>
      <c r="CK18" s="29" t="s">
        <v>131</v>
      </c>
      <c r="CL18" s="29" t="s">
        <v>132</v>
      </c>
      <c r="CM18" s="12"/>
      <c r="CN18" s="23" t="s">
        <v>133</v>
      </c>
      <c r="CO18" s="23" t="s">
        <v>134</v>
      </c>
      <c r="CP18" s="23" t="s">
        <v>135</v>
      </c>
      <c r="CQ18" s="23" t="s">
        <v>136</v>
      </c>
    </row>
    <row r="19" spans="1:95" ht="14.5">
      <c r="A19" s="27" t="s">
        <v>96</v>
      </c>
      <c r="B19" s="27">
        <v>54850098200044</v>
      </c>
      <c r="C19" s="27" t="s">
        <v>18</v>
      </c>
      <c r="D19" s="27"/>
      <c r="E19" s="144" t="s">
        <v>2395</v>
      </c>
      <c r="F19" s="22" t="s">
        <v>242</v>
      </c>
      <c r="G19" s="26"/>
      <c r="H19" s="22" t="str">
        <f t="array" ref="H19">IFERROR(INDEX(dénomination_ced!$C$2:$C$1102, MATCH(F19, dénomination_ced!$C$1:$C$1102, 0)), "Non classifié")</f>
        <v>Non classifié</v>
      </c>
      <c r="I19" s="25" t="s">
        <v>2423</v>
      </c>
      <c r="J19" s="23" t="s">
        <v>243</v>
      </c>
      <c r="K19" s="13"/>
      <c r="L19" s="23" t="s">
        <v>244</v>
      </c>
      <c r="M19" s="24">
        <v>1776</v>
      </c>
      <c r="N19" s="23" t="s">
        <v>101</v>
      </c>
      <c r="O19" s="23">
        <v>7</v>
      </c>
      <c r="P19" s="23" t="s">
        <v>102</v>
      </c>
      <c r="Q19" s="13"/>
      <c r="R19" s="13"/>
      <c r="S19" s="13"/>
      <c r="T19" s="13" t="s">
        <v>2436</v>
      </c>
      <c r="U19" s="23" t="s">
        <v>11</v>
      </c>
      <c r="V19" s="23" t="s">
        <v>12</v>
      </c>
      <c r="W19" s="23" t="s">
        <v>103</v>
      </c>
      <c r="X19" s="23" t="s">
        <v>13</v>
      </c>
      <c r="Y19" s="13"/>
      <c r="Z19" s="23" t="s">
        <v>104</v>
      </c>
      <c r="AA19" s="23" t="s">
        <v>105</v>
      </c>
      <c r="AB19" s="23" t="s">
        <v>106</v>
      </c>
      <c r="AC19" s="23" t="s">
        <v>107</v>
      </c>
      <c r="AD19" s="13"/>
      <c r="AE19" s="23" t="s">
        <v>201</v>
      </c>
      <c r="AF19" s="25" t="s">
        <v>2437</v>
      </c>
      <c r="AG19" s="23"/>
      <c r="AH19" s="25" t="s">
        <v>202</v>
      </c>
      <c r="AI19" s="25" t="s">
        <v>203</v>
      </c>
      <c r="AJ19" s="23">
        <v>4</v>
      </c>
      <c r="AK19" s="23" t="s">
        <v>111</v>
      </c>
      <c r="AL19" s="23"/>
      <c r="AM19" s="13"/>
      <c r="AN19" s="13"/>
      <c r="AO19" s="26" t="s">
        <v>112</v>
      </c>
      <c r="AP19" s="26" t="s">
        <v>112</v>
      </c>
      <c r="AQ19" s="13"/>
      <c r="AR19" s="26"/>
      <c r="AS19" s="26"/>
      <c r="AT19" s="26"/>
      <c r="AU19" s="26"/>
      <c r="AV19" s="13"/>
      <c r="AW19" s="23"/>
      <c r="AX19" s="23"/>
      <c r="AY19" s="23"/>
      <c r="AZ19" s="23"/>
      <c r="BA19" s="13"/>
      <c r="BB19" s="23"/>
      <c r="BC19" s="23"/>
      <c r="BD19" s="23"/>
      <c r="BE19" s="23"/>
      <c r="BF19" s="13"/>
      <c r="BG19" s="26" t="s">
        <v>245</v>
      </c>
      <c r="BH19" s="26">
        <v>34782395700043</v>
      </c>
      <c r="BI19" s="26" t="s">
        <v>246</v>
      </c>
      <c r="BJ19" s="26" t="s">
        <v>247</v>
      </c>
      <c r="BK19" s="13"/>
      <c r="BL19" s="23" t="s">
        <v>116</v>
      </c>
      <c r="BM19" s="23" t="s">
        <v>117</v>
      </c>
      <c r="BN19" s="23" t="s">
        <v>118</v>
      </c>
      <c r="BO19" s="23" t="s">
        <v>119</v>
      </c>
      <c r="BP19" s="13"/>
      <c r="BQ19" s="23" t="s">
        <v>120</v>
      </c>
      <c r="BR19" s="23" t="s">
        <v>121</v>
      </c>
      <c r="BS19" s="23" t="s">
        <v>122</v>
      </c>
      <c r="BT19" s="23" t="s">
        <v>123</v>
      </c>
      <c r="BU19" s="13"/>
      <c r="BV19" s="26"/>
      <c r="BW19" s="26"/>
      <c r="BX19" s="26"/>
      <c r="BY19" s="26"/>
      <c r="BZ19" s="26"/>
      <c r="CA19" s="13"/>
      <c r="CB19" s="23"/>
      <c r="CC19" s="23"/>
      <c r="CD19" s="23"/>
      <c r="CE19" s="23"/>
      <c r="CF19" s="13"/>
      <c r="CG19" s="26" t="s">
        <v>248</v>
      </c>
      <c r="CH19" s="26">
        <v>43331348300177</v>
      </c>
      <c r="CI19" s="26" t="s">
        <v>249</v>
      </c>
      <c r="CJ19" s="26"/>
      <c r="CK19" s="26" t="s">
        <v>216</v>
      </c>
      <c r="CL19" s="23" t="s">
        <v>217</v>
      </c>
      <c r="CM19" s="13"/>
      <c r="CN19" s="23" t="s">
        <v>133</v>
      </c>
      <c r="CO19" s="23" t="s">
        <v>134</v>
      </c>
      <c r="CP19" s="23" t="s">
        <v>135</v>
      </c>
      <c r="CQ19" s="23" t="s">
        <v>136</v>
      </c>
    </row>
    <row r="20" spans="1:95" ht="14.5">
      <c r="A20" s="22" t="s">
        <v>96</v>
      </c>
      <c r="B20" s="22">
        <v>54850098200044</v>
      </c>
      <c r="C20" s="22" t="s">
        <v>18</v>
      </c>
      <c r="D20" s="22"/>
      <c r="E20" s="145" t="s">
        <v>2395</v>
      </c>
      <c r="F20" s="22" t="s">
        <v>242</v>
      </c>
      <c r="G20" s="26"/>
      <c r="H20" s="22" t="str">
        <f t="array" ref="H20">IFERROR(INDEX(dénomination_ced!$C$2:$C$1102, MATCH(F20, dénomination_ced!$C$1:$C$1102, 0)), "Non classifié")</f>
        <v>Non classifié</v>
      </c>
      <c r="I20" s="25" t="s">
        <v>2423</v>
      </c>
      <c r="J20" s="23" t="s">
        <v>250</v>
      </c>
      <c r="K20" s="13"/>
      <c r="L20" s="23" t="s">
        <v>244</v>
      </c>
      <c r="M20" s="24">
        <v>1776</v>
      </c>
      <c r="N20" s="23" t="s">
        <v>101</v>
      </c>
      <c r="O20" s="23">
        <v>7</v>
      </c>
      <c r="P20" s="23" t="s">
        <v>102</v>
      </c>
      <c r="Q20" s="13"/>
      <c r="R20" s="13"/>
      <c r="S20" s="13"/>
      <c r="T20" s="13" t="s">
        <v>2436</v>
      </c>
      <c r="U20" s="23" t="s">
        <v>11</v>
      </c>
      <c r="V20" s="23" t="s">
        <v>12</v>
      </c>
      <c r="W20" s="23" t="s">
        <v>103</v>
      </c>
      <c r="X20" s="23" t="s">
        <v>13</v>
      </c>
      <c r="Y20" s="13"/>
      <c r="Z20" s="23" t="s">
        <v>104</v>
      </c>
      <c r="AA20" s="23" t="s">
        <v>105</v>
      </c>
      <c r="AB20" s="23" t="s">
        <v>106</v>
      </c>
      <c r="AC20" s="23" t="s">
        <v>107</v>
      </c>
      <c r="AD20" s="13"/>
      <c r="AE20" s="23" t="s">
        <v>201</v>
      </c>
      <c r="AF20" s="25" t="s">
        <v>2437</v>
      </c>
      <c r="AG20" s="23"/>
      <c r="AH20" s="25" t="s">
        <v>202</v>
      </c>
      <c r="AI20" s="25" t="s">
        <v>203</v>
      </c>
      <c r="AJ20" s="23">
        <v>2</v>
      </c>
      <c r="AK20" s="23" t="s">
        <v>111</v>
      </c>
      <c r="AL20" s="23"/>
      <c r="AM20" s="13"/>
      <c r="AN20" s="13"/>
      <c r="AO20" s="26" t="s">
        <v>112</v>
      </c>
      <c r="AP20" s="26" t="s">
        <v>112</v>
      </c>
      <c r="AQ20" s="13"/>
      <c r="AR20" s="26"/>
      <c r="AS20" s="26"/>
      <c r="AT20" s="26"/>
      <c r="AU20" s="23"/>
      <c r="AV20" s="13"/>
      <c r="AW20" s="23"/>
      <c r="AX20" s="23"/>
      <c r="AY20" s="23"/>
      <c r="AZ20" s="23"/>
      <c r="BA20" s="13"/>
      <c r="BB20" s="23"/>
      <c r="BC20" s="23"/>
      <c r="BD20" s="23"/>
      <c r="BE20" s="23"/>
      <c r="BF20" s="13"/>
      <c r="BG20" s="26" t="s">
        <v>113</v>
      </c>
      <c r="BH20" s="26">
        <v>39933934000016</v>
      </c>
      <c r="BI20" s="26" t="s">
        <v>114</v>
      </c>
      <c r="BJ20" s="26" t="s">
        <v>115</v>
      </c>
      <c r="BK20" s="13"/>
      <c r="BL20" s="23" t="s">
        <v>116</v>
      </c>
      <c r="BM20" s="23" t="s">
        <v>117</v>
      </c>
      <c r="BN20" s="23" t="s">
        <v>118</v>
      </c>
      <c r="BO20" s="23" t="s">
        <v>119</v>
      </c>
      <c r="BP20" s="13"/>
      <c r="BQ20" s="23" t="s">
        <v>120</v>
      </c>
      <c r="BR20" s="23" t="s">
        <v>121</v>
      </c>
      <c r="BS20" s="23" t="s">
        <v>122</v>
      </c>
      <c r="BT20" s="23" t="s">
        <v>123</v>
      </c>
      <c r="BU20" s="13"/>
      <c r="BV20" s="26" t="s">
        <v>113</v>
      </c>
      <c r="BW20" s="26" t="s">
        <v>124</v>
      </c>
      <c r="BX20" s="26" t="s">
        <v>114</v>
      </c>
      <c r="BY20" s="26"/>
      <c r="BZ20" s="26" t="s">
        <v>216</v>
      </c>
      <c r="CA20" s="13"/>
      <c r="CB20" s="23" t="s">
        <v>126</v>
      </c>
      <c r="CC20" s="23" t="s">
        <v>127</v>
      </c>
      <c r="CD20" s="23" t="s">
        <v>128</v>
      </c>
      <c r="CE20" s="23" t="s">
        <v>129</v>
      </c>
      <c r="CF20" s="13"/>
      <c r="CG20" s="26" t="s">
        <v>130</v>
      </c>
      <c r="CH20" s="26"/>
      <c r="CI20" s="26"/>
      <c r="CJ20" s="26"/>
      <c r="CK20" s="26" t="s">
        <v>216</v>
      </c>
      <c r="CL20" s="23" t="s">
        <v>217</v>
      </c>
      <c r="CM20" s="13"/>
      <c r="CN20" s="23" t="s">
        <v>133</v>
      </c>
      <c r="CO20" s="23" t="s">
        <v>134</v>
      </c>
      <c r="CP20" s="23" t="s">
        <v>135</v>
      </c>
      <c r="CQ20" s="23" t="s">
        <v>136</v>
      </c>
    </row>
    <row r="21" spans="1:95" ht="14.5">
      <c r="A21" s="27" t="s">
        <v>96</v>
      </c>
      <c r="B21" s="27">
        <v>54850098200044</v>
      </c>
      <c r="C21" s="27" t="s">
        <v>18</v>
      </c>
      <c r="D21" s="27"/>
      <c r="E21" s="27" t="s">
        <v>2397</v>
      </c>
      <c r="F21" s="28" t="s">
        <v>252</v>
      </c>
      <c r="G21" s="29"/>
      <c r="H21" s="22" t="str">
        <f t="array" ref="H21">IFERROR(INDEX(dénomination_ced!$C$2:$C$1102, MATCH(F21, dénomination_ced!$C$1:$C$1102, 0)), "Non classifié")</f>
        <v>Non classifié</v>
      </c>
      <c r="I21" s="25" t="s">
        <v>2423</v>
      </c>
      <c r="J21" s="23" t="s">
        <v>253</v>
      </c>
      <c r="K21" s="12"/>
      <c r="L21" s="29" t="s">
        <v>112</v>
      </c>
      <c r="M21" s="29" t="s">
        <v>112</v>
      </c>
      <c r="N21" s="29" t="s">
        <v>112</v>
      </c>
      <c r="O21" s="29" t="s">
        <v>112</v>
      </c>
      <c r="P21" s="29" t="s">
        <v>112</v>
      </c>
      <c r="Q21" s="12"/>
      <c r="R21" s="12"/>
      <c r="S21" s="12"/>
      <c r="T21" s="13" t="s">
        <v>2436</v>
      </c>
      <c r="U21" s="25" t="s">
        <v>11</v>
      </c>
      <c r="V21" s="25" t="s">
        <v>12</v>
      </c>
      <c r="W21" s="23" t="s">
        <v>103</v>
      </c>
      <c r="X21" s="25" t="s">
        <v>13</v>
      </c>
      <c r="Y21" s="12"/>
      <c r="Z21" s="23" t="s">
        <v>104</v>
      </c>
      <c r="AA21" s="23" t="s">
        <v>105</v>
      </c>
      <c r="AB21" s="23" t="s">
        <v>106</v>
      </c>
      <c r="AC21" s="23" t="s">
        <v>107</v>
      </c>
      <c r="AD21" s="12"/>
      <c r="AE21" s="23" t="s">
        <v>201</v>
      </c>
      <c r="AF21" s="25" t="s">
        <v>2437</v>
      </c>
      <c r="AG21" s="25"/>
      <c r="AH21" s="25" t="s">
        <v>202</v>
      </c>
      <c r="AI21" s="25" t="s">
        <v>203</v>
      </c>
      <c r="AJ21" s="25">
        <v>1</v>
      </c>
      <c r="AK21" s="23" t="s">
        <v>111</v>
      </c>
      <c r="AL21" s="25"/>
      <c r="AM21" s="12"/>
      <c r="AN21" s="12"/>
      <c r="AO21" s="29" t="s">
        <v>112</v>
      </c>
      <c r="AP21" s="29" t="s">
        <v>112</v>
      </c>
      <c r="AQ21" s="12"/>
      <c r="AR21" s="29"/>
      <c r="AS21" s="25"/>
      <c r="AT21" s="25"/>
      <c r="AU21" s="29"/>
      <c r="AV21" s="12"/>
      <c r="AW21" s="25"/>
      <c r="AX21" s="25"/>
      <c r="AY21" s="25"/>
      <c r="AZ21" s="25"/>
      <c r="BA21" s="12"/>
      <c r="BB21" s="25"/>
      <c r="BC21" s="25"/>
      <c r="BD21" s="25"/>
      <c r="BE21" s="25"/>
      <c r="BF21" s="12"/>
      <c r="BG21" s="29" t="s">
        <v>155</v>
      </c>
      <c r="BH21" s="25" t="s">
        <v>156</v>
      </c>
      <c r="BI21" s="29" t="s">
        <v>157</v>
      </c>
      <c r="BJ21" s="29">
        <v>2067081</v>
      </c>
      <c r="BK21" s="12"/>
      <c r="BL21" s="23" t="s">
        <v>116</v>
      </c>
      <c r="BM21" s="23" t="s">
        <v>117</v>
      </c>
      <c r="BN21" s="23" t="s">
        <v>118</v>
      </c>
      <c r="BO21" s="23" t="s">
        <v>119</v>
      </c>
      <c r="BP21" s="12"/>
      <c r="BQ21" s="23" t="s">
        <v>120</v>
      </c>
      <c r="BR21" s="23" t="s">
        <v>121</v>
      </c>
      <c r="BS21" s="23" t="s">
        <v>122</v>
      </c>
      <c r="BT21" s="23" t="s">
        <v>123</v>
      </c>
      <c r="BU21" s="12"/>
      <c r="BV21" s="29"/>
      <c r="BW21" s="25"/>
      <c r="BX21" s="29"/>
      <c r="BY21" s="29"/>
      <c r="BZ21" s="29"/>
      <c r="CA21" s="13"/>
      <c r="CB21" s="23"/>
      <c r="CC21" s="23"/>
      <c r="CD21" s="23"/>
      <c r="CE21" s="23"/>
      <c r="CF21" s="13"/>
      <c r="CG21" s="29" t="s">
        <v>155</v>
      </c>
      <c r="CH21" s="25" t="s">
        <v>156</v>
      </c>
      <c r="CI21" s="29" t="s">
        <v>157</v>
      </c>
      <c r="CJ21" s="25"/>
      <c r="CK21" s="29" t="s">
        <v>146</v>
      </c>
      <c r="CL21" s="29" t="s">
        <v>132</v>
      </c>
      <c r="CM21" s="12"/>
      <c r="CN21" s="23" t="s">
        <v>133</v>
      </c>
      <c r="CO21" s="23" t="s">
        <v>134</v>
      </c>
      <c r="CP21" s="23" t="s">
        <v>135</v>
      </c>
      <c r="CQ21" s="23" t="s">
        <v>136</v>
      </c>
    </row>
    <row r="22" spans="1:95" ht="14.5">
      <c r="A22" s="22" t="s">
        <v>96</v>
      </c>
      <c r="B22" s="22">
        <v>54850098200044</v>
      </c>
      <c r="C22" s="22" t="s">
        <v>18</v>
      </c>
      <c r="D22" s="22"/>
      <c r="E22" s="22" t="s">
        <v>2398</v>
      </c>
      <c r="F22" s="32" t="s">
        <v>255</v>
      </c>
      <c r="G22" s="23"/>
      <c r="H22" s="22" t="str">
        <f t="array" ref="H22">IFERROR(INDEX(dénomination_ced!$C$2:$C$1102, MATCH(F22, dénomination_ced!$C$1:$C$1102, 0)), "Non classifié")</f>
        <v>Non classifié</v>
      </c>
      <c r="I22" s="23" t="s">
        <v>2421</v>
      </c>
      <c r="J22" s="23" t="s">
        <v>256</v>
      </c>
      <c r="K22" s="13"/>
      <c r="L22" s="23" t="s">
        <v>257</v>
      </c>
      <c r="M22" s="24">
        <v>1326</v>
      </c>
      <c r="N22" s="23" t="s">
        <v>101</v>
      </c>
      <c r="O22" s="23">
        <v>7</v>
      </c>
      <c r="P22" s="23" t="s">
        <v>102</v>
      </c>
      <c r="Q22" s="13"/>
      <c r="R22" s="13"/>
      <c r="S22" s="13"/>
      <c r="T22" s="13" t="s">
        <v>2436</v>
      </c>
      <c r="U22" s="23" t="s">
        <v>11</v>
      </c>
      <c r="V22" s="23" t="s">
        <v>12</v>
      </c>
      <c r="W22" s="23" t="s">
        <v>103</v>
      </c>
      <c r="X22" s="23" t="s">
        <v>13</v>
      </c>
      <c r="Y22" s="13"/>
      <c r="Z22" s="23" t="s">
        <v>104</v>
      </c>
      <c r="AA22" s="23" t="s">
        <v>105</v>
      </c>
      <c r="AB22" s="23" t="s">
        <v>106</v>
      </c>
      <c r="AC22" s="23" t="s">
        <v>107</v>
      </c>
      <c r="AD22" s="13"/>
      <c r="AE22" s="25" t="s">
        <v>108</v>
      </c>
      <c r="AF22" s="23" t="s">
        <v>108</v>
      </c>
      <c r="AG22" s="23"/>
      <c r="AH22" s="23" t="s">
        <v>109</v>
      </c>
      <c r="AI22" s="23" t="s">
        <v>110</v>
      </c>
      <c r="AJ22" s="23">
        <v>1</v>
      </c>
      <c r="AK22" s="23" t="s">
        <v>111</v>
      </c>
      <c r="AL22" s="23"/>
      <c r="AM22" s="13"/>
      <c r="AN22" s="13"/>
      <c r="AO22" s="26" t="s">
        <v>112</v>
      </c>
      <c r="AP22" s="26" t="s">
        <v>112</v>
      </c>
      <c r="AQ22" s="13"/>
      <c r="AR22" s="26"/>
      <c r="AS22" s="26"/>
      <c r="AT22" s="26"/>
      <c r="AU22" s="23"/>
      <c r="AV22" s="13"/>
      <c r="AW22" s="23"/>
      <c r="AX22" s="23"/>
      <c r="AY22" s="23"/>
      <c r="AZ22" s="23"/>
      <c r="BA22" s="13"/>
      <c r="BB22" s="23"/>
      <c r="BC22" s="23"/>
      <c r="BD22" s="23"/>
      <c r="BE22" s="23"/>
      <c r="BF22" s="13"/>
      <c r="BG22" s="26" t="s">
        <v>113</v>
      </c>
      <c r="BH22" s="26">
        <v>39933934000016</v>
      </c>
      <c r="BI22" s="26" t="s">
        <v>114</v>
      </c>
      <c r="BJ22" s="26" t="s">
        <v>258</v>
      </c>
      <c r="BK22" s="13"/>
      <c r="BL22" s="23" t="s">
        <v>116</v>
      </c>
      <c r="BM22" s="23" t="s">
        <v>117</v>
      </c>
      <c r="BN22" s="23" t="s">
        <v>118</v>
      </c>
      <c r="BO22" s="23" t="s">
        <v>119</v>
      </c>
      <c r="BP22" s="13"/>
      <c r="BQ22" s="23" t="s">
        <v>120</v>
      </c>
      <c r="BR22" s="23" t="s">
        <v>121</v>
      </c>
      <c r="BS22" s="23" t="s">
        <v>122</v>
      </c>
      <c r="BT22" s="23" t="s">
        <v>123</v>
      </c>
      <c r="BU22" s="13"/>
      <c r="BV22" s="26" t="s">
        <v>113</v>
      </c>
      <c r="BW22" s="26" t="s">
        <v>124</v>
      </c>
      <c r="BX22" s="26" t="s">
        <v>114</v>
      </c>
      <c r="BY22" s="26"/>
      <c r="BZ22" s="26" t="s">
        <v>125</v>
      </c>
      <c r="CA22" s="13"/>
      <c r="CB22" s="23" t="s">
        <v>126</v>
      </c>
      <c r="CC22" s="23" t="s">
        <v>127</v>
      </c>
      <c r="CD22" s="23" t="s">
        <v>128</v>
      </c>
      <c r="CE22" s="23" t="s">
        <v>129</v>
      </c>
      <c r="CF22" s="13"/>
      <c r="CG22" s="26" t="s">
        <v>130</v>
      </c>
      <c r="CH22" s="26" t="s">
        <v>259</v>
      </c>
      <c r="CI22" s="26"/>
      <c r="CJ22" s="26"/>
      <c r="CK22" s="26" t="s">
        <v>166</v>
      </c>
      <c r="CL22" s="23" t="s">
        <v>167</v>
      </c>
      <c r="CM22" s="13"/>
      <c r="CN22" s="23" t="s">
        <v>133</v>
      </c>
      <c r="CO22" s="23" t="s">
        <v>134</v>
      </c>
      <c r="CP22" s="23" t="s">
        <v>135</v>
      </c>
      <c r="CQ22" s="23" t="s">
        <v>136</v>
      </c>
    </row>
    <row r="23" spans="1:95" ht="14.5">
      <c r="A23" s="27" t="s">
        <v>96</v>
      </c>
      <c r="B23" s="27">
        <v>54850098200044</v>
      </c>
      <c r="C23" s="27" t="s">
        <v>18</v>
      </c>
      <c r="D23" s="27"/>
      <c r="E23" s="27" t="s">
        <v>2395</v>
      </c>
      <c r="F23" s="28" t="s">
        <v>261</v>
      </c>
      <c r="G23" s="29"/>
      <c r="H23" s="22" t="str">
        <f t="array" ref="H23">IFERROR(INDEX(dénomination_ced!$C$2:$C$1102, MATCH(F23, dénomination_ced!$C$1:$C$1102, 0)), "Non classifié")</f>
        <v>Non classifié</v>
      </c>
      <c r="I23" s="25" t="s">
        <v>2423</v>
      </c>
      <c r="J23" s="23" t="s">
        <v>262</v>
      </c>
      <c r="K23" s="12"/>
      <c r="L23" s="23" t="s">
        <v>244</v>
      </c>
      <c r="M23" s="24">
        <v>1776</v>
      </c>
      <c r="N23" s="23" t="s">
        <v>101</v>
      </c>
      <c r="O23" s="23">
        <v>7</v>
      </c>
      <c r="P23" s="23" t="s">
        <v>102</v>
      </c>
      <c r="Q23" s="12"/>
      <c r="R23" s="12"/>
      <c r="S23" s="12"/>
      <c r="T23" s="13" t="s">
        <v>2436</v>
      </c>
      <c r="U23" s="25" t="s">
        <v>11</v>
      </c>
      <c r="V23" s="25" t="s">
        <v>12</v>
      </c>
      <c r="W23" s="23" t="s">
        <v>103</v>
      </c>
      <c r="X23" s="25" t="s">
        <v>13</v>
      </c>
      <c r="Y23" s="12"/>
      <c r="Z23" s="23" t="s">
        <v>104</v>
      </c>
      <c r="AA23" s="23" t="s">
        <v>105</v>
      </c>
      <c r="AB23" s="23" t="s">
        <v>106</v>
      </c>
      <c r="AC23" s="23" t="s">
        <v>107</v>
      </c>
      <c r="AD23" s="12"/>
      <c r="AE23" s="25" t="s">
        <v>108</v>
      </c>
      <c r="AF23" s="23" t="s">
        <v>108</v>
      </c>
      <c r="AG23" s="25"/>
      <c r="AH23" s="23" t="s">
        <v>109</v>
      </c>
      <c r="AI23" s="23" t="s">
        <v>110</v>
      </c>
      <c r="AJ23" s="25">
        <v>1</v>
      </c>
      <c r="AK23" s="23" t="s">
        <v>111</v>
      </c>
      <c r="AL23" s="25"/>
      <c r="AM23" s="12"/>
      <c r="AN23" s="12"/>
      <c r="AO23" s="29" t="s">
        <v>112</v>
      </c>
      <c r="AP23" s="29" t="s">
        <v>112</v>
      </c>
      <c r="AQ23" s="12"/>
      <c r="AR23" s="29"/>
      <c r="AS23" s="29"/>
      <c r="AT23" s="29"/>
      <c r="AU23" s="25"/>
      <c r="AV23" s="12"/>
      <c r="AW23" s="25"/>
      <c r="AX23" s="25"/>
      <c r="AY23" s="25"/>
      <c r="AZ23" s="25"/>
      <c r="BA23" s="12"/>
      <c r="BB23" s="25"/>
      <c r="BC23" s="25"/>
      <c r="BD23" s="25"/>
      <c r="BE23" s="25"/>
      <c r="BF23" s="12"/>
      <c r="BG23" s="29" t="s">
        <v>113</v>
      </c>
      <c r="BH23" s="29">
        <v>39933934000016</v>
      </c>
      <c r="BI23" s="29" t="s">
        <v>114</v>
      </c>
      <c r="BJ23" s="29" t="s">
        <v>115</v>
      </c>
      <c r="BK23" s="12"/>
      <c r="BL23" s="23" t="s">
        <v>116</v>
      </c>
      <c r="BM23" s="23" t="s">
        <v>117</v>
      </c>
      <c r="BN23" s="23" t="s">
        <v>118</v>
      </c>
      <c r="BO23" s="23" t="s">
        <v>119</v>
      </c>
      <c r="BP23" s="12"/>
      <c r="BQ23" s="23" t="s">
        <v>120</v>
      </c>
      <c r="BR23" s="23" t="s">
        <v>121</v>
      </c>
      <c r="BS23" s="23" t="s">
        <v>122</v>
      </c>
      <c r="BT23" s="23" t="s">
        <v>123</v>
      </c>
      <c r="BU23" s="12"/>
      <c r="BV23" s="29" t="s">
        <v>113</v>
      </c>
      <c r="BW23" s="29" t="s">
        <v>124</v>
      </c>
      <c r="BX23" s="29" t="s">
        <v>114</v>
      </c>
      <c r="BY23" s="29"/>
      <c r="BZ23" s="29" t="s">
        <v>125</v>
      </c>
      <c r="CA23" s="12"/>
      <c r="CB23" s="23" t="s">
        <v>126</v>
      </c>
      <c r="CC23" s="23" t="s">
        <v>127</v>
      </c>
      <c r="CD23" s="23" t="s">
        <v>128</v>
      </c>
      <c r="CE23" s="23" t="s">
        <v>129</v>
      </c>
      <c r="CF23" s="12"/>
      <c r="CG23" s="29" t="s">
        <v>130</v>
      </c>
      <c r="CH23" s="29"/>
      <c r="CI23" s="29"/>
      <c r="CJ23" s="29"/>
      <c r="CK23" s="29" t="s">
        <v>166</v>
      </c>
      <c r="CL23" s="25" t="s">
        <v>167</v>
      </c>
      <c r="CM23" s="12"/>
      <c r="CN23" s="23" t="s">
        <v>133</v>
      </c>
      <c r="CO23" s="23" t="s">
        <v>134</v>
      </c>
      <c r="CP23" s="23" t="s">
        <v>135</v>
      </c>
      <c r="CQ23" s="23" t="s">
        <v>136</v>
      </c>
    </row>
    <row r="24" spans="1:95" ht="14.5">
      <c r="A24" s="22" t="s">
        <v>96</v>
      </c>
      <c r="B24" s="22">
        <v>54850098200044</v>
      </c>
      <c r="C24" s="22" t="s">
        <v>18</v>
      </c>
      <c r="D24" s="22"/>
      <c r="E24" s="22" t="s">
        <v>2395</v>
      </c>
      <c r="F24" s="22" t="s">
        <v>264</v>
      </c>
      <c r="G24" s="26" t="s">
        <v>265</v>
      </c>
      <c r="H24" s="22" t="str">
        <f t="array" ref="H24">IFERROR(INDEX(dénomination_ced!$C$2:$C$1102, MATCH(F24, dénomination_ced!$C$1:$C$1102, 0)), "Non classifié")</f>
        <v>Non classifié</v>
      </c>
      <c r="I24" s="23" t="s">
        <v>2421</v>
      </c>
      <c r="J24" s="23" t="s">
        <v>266</v>
      </c>
      <c r="K24" s="13"/>
      <c r="L24" s="23" t="s">
        <v>244</v>
      </c>
      <c r="M24" s="24">
        <v>1776</v>
      </c>
      <c r="N24" s="23" t="s">
        <v>101</v>
      </c>
      <c r="O24" s="23">
        <v>7</v>
      </c>
      <c r="P24" s="23" t="s">
        <v>102</v>
      </c>
      <c r="Q24" s="13"/>
      <c r="R24" s="13"/>
      <c r="S24" s="13"/>
      <c r="T24" s="13" t="s">
        <v>2436</v>
      </c>
      <c r="U24" s="23" t="s">
        <v>11</v>
      </c>
      <c r="V24" s="23" t="s">
        <v>12</v>
      </c>
      <c r="W24" s="23" t="s">
        <v>103</v>
      </c>
      <c r="X24" s="23" t="s">
        <v>13</v>
      </c>
      <c r="Y24" s="13"/>
      <c r="Z24" s="23" t="s">
        <v>104</v>
      </c>
      <c r="AA24" s="23" t="s">
        <v>105</v>
      </c>
      <c r="AB24" s="23" t="s">
        <v>106</v>
      </c>
      <c r="AC24" s="23" t="s">
        <v>107</v>
      </c>
      <c r="AD24" s="13"/>
      <c r="AE24" s="23" t="s">
        <v>267</v>
      </c>
      <c r="AF24" s="23" t="s">
        <v>268</v>
      </c>
      <c r="AG24" s="23"/>
      <c r="AH24" s="23" t="s">
        <v>269</v>
      </c>
      <c r="AI24" s="23" t="s">
        <v>270</v>
      </c>
      <c r="AJ24" s="25">
        <v>1</v>
      </c>
      <c r="AK24" s="23" t="s">
        <v>111</v>
      </c>
      <c r="AL24" s="23"/>
      <c r="AM24" s="13"/>
      <c r="AN24" s="13"/>
      <c r="AO24" s="26" t="s">
        <v>112</v>
      </c>
      <c r="AP24" s="26" t="s">
        <v>112</v>
      </c>
      <c r="AQ24" s="13"/>
      <c r="AR24" s="26"/>
      <c r="AS24" s="26"/>
      <c r="AT24" s="26"/>
      <c r="AU24" s="23"/>
      <c r="AV24" s="13"/>
      <c r="AW24" s="23"/>
      <c r="AX24" s="23"/>
      <c r="AY24" s="23"/>
      <c r="AZ24" s="23"/>
      <c r="BA24" s="13"/>
      <c r="BB24" s="23"/>
      <c r="BC24" s="23"/>
      <c r="BD24" s="23"/>
      <c r="BE24" s="23"/>
      <c r="BF24" s="13"/>
      <c r="BG24" s="26" t="s">
        <v>113</v>
      </c>
      <c r="BH24" s="26">
        <v>39933934000016</v>
      </c>
      <c r="BI24" s="26" t="s">
        <v>114</v>
      </c>
      <c r="BJ24" s="26" t="s">
        <v>115</v>
      </c>
      <c r="BK24" s="13"/>
      <c r="BL24" s="23" t="s">
        <v>116</v>
      </c>
      <c r="BM24" s="23" t="s">
        <v>117</v>
      </c>
      <c r="BN24" s="23" t="s">
        <v>118</v>
      </c>
      <c r="BO24" s="23" t="s">
        <v>119</v>
      </c>
      <c r="BP24" s="13"/>
      <c r="BQ24" s="23" t="s">
        <v>120</v>
      </c>
      <c r="BR24" s="23" t="s">
        <v>121</v>
      </c>
      <c r="BS24" s="23" t="s">
        <v>122</v>
      </c>
      <c r="BT24" s="23" t="s">
        <v>123</v>
      </c>
      <c r="BU24" s="13"/>
      <c r="BV24" s="26" t="s">
        <v>113</v>
      </c>
      <c r="BW24" s="26" t="s">
        <v>124</v>
      </c>
      <c r="BX24" s="26" t="s">
        <v>114</v>
      </c>
      <c r="BY24" s="26"/>
      <c r="BZ24" s="26" t="s">
        <v>125</v>
      </c>
      <c r="CA24" s="13"/>
      <c r="CB24" s="23" t="s">
        <v>126</v>
      </c>
      <c r="CC24" s="23" t="s">
        <v>127</v>
      </c>
      <c r="CD24" s="23" t="s">
        <v>128</v>
      </c>
      <c r="CE24" s="23" t="s">
        <v>129</v>
      </c>
      <c r="CF24" s="13"/>
      <c r="CG24" s="26" t="s">
        <v>130</v>
      </c>
      <c r="CH24" s="26"/>
      <c r="CI24" s="26"/>
      <c r="CJ24" s="26"/>
      <c r="CK24" s="26" t="s">
        <v>125</v>
      </c>
      <c r="CL24" s="23" t="s">
        <v>132</v>
      </c>
      <c r="CM24" s="13"/>
      <c r="CN24" s="23" t="s">
        <v>133</v>
      </c>
      <c r="CO24" s="23" t="s">
        <v>134</v>
      </c>
      <c r="CP24" s="23" t="s">
        <v>135</v>
      </c>
      <c r="CQ24" s="23" t="s">
        <v>136</v>
      </c>
    </row>
    <row r="25" spans="1:95" ht="14.5">
      <c r="A25" s="27" t="s">
        <v>96</v>
      </c>
      <c r="B25" s="27">
        <v>54850098200044</v>
      </c>
      <c r="C25" s="27" t="s">
        <v>18</v>
      </c>
      <c r="D25" s="27"/>
      <c r="E25" s="27" t="s">
        <v>2393</v>
      </c>
      <c r="F25" s="28" t="s">
        <v>272</v>
      </c>
      <c r="G25" s="29"/>
      <c r="H25" s="22" t="str">
        <f t="array" ref="H25">IFERROR(INDEX(dénomination_ced!$C$2:$C$1102, MATCH(F25, dénomination_ced!$C$1:$C$1102, 0)), "Non classifié")</f>
        <v>Non classifié</v>
      </c>
      <c r="I25" s="25" t="s">
        <v>2423</v>
      </c>
      <c r="J25" s="23" t="s">
        <v>273</v>
      </c>
      <c r="K25" s="12"/>
      <c r="L25" s="23" t="s">
        <v>244</v>
      </c>
      <c r="M25" s="24">
        <v>1776</v>
      </c>
      <c r="N25" s="23" t="s">
        <v>101</v>
      </c>
      <c r="O25" s="23">
        <v>7</v>
      </c>
      <c r="P25" s="23" t="s">
        <v>102</v>
      </c>
      <c r="Q25" s="12"/>
      <c r="R25" s="12"/>
      <c r="S25" s="12"/>
      <c r="T25" s="13" t="s">
        <v>2436</v>
      </c>
      <c r="U25" s="25" t="s">
        <v>11</v>
      </c>
      <c r="V25" s="25" t="s">
        <v>12</v>
      </c>
      <c r="W25" s="23" t="s">
        <v>103</v>
      </c>
      <c r="X25" s="25" t="s">
        <v>13</v>
      </c>
      <c r="Y25" s="12"/>
      <c r="Z25" s="23" t="s">
        <v>104</v>
      </c>
      <c r="AA25" s="23" t="s">
        <v>105</v>
      </c>
      <c r="AB25" s="23" t="s">
        <v>106</v>
      </c>
      <c r="AC25" s="23" t="s">
        <v>107</v>
      </c>
      <c r="AD25" s="12"/>
      <c r="AE25" s="23" t="s">
        <v>267</v>
      </c>
      <c r="AF25" s="23" t="s">
        <v>268</v>
      </c>
      <c r="AG25" s="25"/>
      <c r="AH25" s="23" t="s">
        <v>269</v>
      </c>
      <c r="AI25" s="23" t="s">
        <v>270</v>
      </c>
      <c r="AJ25" s="25">
        <v>1</v>
      </c>
      <c r="AK25" s="25" t="s">
        <v>274</v>
      </c>
      <c r="AL25" s="25" t="s">
        <v>275</v>
      </c>
      <c r="AM25" s="12" t="s">
        <v>276</v>
      </c>
      <c r="AN25" s="12"/>
      <c r="AO25" s="29" t="s">
        <v>112</v>
      </c>
      <c r="AP25" s="29" t="s">
        <v>112</v>
      </c>
      <c r="AQ25" s="12"/>
      <c r="AR25" s="29"/>
      <c r="AS25" s="29"/>
      <c r="AT25" s="29"/>
      <c r="AU25" s="25"/>
      <c r="AV25" s="12"/>
      <c r="AW25" s="25"/>
      <c r="AX25" s="25"/>
      <c r="AY25" s="25"/>
      <c r="AZ25" s="25"/>
      <c r="BA25" s="12"/>
      <c r="BB25" s="25"/>
      <c r="BC25" s="25"/>
      <c r="BD25" s="25"/>
      <c r="BE25" s="25"/>
      <c r="BF25" s="12"/>
      <c r="BG25" s="29" t="s">
        <v>113</v>
      </c>
      <c r="BH25" s="29">
        <v>39933934000016</v>
      </c>
      <c r="BI25" s="29" t="s">
        <v>114</v>
      </c>
      <c r="BJ25" s="29" t="s">
        <v>115</v>
      </c>
      <c r="BK25" s="12"/>
      <c r="BL25" s="23" t="s">
        <v>116</v>
      </c>
      <c r="BM25" s="23" t="s">
        <v>117</v>
      </c>
      <c r="BN25" s="23" t="s">
        <v>118</v>
      </c>
      <c r="BO25" s="23" t="s">
        <v>119</v>
      </c>
      <c r="BP25" s="12"/>
      <c r="BQ25" s="23" t="s">
        <v>120</v>
      </c>
      <c r="BR25" s="23" t="s">
        <v>121</v>
      </c>
      <c r="BS25" s="23" t="s">
        <v>122</v>
      </c>
      <c r="BT25" s="23" t="s">
        <v>123</v>
      </c>
      <c r="BU25" s="12"/>
      <c r="BV25" s="29" t="s">
        <v>113</v>
      </c>
      <c r="BW25" s="29" t="s">
        <v>124</v>
      </c>
      <c r="BX25" s="29" t="s">
        <v>114</v>
      </c>
      <c r="BY25" s="29"/>
      <c r="BZ25" s="29" t="s">
        <v>125</v>
      </c>
      <c r="CA25" s="12"/>
      <c r="CB25" s="23" t="s">
        <v>126</v>
      </c>
      <c r="CC25" s="23" t="s">
        <v>127</v>
      </c>
      <c r="CD25" s="23" t="s">
        <v>128</v>
      </c>
      <c r="CE25" s="23" t="s">
        <v>129</v>
      </c>
      <c r="CF25" s="12"/>
      <c r="CG25" s="29" t="s">
        <v>130</v>
      </c>
      <c r="CH25" s="29"/>
      <c r="CI25" s="29"/>
      <c r="CJ25" s="29"/>
      <c r="CK25" s="29" t="s">
        <v>131</v>
      </c>
      <c r="CL25" s="29" t="s">
        <v>132</v>
      </c>
      <c r="CM25" s="12"/>
      <c r="CN25" s="23" t="s">
        <v>133</v>
      </c>
      <c r="CO25" s="23" t="s">
        <v>134</v>
      </c>
      <c r="CP25" s="23" t="s">
        <v>135</v>
      </c>
      <c r="CQ25" s="23" t="s">
        <v>136</v>
      </c>
    </row>
    <row r="26" spans="1:95" ht="14.5">
      <c r="A26" s="22" t="s">
        <v>96</v>
      </c>
      <c r="B26" s="22">
        <v>54850098200044</v>
      </c>
      <c r="C26" s="22" t="s">
        <v>18</v>
      </c>
      <c r="D26" s="22"/>
      <c r="E26" s="22" t="s">
        <v>2391</v>
      </c>
      <c r="F26" s="22" t="s">
        <v>278</v>
      </c>
      <c r="G26" s="26"/>
      <c r="H26" s="22" t="str">
        <f t="array" ref="H26">IFERROR(INDEX(dénomination_ced!$C$2:$C$1102, MATCH(F26, dénomination_ced!$C$1:$C$1102, 0)), "Non classifié")</f>
        <v>Non classifié</v>
      </c>
      <c r="I26" s="25" t="s">
        <v>2423</v>
      </c>
      <c r="J26" s="23" t="s">
        <v>279</v>
      </c>
      <c r="K26" s="13"/>
      <c r="L26" s="26" t="s">
        <v>112</v>
      </c>
      <c r="M26" s="26" t="s">
        <v>112</v>
      </c>
      <c r="N26" s="26" t="s">
        <v>112</v>
      </c>
      <c r="O26" s="26" t="s">
        <v>112</v>
      </c>
      <c r="P26" s="26" t="s">
        <v>112</v>
      </c>
      <c r="Q26" s="13"/>
      <c r="R26" s="13"/>
      <c r="S26" s="13"/>
      <c r="T26" s="13" t="s">
        <v>2436</v>
      </c>
      <c r="U26" s="23" t="s">
        <v>11</v>
      </c>
      <c r="V26" s="23" t="s">
        <v>12</v>
      </c>
      <c r="W26" s="23" t="s">
        <v>103</v>
      </c>
      <c r="X26" s="23" t="s">
        <v>13</v>
      </c>
      <c r="Y26" s="13"/>
      <c r="Z26" s="23" t="s">
        <v>104</v>
      </c>
      <c r="AA26" s="23" t="s">
        <v>105</v>
      </c>
      <c r="AB26" s="23" t="s">
        <v>106</v>
      </c>
      <c r="AC26" s="23" t="s">
        <v>107</v>
      </c>
      <c r="AD26" s="13"/>
      <c r="AE26" s="23" t="s">
        <v>267</v>
      </c>
      <c r="AF26" s="23" t="s">
        <v>268</v>
      </c>
      <c r="AG26" s="23"/>
      <c r="AH26" s="23" t="s">
        <v>269</v>
      </c>
      <c r="AI26" s="23" t="s">
        <v>270</v>
      </c>
      <c r="AJ26" s="25">
        <v>1</v>
      </c>
      <c r="AK26" s="25" t="s">
        <v>274</v>
      </c>
      <c r="AL26" s="25" t="s">
        <v>275</v>
      </c>
      <c r="AM26" s="33" t="s">
        <v>276</v>
      </c>
      <c r="AN26" s="13"/>
      <c r="AO26" s="26" t="s">
        <v>112</v>
      </c>
      <c r="AP26" s="26" t="s">
        <v>112</v>
      </c>
      <c r="AQ26" s="13"/>
      <c r="AR26" s="26"/>
      <c r="AS26" s="26"/>
      <c r="AT26" s="26"/>
      <c r="AU26" s="26"/>
      <c r="AV26" s="13"/>
      <c r="AW26" s="23"/>
      <c r="AX26" s="23"/>
      <c r="AY26" s="23"/>
      <c r="AZ26" s="23"/>
      <c r="BA26" s="13"/>
      <c r="BB26" s="23"/>
      <c r="BC26" s="23"/>
      <c r="BD26" s="23"/>
      <c r="BE26" s="23"/>
      <c r="BF26" s="13"/>
      <c r="BG26" s="26" t="s">
        <v>227</v>
      </c>
      <c r="BH26" s="26" t="s">
        <v>228</v>
      </c>
      <c r="BI26" s="26" t="s">
        <v>229</v>
      </c>
      <c r="BJ26" s="26" t="s">
        <v>230</v>
      </c>
      <c r="BK26" s="13"/>
      <c r="BL26" s="23" t="s">
        <v>116</v>
      </c>
      <c r="BM26" s="23" t="s">
        <v>117</v>
      </c>
      <c r="BN26" s="23" t="s">
        <v>118</v>
      </c>
      <c r="BO26" s="23" t="s">
        <v>119</v>
      </c>
      <c r="BP26" s="13"/>
      <c r="BQ26" s="23" t="s">
        <v>120</v>
      </c>
      <c r="BR26" s="23" t="s">
        <v>121</v>
      </c>
      <c r="BS26" s="23" t="s">
        <v>122</v>
      </c>
      <c r="BT26" s="23" t="s">
        <v>123</v>
      </c>
      <c r="BU26" s="13"/>
      <c r="BV26" s="26"/>
      <c r="BW26" s="26"/>
      <c r="BX26" s="26"/>
      <c r="BY26" s="26"/>
      <c r="BZ26" s="26"/>
      <c r="CA26" s="13"/>
      <c r="CB26" s="23"/>
      <c r="CC26" s="23"/>
      <c r="CD26" s="23"/>
      <c r="CE26" s="23"/>
      <c r="CF26" s="13"/>
      <c r="CG26" s="26" t="s">
        <v>231</v>
      </c>
      <c r="CH26" s="26" t="s">
        <v>232</v>
      </c>
      <c r="CI26" s="26" t="s">
        <v>233</v>
      </c>
      <c r="CJ26" s="26"/>
      <c r="CK26" s="26" t="s">
        <v>131</v>
      </c>
      <c r="CL26" s="26" t="s">
        <v>132</v>
      </c>
      <c r="CM26" s="13"/>
      <c r="CN26" s="23" t="s">
        <v>133</v>
      </c>
      <c r="CO26" s="23" t="s">
        <v>134</v>
      </c>
      <c r="CP26" s="23" t="s">
        <v>135</v>
      </c>
      <c r="CQ26" s="23" t="s">
        <v>136</v>
      </c>
    </row>
    <row r="27" spans="1:95" ht="14.5">
      <c r="A27" s="27" t="s">
        <v>96</v>
      </c>
      <c r="B27" s="27">
        <v>54850098200044</v>
      </c>
      <c r="C27" s="27" t="s">
        <v>18</v>
      </c>
      <c r="D27" s="27"/>
      <c r="E27" s="144" t="s">
        <v>2394</v>
      </c>
      <c r="F27" s="34">
        <v>39733</v>
      </c>
      <c r="G27" s="29" t="s">
        <v>281</v>
      </c>
      <c r="H27" s="22" t="str">
        <f t="array" ref="H27">IFERROR(INDEX(dénomination_ced!$C$2:$C$1102, MATCH(F27, dénomination_ced!$C$1:$C$1102, 0)), "Non classifié")</f>
        <v>Non classifié</v>
      </c>
      <c r="I27" s="25" t="s">
        <v>2423</v>
      </c>
      <c r="J27" s="23" t="s">
        <v>282</v>
      </c>
      <c r="K27" s="12"/>
      <c r="L27" s="29" t="s">
        <v>112</v>
      </c>
      <c r="M27" s="29" t="s">
        <v>112</v>
      </c>
      <c r="N27" s="29" t="s">
        <v>112</v>
      </c>
      <c r="O27" s="29" t="s">
        <v>112</v>
      </c>
      <c r="P27" s="29" t="s">
        <v>112</v>
      </c>
      <c r="Q27" s="12"/>
      <c r="R27" s="12"/>
      <c r="S27" s="12"/>
      <c r="T27" s="13" t="s">
        <v>2436</v>
      </c>
      <c r="U27" s="25" t="s">
        <v>11</v>
      </c>
      <c r="V27" s="25" t="s">
        <v>12</v>
      </c>
      <c r="W27" s="23" t="s">
        <v>103</v>
      </c>
      <c r="X27" s="25" t="s">
        <v>13</v>
      </c>
      <c r="Y27" s="12"/>
      <c r="Z27" s="23" t="s">
        <v>104</v>
      </c>
      <c r="AA27" s="23" t="s">
        <v>105</v>
      </c>
      <c r="AB27" s="23" t="s">
        <v>106</v>
      </c>
      <c r="AC27" s="23" t="s">
        <v>107</v>
      </c>
      <c r="AD27" s="12"/>
      <c r="AE27" s="23" t="s">
        <v>267</v>
      </c>
      <c r="AF27" s="23" t="s">
        <v>268</v>
      </c>
      <c r="AG27" s="25"/>
      <c r="AH27" s="23" t="s">
        <v>269</v>
      </c>
      <c r="AI27" s="23" t="s">
        <v>270</v>
      </c>
      <c r="AJ27" s="25">
        <v>1</v>
      </c>
      <c r="AK27" s="25" t="s">
        <v>274</v>
      </c>
      <c r="AL27" s="25" t="s">
        <v>275</v>
      </c>
      <c r="AM27" s="33" t="s">
        <v>276</v>
      </c>
      <c r="AN27" s="12"/>
      <c r="AO27" s="29" t="s">
        <v>112</v>
      </c>
      <c r="AP27" s="29" t="s">
        <v>112</v>
      </c>
      <c r="AQ27" s="12"/>
      <c r="AR27" s="29"/>
      <c r="AS27" s="29"/>
      <c r="AT27" s="29"/>
      <c r="AU27" s="29"/>
      <c r="AV27" s="12"/>
      <c r="AW27" s="25"/>
      <c r="AX27" s="25"/>
      <c r="AY27" s="25"/>
      <c r="AZ27" s="25"/>
      <c r="BA27" s="12"/>
      <c r="BB27" s="25"/>
      <c r="BC27" s="25"/>
      <c r="BD27" s="25"/>
      <c r="BE27" s="25"/>
      <c r="BF27" s="12"/>
      <c r="BG27" s="29" t="s">
        <v>283</v>
      </c>
      <c r="BH27" s="29" t="s">
        <v>284</v>
      </c>
      <c r="BI27" s="29" t="s">
        <v>285</v>
      </c>
      <c r="BJ27" s="29"/>
      <c r="BK27" s="12"/>
      <c r="BL27" s="23" t="s">
        <v>116</v>
      </c>
      <c r="BM27" s="23" t="s">
        <v>117</v>
      </c>
      <c r="BN27" s="23" t="s">
        <v>118</v>
      </c>
      <c r="BO27" s="23" t="s">
        <v>119</v>
      </c>
      <c r="BP27" s="12"/>
      <c r="BQ27" s="23" t="s">
        <v>120</v>
      </c>
      <c r="BR27" s="23" t="s">
        <v>121</v>
      </c>
      <c r="BS27" s="23" t="s">
        <v>122</v>
      </c>
      <c r="BT27" s="23" t="s">
        <v>123</v>
      </c>
      <c r="BU27" s="12"/>
      <c r="BV27" s="29" t="s">
        <v>283</v>
      </c>
      <c r="BW27" s="29" t="s">
        <v>284</v>
      </c>
      <c r="BX27" s="29" t="s">
        <v>285</v>
      </c>
      <c r="BY27" s="29"/>
      <c r="BZ27" s="29" t="s">
        <v>165</v>
      </c>
      <c r="CA27" s="12"/>
      <c r="CB27" s="23" t="s">
        <v>126</v>
      </c>
      <c r="CC27" s="23" t="s">
        <v>127</v>
      </c>
      <c r="CD27" s="23" t="s">
        <v>128</v>
      </c>
      <c r="CE27" s="23" t="s">
        <v>129</v>
      </c>
      <c r="CF27" s="12"/>
      <c r="CG27" s="29" t="s">
        <v>283</v>
      </c>
      <c r="CH27" s="29" t="s">
        <v>284</v>
      </c>
      <c r="CI27" s="29" t="s">
        <v>285</v>
      </c>
      <c r="CJ27" s="29"/>
      <c r="CK27" s="29" t="s">
        <v>146</v>
      </c>
      <c r="CL27" s="29" t="s">
        <v>167</v>
      </c>
      <c r="CM27" s="12"/>
      <c r="CN27" s="23" t="s">
        <v>133</v>
      </c>
      <c r="CO27" s="23" t="s">
        <v>134</v>
      </c>
      <c r="CP27" s="23" t="s">
        <v>135</v>
      </c>
      <c r="CQ27" s="23" t="s">
        <v>136</v>
      </c>
    </row>
    <row r="28" spans="1:95" ht="14.5">
      <c r="A28" s="22" t="s">
        <v>96</v>
      </c>
      <c r="B28" s="22">
        <v>54850098200044</v>
      </c>
      <c r="C28" s="22" t="s">
        <v>18</v>
      </c>
      <c r="D28" s="22"/>
      <c r="E28" s="145" t="s">
        <v>2394</v>
      </c>
      <c r="F28" s="34">
        <v>39733</v>
      </c>
      <c r="G28" s="29" t="s">
        <v>281</v>
      </c>
      <c r="H28" s="22" t="str">
        <f t="array" ref="H28">IFERROR(INDEX(dénomination_ced!$C$2:$C$1102, MATCH(F28, dénomination_ced!$C$1:$C$1102, 0)), "Non classifié")</f>
        <v>Non classifié</v>
      </c>
      <c r="I28" s="25" t="s">
        <v>2423</v>
      </c>
      <c r="J28" s="23" t="s">
        <v>286</v>
      </c>
      <c r="K28" s="12"/>
      <c r="L28" s="29" t="s">
        <v>112</v>
      </c>
      <c r="M28" s="29" t="s">
        <v>112</v>
      </c>
      <c r="N28" s="29" t="s">
        <v>112</v>
      </c>
      <c r="O28" s="29" t="s">
        <v>112</v>
      </c>
      <c r="P28" s="29" t="s">
        <v>112</v>
      </c>
      <c r="Q28" s="12"/>
      <c r="R28" s="12"/>
      <c r="S28" s="12"/>
      <c r="T28" s="13" t="s">
        <v>2436</v>
      </c>
      <c r="U28" s="25" t="s">
        <v>11</v>
      </c>
      <c r="V28" s="25" t="s">
        <v>12</v>
      </c>
      <c r="W28" s="23" t="s">
        <v>103</v>
      </c>
      <c r="X28" s="25" t="s">
        <v>13</v>
      </c>
      <c r="Y28" s="12"/>
      <c r="Z28" s="23" t="s">
        <v>104</v>
      </c>
      <c r="AA28" s="23" t="s">
        <v>105</v>
      </c>
      <c r="AB28" s="23" t="s">
        <v>106</v>
      </c>
      <c r="AC28" s="23" t="s">
        <v>107</v>
      </c>
      <c r="AD28" s="12"/>
      <c r="AE28" s="23" t="s">
        <v>267</v>
      </c>
      <c r="AF28" s="23" t="s">
        <v>268</v>
      </c>
      <c r="AG28" s="25"/>
      <c r="AH28" s="23" t="s">
        <v>269</v>
      </c>
      <c r="AI28" s="23" t="s">
        <v>270</v>
      </c>
      <c r="AJ28" s="25">
        <v>1</v>
      </c>
      <c r="AK28" s="25" t="s">
        <v>274</v>
      </c>
      <c r="AL28" s="25" t="s">
        <v>275</v>
      </c>
      <c r="AM28" s="33" t="s">
        <v>276</v>
      </c>
      <c r="AN28" s="12"/>
      <c r="AO28" s="29" t="s">
        <v>112</v>
      </c>
      <c r="AP28" s="29" t="s">
        <v>112</v>
      </c>
      <c r="AQ28" s="12"/>
      <c r="AR28" s="29"/>
      <c r="AS28" s="29"/>
      <c r="AT28" s="29"/>
      <c r="AU28" s="29"/>
      <c r="AV28" s="12"/>
      <c r="AW28" s="25"/>
      <c r="AX28" s="25"/>
      <c r="AY28" s="25"/>
      <c r="AZ28" s="25"/>
      <c r="BA28" s="12"/>
      <c r="BB28" s="25"/>
      <c r="BC28" s="25"/>
      <c r="BD28" s="25"/>
      <c r="BE28" s="25"/>
      <c r="BF28" s="12"/>
      <c r="BG28" s="29" t="s">
        <v>283</v>
      </c>
      <c r="BH28" s="29" t="s">
        <v>284</v>
      </c>
      <c r="BI28" s="29" t="s">
        <v>285</v>
      </c>
      <c r="BJ28" s="29"/>
      <c r="BK28" s="12"/>
      <c r="BL28" s="23" t="s">
        <v>116</v>
      </c>
      <c r="BM28" s="23" t="s">
        <v>117</v>
      </c>
      <c r="BN28" s="23" t="s">
        <v>118</v>
      </c>
      <c r="BO28" s="23" t="s">
        <v>119</v>
      </c>
      <c r="BP28" s="12"/>
      <c r="BQ28" s="23" t="s">
        <v>120</v>
      </c>
      <c r="BR28" s="23" t="s">
        <v>121</v>
      </c>
      <c r="BS28" s="23" t="s">
        <v>122</v>
      </c>
      <c r="BT28" s="23" t="s">
        <v>123</v>
      </c>
      <c r="BU28" s="12"/>
      <c r="BV28" s="29" t="s">
        <v>287</v>
      </c>
      <c r="BW28" s="29" t="s">
        <v>284</v>
      </c>
      <c r="BX28" s="29" t="s">
        <v>288</v>
      </c>
      <c r="BY28" s="29"/>
      <c r="BZ28" s="29" t="s">
        <v>165</v>
      </c>
      <c r="CA28" s="12"/>
      <c r="CB28" s="23" t="s">
        <v>126</v>
      </c>
      <c r="CC28" s="23" t="s">
        <v>127</v>
      </c>
      <c r="CD28" s="23" t="s">
        <v>128</v>
      </c>
      <c r="CE28" s="23" t="s">
        <v>129</v>
      </c>
      <c r="CF28" s="12"/>
      <c r="CG28" s="29" t="s">
        <v>287</v>
      </c>
      <c r="CH28" s="29" t="s">
        <v>284</v>
      </c>
      <c r="CI28" s="29" t="s">
        <v>288</v>
      </c>
      <c r="CJ28" s="29"/>
      <c r="CK28" s="29" t="s">
        <v>146</v>
      </c>
      <c r="CL28" s="29" t="s">
        <v>167</v>
      </c>
      <c r="CM28" s="12"/>
      <c r="CN28" s="23" t="s">
        <v>133</v>
      </c>
      <c r="CO28" s="23" t="s">
        <v>134</v>
      </c>
      <c r="CP28" s="23" t="s">
        <v>135</v>
      </c>
      <c r="CQ28" s="23" t="s">
        <v>136</v>
      </c>
    </row>
    <row r="29" spans="1:95" ht="14.5">
      <c r="A29" s="27" t="s">
        <v>96</v>
      </c>
      <c r="B29" s="27">
        <v>54850098200044</v>
      </c>
      <c r="C29" s="27" t="s">
        <v>18</v>
      </c>
      <c r="D29" s="27"/>
      <c r="E29" s="27" t="s">
        <v>2391</v>
      </c>
      <c r="F29" s="22" t="s">
        <v>290</v>
      </c>
      <c r="G29" s="26" t="s">
        <v>291</v>
      </c>
      <c r="H29" s="22" t="str">
        <f t="array" ref="H29">IFERROR(INDEX(dénomination_ced!$C$2:$C$1102, MATCH(F29, dénomination_ced!$C$1:$C$1102, 0)), "Non classifié")</f>
        <v>Non classifié</v>
      </c>
      <c r="I29" s="25" t="s">
        <v>2423</v>
      </c>
      <c r="J29" s="23" t="s">
        <v>292</v>
      </c>
      <c r="K29" s="13"/>
      <c r="L29" s="23" t="s">
        <v>244</v>
      </c>
      <c r="M29" s="24">
        <v>1776</v>
      </c>
      <c r="N29" s="23" t="s">
        <v>101</v>
      </c>
      <c r="O29" s="23">
        <v>7</v>
      </c>
      <c r="P29" s="23" t="s">
        <v>102</v>
      </c>
      <c r="Q29" s="13"/>
      <c r="R29" s="13"/>
      <c r="S29" s="13"/>
      <c r="T29" s="13" t="s">
        <v>2436</v>
      </c>
      <c r="U29" s="23" t="s">
        <v>11</v>
      </c>
      <c r="V29" s="23" t="s">
        <v>12</v>
      </c>
      <c r="W29" s="23" t="s">
        <v>103</v>
      </c>
      <c r="X29" s="23" t="s">
        <v>13</v>
      </c>
      <c r="Y29" s="13"/>
      <c r="Z29" s="23" t="s">
        <v>104</v>
      </c>
      <c r="AA29" s="23" t="s">
        <v>105</v>
      </c>
      <c r="AB29" s="23" t="s">
        <v>106</v>
      </c>
      <c r="AC29" s="23" t="s">
        <v>107</v>
      </c>
      <c r="AD29" s="13"/>
      <c r="AE29" s="23" t="s">
        <v>267</v>
      </c>
      <c r="AF29" s="23" t="s">
        <v>268</v>
      </c>
      <c r="AG29" s="23"/>
      <c r="AH29" s="23" t="s">
        <v>269</v>
      </c>
      <c r="AI29" s="23" t="s">
        <v>270</v>
      </c>
      <c r="AJ29" s="25">
        <v>1</v>
      </c>
      <c r="AK29" s="25" t="s">
        <v>274</v>
      </c>
      <c r="AL29" s="25" t="s">
        <v>275</v>
      </c>
      <c r="AM29" s="33" t="s">
        <v>276</v>
      </c>
      <c r="AN29" s="13"/>
      <c r="AO29" s="26" t="s">
        <v>112</v>
      </c>
      <c r="AP29" s="26" t="s">
        <v>112</v>
      </c>
      <c r="AQ29" s="13"/>
      <c r="AR29" s="26"/>
      <c r="AS29" s="26"/>
      <c r="AT29" s="26"/>
      <c r="AU29" s="23"/>
      <c r="AV29" s="13"/>
      <c r="AW29" s="23"/>
      <c r="AX29" s="23"/>
      <c r="AY29" s="23"/>
      <c r="AZ29" s="23"/>
      <c r="BA29" s="13"/>
      <c r="BB29" s="23"/>
      <c r="BC29" s="23"/>
      <c r="BD29" s="23"/>
      <c r="BE29" s="23"/>
      <c r="BF29" s="13"/>
      <c r="BG29" s="26" t="s">
        <v>113</v>
      </c>
      <c r="BH29" s="26">
        <v>39933934000016</v>
      </c>
      <c r="BI29" s="26" t="s">
        <v>114</v>
      </c>
      <c r="BJ29" s="26" t="s">
        <v>115</v>
      </c>
      <c r="BK29" s="13"/>
      <c r="BL29" s="23" t="s">
        <v>116</v>
      </c>
      <c r="BM29" s="23" t="s">
        <v>117</v>
      </c>
      <c r="BN29" s="23" t="s">
        <v>118</v>
      </c>
      <c r="BO29" s="23" t="s">
        <v>119</v>
      </c>
      <c r="BP29" s="13"/>
      <c r="BQ29" s="23" t="s">
        <v>120</v>
      </c>
      <c r="BR29" s="23" t="s">
        <v>121</v>
      </c>
      <c r="BS29" s="23" t="s">
        <v>122</v>
      </c>
      <c r="BT29" s="23" t="s">
        <v>123</v>
      </c>
      <c r="BU29" s="13"/>
      <c r="BV29" s="26" t="s">
        <v>113</v>
      </c>
      <c r="BW29" s="26" t="s">
        <v>124</v>
      </c>
      <c r="BX29" s="26" t="s">
        <v>114</v>
      </c>
      <c r="BY29" s="26"/>
      <c r="BZ29" s="26" t="s">
        <v>215</v>
      </c>
      <c r="CA29" s="13"/>
      <c r="CB29" s="23" t="s">
        <v>126</v>
      </c>
      <c r="CC29" s="23" t="s">
        <v>127</v>
      </c>
      <c r="CD29" s="23" t="s">
        <v>128</v>
      </c>
      <c r="CE29" s="23" t="s">
        <v>129</v>
      </c>
      <c r="CF29" s="13"/>
      <c r="CG29" s="26" t="s">
        <v>130</v>
      </c>
      <c r="CH29" s="26"/>
      <c r="CI29" s="26"/>
      <c r="CJ29" s="26"/>
      <c r="CK29" s="26" t="s">
        <v>293</v>
      </c>
      <c r="CL29" s="23" t="s">
        <v>294</v>
      </c>
      <c r="CM29" s="13"/>
      <c r="CN29" s="23" t="s">
        <v>133</v>
      </c>
      <c r="CO29" s="23" t="s">
        <v>134</v>
      </c>
      <c r="CP29" s="23" t="s">
        <v>135</v>
      </c>
      <c r="CQ29" s="23" t="s">
        <v>136</v>
      </c>
    </row>
    <row r="30" spans="1:95" ht="14.5">
      <c r="A30" s="22" t="s">
        <v>96</v>
      </c>
      <c r="B30" s="22">
        <v>54850098200044</v>
      </c>
      <c r="C30" s="22" t="s">
        <v>18</v>
      </c>
      <c r="D30" s="22"/>
      <c r="E30" s="22" t="s">
        <v>2395</v>
      </c>
      <c r="F30" s="34">
        <v>37176</v>
      </c>
      <c r="G30" s="29" t="s">
        <v>295</v>
      </c>
      <c r="H30" s="22" t="str">
        <f t="array" ref="H30">IFERROR(INDEX(dénomination_ced!$C$2:$C$1102, MATCH(F30, dénomination_ced!$C$1:$C$1102, 0)), "Non classifié")</f>
        <v>Non classifié</v>
      </c>
      <c r="I30" s="25" t="s">
        <v>2423</v>
      </c>
      <c r="J30" s="23" t="s">
        <v>296</v>
      </c>
      <c r="K30" s="12"/>
      <c r="L30" s="29" t="s">
        <v>112</v>
      </c>
      <c r="M30" s="29" t="s">
        <v>112</v>
      </c>
      <c r="N30" s="29" t="s">
        <v>112</v>
      </c>
      <c r="O30" s="29" t="s">
        <v>112</v>
      </c>
      <c r="P30" s="29" t="s">
        <v>112</v>
      </c>
      <c r="Q30" s="12"/>
      <c r="R30" s="12"/>
      <c r="S30" s="12"/>
      <c r="T30" s="13" t="s">
        <v>2436</v>
      </c>
      <c r="U30" s="25" t="s">
        <v>11</v>
      </c>
      <c r="V30" s="25" t="s">
        <v>12</v>
      </c>
      <c r="W30" s="23" t="s">
        <v>103</v>
      </c>
      <c r="X30" s="25" t="s">
        <v>13</v>
      </c>
      <c r="Y30" s="12"/>
      <c r="Z30" s="23" t="s">
        <v>104</v>
      </c>
      <c r="AA30" s="23" t="s">
        <v>105</v>
      </c>
      <c r="AB30" s="23" t="s">
        <v>106</v>
      </c>
      <c r="AC30" s="23" t="s">
        <v>107</v>
      </c>
      <c r="AD30" s="12"/>
      <c r="AE30" s="23" t="s">
        <v>267</v>
      </c>
      <c r="AF30" s="23" t="s">
        <v>268</v>
      </c>
      <c r="AG30" s="25"/>
      <c r="AH30" s="23" t="s">
        <v>269</v>
      </c>
      <c r="AI30" s="23" t="s">
        <v>270</v>
      </c>
      <c r="AJ30" s="25">
        <v>1</v>
      </c>
      <c r="AK30" s="25" t="s">
        <v>274</v>
      </c>
      <c r="AL30" s="25" t="s">
        <v>275</v>
      </c>
      <c r="AM30" s="33" t="s">
        <v>276</v>
      </c>
      <c r="AN30" s="12"/>
      <c r="AO30" s="29" t="s">
        <v>112</v>
      </c>
      <c r="AP30" s="29" t="s">
        <v>112</v>
      </c>
      <c r="AQ30" s="12"/>
      <c r="AR30" s="29"/>
      <c r="AS30" s="29"/>
      <c r="AT30" s="29"/>
      <c r="AU30" s="29"/>
      <c r="AV30" s="12"/>
      <c r="AW30" s="25"/>
      <c r="AX30" s="25"/>
      <c r="AY30" s="25"/>
      <c r="AZ30" s="25"/>
      <c r="BA30" s="12"/>
      <c r="BB30" s="25"/>
      <c r="BC30" s="25"/>
      <c r="BD30" s="25"/>
      <c r="BE30" s="25"/>
      <c r="BF30" s="12"/>
      <c r="BG30" s="29" t="s">
        <v>297</v>
      </c>
      <c r="BH30" s="29">
        <v>42196220000018</v>
      </c>
      <c r="BI30" s="29" t="s">
        <v>298</v>
      </c>
      <c r="BJ30" s="29"/>
      <c r="BK30" s="12"/>
      <c r="BL30" s="23" t="s">
        <v>116</v>
      </c>
      <c r="BM30" s="23" t="s">
        <v>117</v>
      </c>
      <c r="BN30" s="23" t="s">
        <v>118</v>
      </c>
      <c r="BO30" s="23" t="s">
        <v>119</v>
      </c>
      <c r="BP30" s="12"/>
      <c r="BQ30" s="23" t="s">
        <v>120</v>
      </c>
      <c r="BR30" s="23" t="s">
        <v>121</v>
      </c>
      <c r="BS30" s="23" t="s">
        <v>122</v>
      </c>
      <c r="BT30" s="23" t="s">
        <v>123</v>
      </c>
      <c r="BU30" s="12"/>
      <c r="BV30" s="29" t="s">
        <v>299</v>
      </c>
      <c r="BW30" s="29"/>
      <c r="BX30" s="29" t="s">
        <v>300</v>
      </c>
      <c r="BY30" s="29"/>
      <c r="BZ30" s="29"/>
      <c r="CA30" s="12"/>
      <c r="CB30" s="23" t="s">
        <v>126</v>
      </c>
      <c r="CC30" s="23" t="s">
        <v>127</v>
      </c>
      <c r="CD30" s="23" t="s">
        <v>128</v>
      </c>
      <c r="CE30" s="23" t="s">
        <v>129</v>
      </c>
      <c r="CF30" s="12"/>
      <c r="CG30" s="29" t="s">
        <v>299</v>
      </c>
      <c r="CH30" s="29"/>
      <c r="CI30" s="29" t="s">
        <v>300</v>
      </c>
      <c r="CJ30" s="29"/>
      <c r="CK30" s="29"/>
      <c r="CL30" s="29"/>
      <c r="CM30" s="12"/>
      <c r="CN30" s="23" t="s">
        <v>133</v>
      </c>
      <c r="CO30" s="23" t="s">
        <v>134</v>
      </c>
      <c r="CP30" s="23" t="s">
        <v>135</v>
      </c>
      <c r="CQ30" s="23" t="s">
        <v>136</v>
      </c>
    </row>
    <row r="31" spans="1:95" ht="14.5">
      <c r="A31" s="27" t="s">
        <v>96</v>
      </c>
      <c r="B31" s="27">
        <v>54850098200044</v>
      </c>
      <c r="C31" s="27" t="s">
        <v>18</v>
      </c>
      <c r="D31" s="27"/>
      <c r="E31" s="27" t="s">
        <v>2394</v>
      </c>
      <c r="F31" s="22" t="s">
        <v>302</v>
      </c>
      <c r="G31" s="26" t="s">
        <v>303</v>
      </c>
      <c r="H31" s="22" t="str">
        <f t="array" ref="H31">IFERROR(INDEX(dénomination_ced!$C$2:$C$1102, MATCH(F31, dénomination_ced!$C$1:$C$1102, 0)), "Non classifié")</f>
        <v>Non classifié</v>
      </c>
      <c r="I31" s="25" t="s">
        <v>2423</v>
      </c>
      <c r="J31" s="23" t="s">
        <v>304</v>
      </c>
      <c r="K31" s="23"/>
      <c r="L31" s="26" t="s">
        <v>112</v>
      </c>
      <c r="M31" s="26" t="s">
        <v>112</v>
      </c>
      <c r="N31" s="26" t="s">
        <v>112</v>
      </c>
      <c r="O31" s="26" t="s">
        <v>112</v>
      </c>
      <c r="P31" s="26" t="s">
        <v>112</v>
      </c>
      <c r="Q31" s="23"/>
      <c r="R31" s="23"/>
      <c r="S31" s="23"/>
      <c r="T31" s="13" t="s">
        <v>2436</v>
      </c>
      <c r="U31" s="23" t="s">
        <v>11</v>
      </c>
      <c r="V31" s="23" t="s">
        <v>12</v>
      </c>
      <c r="W31" s="23" t="s">
        <v>103</v>
      </c>
      <c r="X31" s="23" t="s">
        <v>13</v>
      </c>
      <c r="Y31" s="23"/>
      <c r="Z31" s="23" t="s">
        <v>104</v>
      </c>
      <c r="AA31" s="23" t="s">
        <v>105</v>
      </c>
      <c r="AB31" s="23" t="s">
        <v>106</v>
      </c>
      <c r="AC31" s="23" t="s">
        <v>107</v>
      </c>
      <c r="AD31" s="23"/>
      <c r="AE31" s="23" t="s">
        <v>305</v>
      </c>
      <c r="AF31" s="23" t="s">
        <v>268</v>
      </c>
      <c r="AG31" s="23"/>
      <c r="AH31" s="23" t="s">
        <v>306</v>
      </c>
      <c r="AI31" s="25" t="s">
        <v>307</v>
      </c>
      <c r="AJ31" s="25">
        <v>1</v>
      </c>
      <c r="AK31" s="25" t="s">
        <v>274</v>
      </c>
      <c r="AL31" s="25" t="s">
        <v>275</v>
      </c>
      <c r="AM31" s="33" t="s">
        <v>276</v>
      </c>
      <c r="AN31" s="23"/>
      <c r="AO31" s="26" t="s">
        <v>112</v>
      </c>
      <c r="AP31" s="26" t="s">
        <v>112</v>
      </c>
      <c r="AQ31" s="23"/>
      <c r="AR31" s="26"/>
      <c r="AS31" s="26"/>
      <c r="AT31" s="26"/>
      <c r="AU31" s="26"/>
      <c r="AV31" s="23"/>
      <c r="AW31" s="23"/>
      <c r="AX31" s="23"/>
      <c r="AY31" s="23"/>
      <c r="AZ31" s="23"/>
      <c r="BA31" s="23"/>
      <c r="BB31" s="23"/>
      <c r="BC31" s="23"/>
      <c r="BD31" s="23"/>
      <c r="BE31" s="23"/>
      <c r="BF31" s="23"/>
      <c r="BG31" s="26" t="s">
        <v>227</v>
      </c>
      <c r="BH31" s="26" t="s">
        <v>228</v>
      </c>
      <c r="BI31" s="26" t="s">
        <v>229</v>
      </c>
      <c r="BJ31" s="26" t="s">
        <v>230</v>
      </c>
      <c r="BK31" s="23"/>
      <c r="BL31" s="23" t="s">
        <v>116</v>
      </c>
      <c r="BM31" s="23" t="s">
        <v>117</v>
      </c>
      <c r="BN31" s="23" t="s">
        <v>118</v>
      </c>
      <c r="BO31" s="23" t="s">
        <v>119</v>
      </c>
      <c r="BP31" s="23"/>
      <c r="BQ31" s="23" t="s">
        <v>120</v>
      </c>
      <c r="BR31" s="23" t="s">
        <v>121</v>
      </c>
      <c r="BS31" s="23" t="s">
        <v>122</v>
      </c>
      <c r="BT31" s="23" t="s">
        <v>123</v>
      </c>
      <c r="BU31" s="23"/>
      <c r="BV31" s="26"/>
      <c r="BW31" s="26"/>
      <c r="BX31" s="26"/>
      <c r="BY31" s="26"/>
      <c r="BZ31" s="26"/>
      <c r="CA31" s="23"/>
      <c r="CB31" s="23"/>
      <c r="CC31" s="23"/>
      <c r="CD31" s="23"/>
      <c r="CE31" s="23"/>
      <c r="CF31" s="23"/>
      <c r="CG31" s="26" t="s">
        <v>231</v>
      </c>
      <c r="CH31" s="26" t="s">
        <v>232</v>
      </c>
      <c r="CI31" s="26" t="s">
        <v>233</v>
      </c>
      <c r="CJ31" s="26"/>
      <c r="CK31" s="26" t="s">
        <v>308</v>
      </c>
      <c r="CL31" s="26" t="s">
        <v>309</v>
      </c>
      <c r="CM31" s="23"/>
      <c r="CN31" s="23" t="s">
        <v>133</v>
      </c>
      <c r="CO31" s="23" t="s">
        <v>134</v>
      </c>
      <c r="CP31" s="23" t="s">
        <v>135</v>
      </c>
      <c r="CQ31" s="23" t="s">
        <v>136</v>
      </c>
    </row>
    <row r="32" spans="1:95" ht="14.5">
      <c r="A32" s="22" t="s">
        <v>310</v>
      </c>
      <c r="B32" s="22">
        <v>54850098200267</v>
      </c>
      <c r="C32" s="22" t="s">
        <v>311</v>
      </c>
      <c r="D32" s="22"/>
      <c r="E32" s="22" t="s">
        <v>2424</v>
      </c>
      <c r="F32" s="22" t="s">
        <v>98</v>
      </c>
      <c r="G32" s="26"/>
      <c r="H32" s="22" t="str">
        <f t="array" ref="H32">IFERROR(INDEX(dénomination_ced!$C$2:$C$1102, MATCH(F32, dénomination_ced!$C$1:$C$1102, 0)), "Non classifié")</f>
        <v>Non classifié</v>
      </c>
      <c r="I32" s="25" t="s">
        <v>2425</v>
      </c>
      <c r="J32" s="23" t="s">
        <v>312</v>
      </c>
      <c r="K32" s="13"/>
      <c r="L32" s="29" t="s">
        <v>112</v>
      </c>
      <c r="M32" s="29" t="s">
        <v>112</v>
      </c>
      <c r="N32" s="29" t="s">
        <v>112</v>
      </c>
      <c r="O32" s="29" t="s">
        <v>112</v>
      </c>
      <c r="P32" s="29" t="s">
        <v>112</v>
      </c>
      <c r="Q32" s="13"/>
      <c r="R32" s="13"/>
      <c r="S32" s="13"/>
      <c r="T32" s="13" t="s">
        <v>2436</v>
      </c>
      <c r="U32" s="23" t="s">
        <v>11</v>
      </c>
      <c r="V32" s="23" t="s">
        <v>12</v>
      </c>
      <c r="W32" s="23" t="s">
        <v>103</v>
      </c>
      <c r="X32" s="23" t="s">
        <v>13</v>
      </c>
      <c r="Y32" s="13"/>
      <c r="Z32" s="23" t="s">
        <v>104</v>
      </c>
      <c r="AA32" s="23" t="s">
        <v>105</v>
      </c>
      <c r="AB32" s="23" t="s">
        <v>106</v>
      </c>
      <c r="AC32" s="23" t="s">
        <v>107</v>
      </c>
      <c r="AD32" s="13"/>
      <c r="AE32" s="23" t="s">
        <v>305</v>
      </c>
      <c r="AF32" s="23" t="s">
        <v>268</v>
      </c>
      <c r="AG32" s="23"/>
      <c r="AH32" s="23" t="s">
        <v>306</v>
      </c>
      <c r="AI32" s="25" t="s">
        <v>307</v>
      </c>
      <c r="AJ32" s="25">
        <v>1</v>
      </c>
      <c r="AK32" s="25" t="s">
        <v>274</v>
      </c>
      <c r="AL32" s="25" t="s">
        <v>275</v>
      </c>
      <c r="AM32" s="33" t="s">
        <v>276</v>
      </c>
      <c r="AN32" s="13"/>
      <c r="AO32" s="26" t="s">
        <v>112</v>
      </c>
      <c r="AP32" s="26" t="s">
        <v>112</v>
      </c>
      <c r="AQ32" s="13"/>
      <c r="AR32" s="26"/>
      <c r="AS32" s="23"/>
      <c r="AT32" s="23"/>
      <c r="AU32" s="23"/>
      <c r="AV32" s="13"/>
      <c r="AW32" s="23"/>
      <c r="AX32" s="23"/>
      <c r="AY32" s="23"/>
      <c r="AZ32" s="23"/>
      <c r="BA32" s="13"/>
      <c r="BB32" s="23"/>
      <c r="BC32" s="23"/>
      <c r="BD32" s="23"/>
      <c r="BE32" s="23"/>
      <c r="BF32" s="13"/>
      <c r="BG32" s="26" t="s">
        <v>113</v>
      </c>
      <c r="BH32" s="23" t="s">
        <v>313</v>
      </c>
      <c r="BI32" s="26" t="s">
        <v>114</v>
      </c>
      <c r="BJ32" s="26" t="s">
        <v>115</v>
      </c>
      <c r="BK32" s="13"/>
      <c r="BL32" s="23" t="s">
        <v>116</v>
      </c>
      <c r="BM32" s="23" t="s">
        <v>117</v>
      </c>
      <c r="BN32" s="23" t="s">
        <v>118</v>
      </c>
      <c r="BO32" s="23" t="s">
        <v>119</v>
      </c>
      <c r="BP32" s="13"/>
      <c r="BQ32" s="23" t="s">
        <v>120</v>
      </c>
      <c r="BR32" s="23" t="s">
        <v>121</v>
      </c>
      <c r="BS32" s="23" t="s">
        <v>122</v>
      </c>
      <c r="BT32" s="23" t="s">
        <v>123</v>
      </c>
      <c r="BU32" s="13"/>
      <c r="BV32" s="26" t="s">
        <v>113</v>
      </c>
      <c r="BW32" s="23" t="s">
        <v>124</v>
      </c>
      <c r="BX32" s="26" t="s">
        <v>114</v>
      </c>
      <c r="BY32" s="26"/>
      <c r="BZ32" s="26" t="s">
        <v>125</v>
      </c>
      <c r="CA32" s="13"/>
      <c r="CB32" s="23" t="s">
        <v>126</v>
      </c>
      <c r="CC32" s="23" t="s">
        <v>127</v>
      </c>
      <c r="CD32" s="23" t="s">
        <v>128</v>
      </c>
      <c r="CE32" s="23" t="s">
        <v>129</v>
      </c>
      <c r="CF32" s="13"/>
      <c r="CG32" s="26" t="s">
        <v>130</v>
      </c>
      <c r="CH32" s="23"/>
      <c r="CI32" s="26"/>
      <c r="CJ32" s="26"/>
      <c r="CK32" s="26" t="s">
        <v>131</v>
      </c>
      <c r="CL32" s="26" t="s">
        <v>132</v>
      </c>
      <c r="CM32" s="13"/>
      <c r="CN32" s="23" t="s">
        <v>133</v>
      </c>
      <c r="CO32" s="23" t="s">
        <v>134</v>
      </c>
      <c r="CP32" s="23" t="s">
        <v>135</v>
      </c>
      <c r="CQ32" s="23" t="s">
        <v>136</v>
      </c>
    </row>
    <row r="33" spans="1:95" ht="14.5">
      <c r="A33" s="27" t="s">
        <v>310</v>
      </c>
      <c r="B33" s="27">
        <v>54850098200267</v>
      </c>
      <c r="C33" s="27" t="s">
        <v>311</v>
      </c>
      <c r="D33" s="27"/>
      <c r="E33" s="27" t="s">
        <v>2396</v>
      </c>
      <c r="F33" s="28" t="s">
        <v>315</v>
      </c>
      <c r="G33" s="29"/>
      <c r="H33" s="22" t="str">
        <f t="array" ref="H33">IFERROR(INDEX(dénomination_ced!$C$2:$C$1102, MATCH(F33, dénomination_ced!$C$1:$C$1102, 0)), "Non classifié")</f>
        <v>Non classifié</v>
      </c>
      <c r="I33" s="25" t="s">
        <v>2423</v>
      </c>
      <c r="J33" s="23" t="s">
        <v>316</v>
      </c>
      <c r="K33" s="12"/>
      <c r="L33" s="29" t="s">
        <v>112</v>
      </c>
      <c r="M33" s="29" t="s">
        <v>112</v>
      </c>
      <c r="N33" s="29" t="s">
        <v>112</v>
      </c>
      <c r="O33" s="29" t="s">
        <v>112</v>
      </c>
      <c r="P33" s="29" t="s">
        <v>112</v>
      </c>
      <c r="Q33" s="12"/>
      <c r="R33" s="12"/>
      <c r="S33" s="12"/>
      <c r="T33" s="13" t="s">
        <v>2436</v>
      </c>
      <c r="U33" s="25" t="s">
        <v>11</v>
      </c>
      <c r="V33" s="25" t="s">
        <v>12</v>
      </c>
      <c r="W33" s="23" t="s">
        <v>103</v>
      </c>
      <c r="X33" s="25" t="s">
        <v>13</v>
      </c>
      <c r="Y33" s="12"/>
      <c r="Z33" s="23" t="s">
        <v>104</v>
      </c>
      <c r="AA33" s="23" t="s">
        <v>105</v>
      </c>
      <c r="AB33" s="23" t="s">
        <v>106</v>
      </c>
      <c r="AC33" s="23" t="s">
        <v>107</v>
      </c>
      <c r="AD33" s="12"/>
      <c r="AE33" s="23" t="s">
        <v>305</v>
      </c>
      <c r="AF33" s="23" t="s">
        <v>268</v>
      </c>
      <c r="AG33" s="25"/>
      <c r="AH33" s="23" t="s">
        <v>306</v>
      </c>
      <c r="AI33" s="25" t="s">
        <v>307</v>
      </c>
      <c r="AJ33" s="25">
        <v>1</v>
      </c>
      <c r="AK33" s="25" t="s">
        <v>274</v>
      </c>
      <c r="AL33" s="25" t="s">
        <v>275</v>
      </c>
      <c r="AM33" s="33" t="s">
        <v>276</v>
      </c>
      <c r="AN33" s="12"/>
      <c r="AO33" s="29" t="s">
        <v>112</v>
      </c>
      <c r="AP33" s="29" t="s">
        <v>112</v>
      </c>
      <c r="AQ33" s="12"/>
      <c r="AR33" s="29"/>
      <c r="AS33" s="25"/>
      <c r="AT33" s="25"/>
      <c r="AU33" s="29"/>
      <c r="AV33" s="12"/>
      <c r="AW33" s="25"/>
      <c r="AX33" s="25"/>
      <c r="AY33" s="25"/>
      <c r="AZ33" s="25"/>
      <c r="BA33" s="12"/>
      <c r="BB33" s="25"/>
      <c r="BC33" s="25"/>
      <c r="BD33" s="25"/>
      <c r="BE33" s="25"/>
      <c r="BF33" s="12"/>
      <c r="BG33" s="29" t="s">
        <v>317</v>
      </c>
      <c r="BH33" s="25" t="s">
        <v>318</v>
      </c>
      <c r="BI33" s="29" t="s">
        <v>319</v>
      </c>
      <c r="BJ33" s="25" t="s">
        <v>320</v>
      </c>
      <c r="BK33" s="12"/>
      <c r="BL33" s="23" t="s">
        <v>116</v>
      </c>
      <c r="BM33" s="23" t="s">
        <v>117</v>
      </c>
      <c r="BN33" s="23" t="s">
        <v>118</v>
      </c>
      <c r="BO33" s="23" t="s">
        <v>119</v>
      </c>
      <c r="BP33" s="12"/>
      <c r="BQ33" s="23" t="s">
        <v>120</v>
      </c>
      <c r="BR33" s="23" t="s">
        <v>121</v>
      </c>
      <c r="BS33" s="23" t="s">
        <v>122</v>
      </c>
      <c r="BT33" s="23" t="s">
        <v>123</v>
      </c>
      <c r="BU33" s="12"/>
      <c r="BV33" s="29" t="s">
        <v>321</v>
      </c>
      <c r="BW33" s="29" t="s">
        <v>124</v>
      </c>
      <c r="BX33" s="29" t="s">
        <v>322</v>
      </c>
      <c r="BY33" s="29"/>
      <c r="BZ33" s="29" t="s">
        <v>165</v>
      </c>
      <c r="CA33" s="12"/>
      <c r="CB33" s="23" t="s">
        <v>126</v>
      </c>
      <c r="CC33" s="23" t="s">
        <v>127</v>
      </c>
      <c r="CD33" s="23" t="s">
        <v>128</v>
      </c>
      <c r="CE33" s="23" t="s">
        <v>129</v>
      </c>
      <c r="CF33" s="12"/>
      <c r="CG33" s="29" t="s">
        <v>321</v>
      </c>
      <c r="CH33" s="29" t="s">
        <v>323</v>
      </c>
      <c r="CI33" s="29" t="s">
        <v>322</v>
      </c>
      <c r="CJ33" s="29"/>
      <c r="CK33" s="29" t="s">
        <v>131</v>
      </c>
      <c r="CL33" s="29" t="s">
        <v>132</v>
      </c>
      <c r="CM33" s="12"/>
      <c r="CN33" s="23" t="s">
        <v>133</v>
      </c>
      <c r="CO33" s="23" t="s">
        <v>134</v>
      </c>
      <c r="CP33" s="23" t="s">
        <v>135</v>
      </c>
      <c r="CQ33" s="23" t="s">
        <v>136</v>
      </c>
    </row>
    <row r="34" spans="1:95" ht="14.5">
      <c r="A34" s="22" t="s">
        <v>310</v>
      </c>
      <c r="B34" s="22">
        <v>54850098200267</v>
      </c>
      <c r="C34" s="22" t="s">
        <v>311</v>
      </c>
      <c r="D34" s="22"/>
      <c r="E34" s="145" t="s">
        <v>2390</v>
      </c>
      <c r="F34" s="22" t="s">
        <v>138</v>
      </c>
      <c r="G34" s="31"/>
      <c r="H34" s="22" t="str">
        <f t="array" ref="H34">IFERROR(INDEX(dénomination_ced!$C$2:$C$1102, MATCH(F34, dénomination_ced!$C$1:$C$1102, 0)), "Non classifié")</f>
        <v>Non classifié</v>
      </c>
      <c r="I34" s="25" t="s">
        <v>2423</v>
      </c>
      <c r="J34" s="23" t="s">
        <v>324</v>
      </c>
      <c r="K34" s="13"/>
      <c r="L34" s="26" t="s">
        <v>112</v>
      </c>
      <c r="M34" s="26" t="s">
        <v>112</v>
      </c>
      <c r="N34" s="26" t="s">
        <v>112</v>
      </c>
      <c r="O34" s="26" t="s">
        <v>112</v>
      </c>
      <c r="P34" s="26" t="s">
        <v>112</v>
      </c>
      <c r="Q34" s="13"/>
      <c r="R34" s="13"/>
      <c r="S34" s="13"/>
      <c r="T34" s="13" t="s">
        <v>2436</v>
      </c>
      <c r="U34" s="23" t="s">
        <v>11</v>
      </c>
      <c r="V34" s="23" t="s">
        <v>12</v>
      </c>
      <c r="W34" s="23" t="s">
        <v>103</v>
      </c>
      <c r="X34" s="23" t="s">
        <v>13</v>
      </c>
      <c r="Y34" s="13"/>
      <c r="Z34" s="23" t="s">
        <v>104</v>
      </c>
      <c r="AA34" s="23" t="s">
        <v>105</v>
      </c>
      <c r="AB34" s="23" t="s">
        <v>106</v>
      </c>
      <c r="AC34" s="23" t="s">
        <v>107</v>
      </c>
      <c r="AD34" s="13"/>
      <c r="AE34" s="23" t="s">
        <v>305</v>
      </c>
      <c r="AF34" s="23" t="s">
        <v>268</v>
      </c>
      <c r="AG34" s="23"/>
      <c r="AH34" s="23" t="s">
        <v>306</v>
      </c>
      <c r="AI34" s="25" t="s">
        <v>307</v>
      </c>
      <c r="AJ34" s="25">
        <v>1</v>
      </c>
      <c r="AK34" s="25" t="s">
        <v>274</v>
      </c>
      <c r="AL34" s="25" t="s">
        <v>275</v>
      </c>
      <c r="AM34" s="33" t="s">
        <v>276</v>
      </c>
      <c r="AN34" s="13"/>
      <c r="AO34" s="26" t="s">
        <v>112</v>
      </c>
      <c r="AP34" s="26" t="s">
        <v>112</v>
      </c>
      <c r="AQ34" s="13"/>
      <c r="AR34" s="26"/>
      <c r="AS34" s="23"/>
      <c r="AT34" s="23"/>
      <c r="AU34" s="26"/>
      <c r="AV34" s="13"/>
      <c r="AW34" s="23"/>
      <c r="AX34" s="23"/>
      <c r="AY34" s="23"/>
      <c r="AZ34" s="23"/>
      <c r="BA34" s="13"/>
      <c r="BB34" s="23"/>
      <c r="BC34" s="23"/>
      <c r="BD34" s="23"/>
      <c r="BE34" s="23"/>
      <c r="BF34" s="13"/>
      <c r="BG34" s="26" t="s">
        <v>325</v>
      </c>
      <c r="BH34" s="23" t="s">
        <v>141</v>
      </c>
      <c r="BI34" s="26" t="s">
        <v>326</v>
      </c>
      <c r="BJ34" s="23">
        <v>2167061</v>
      </c>
      <c r="BK34" s="13"/>
      <c r="BL34" s="23" t="s">
        <v>116</v>
      </c>
      <c r="BM34" s="23" t="s">
        <v>117</v>
      </c>
      <c r="BN34" s="23" t="s">
        <v>118</v>
      </c>
      <c r="BO34" s="23" t="s">
        <v>119</v>
      </c>
      <c r="BP34" s="13"/>
      <c r="BQ34" s="23" t="s">
        <v>120</v>
      </c>
      <c r="BR34" s="23" t="s">
        <v>121</v>
      </c>
      <c r="BS34" s="23" t="s">
        <v>122</v>
      </c>
      <c r="BT34" s="23" t="s">
        <v>123</v>
      </c>
      <c r="BU34" s="13"/>
      <c r="BV34" s="26"/>
      <c r="BW34" s="26"/>
      <c r="BX34" s="26"/>
      <c r="BY34" s="26"/>
      <c r="BZ34" s="26"/>
      <c r="CA34" s="13"/>
      <c r="CB34" s="23"/>
      <c r="CC34" s="23"/>
      <c r="CD34" s="23"/>
      <c r="CE34" s="23"/>
      <c r="CF34" s="13"/>
      <c r="CG34" s="26" t="s">
        <v>327</v>
      </c>
      <c r="CH34" s="26" t="s">
        <v>144</v>
      </c>
      <c r="CI34" s="26" t="s">
        <v>328</v>
      </c>
      <c r="CJ34" s="26"/>
      <c r="CK34" s="26" t="s">
        <v>146</v>
      </c>
      <c r="CL34" s="26" t="s">
        <v>132</v>
      </c>
      <c r="CM34" s="13"/>
      <c r="CN34" s="23" t="s">
        <v>133</v>
      </c>
      <c r="CO34" s="23" t="s">
        <v>134</v>
      </c>
      <c r="CP34" s="23" t="s">
        <v>135</v>
      </c>
      <c r="CQ34" s="23" t="s">
        <v>136</v>
      </c>
    </row>
    <row r="35" spans="1:95" ht="14.5">
      <c r="A35" s="27" t="s">
        <v>310</v>
      </c>
      <c r="B35" s="27">
        <v>54850098200267</v>
      </c>
      <c r="C35" s="27" t="s">
        <v>311</v>
      </c>
      <c r="D35" s="27"/>
      <c r="E35" s="144" t="s">
        <v>2390</v>
      </c>
      <c r="F35" s="22" t="s">
        <v>138</v>
      </c>
      <c r="G35" s="26"/>
      <c r="H35" s="22" t="str">
        <f t="array" ref="H35">IFERROR(INDEX(dénomination_ced!$C$2:$C$1102, MATCH(F35, dénomination_ced!$C$1:$C$1102, 0)), "Non classifié")</f>
        <v>Non classifié</v>
      </c>
      <c r="I35" s="25" t="s">
        <v>2423</v>
      </c>
      <c r="J35" s="23" t="s">
        <v>329</v>
      </c>
      <c r="K35" s="13"/>
      <c r="L35" s="26" t="s">
        <v>112</v>
      </c>
      <c r="M35" s="26" t="s">
        <v>112</v>
      </c>
      <c r="N35" s="26" t="s">
        <v>112</v>
      </c>
      <c r="O35" s="26" t="s">
        <v>112</v>
      </c>
      <c r="P35" s="26" t="s">
        <v>112</v>
      </c>
      <c r="Q35" s="13"/>
      <c r="R35" s="13"/>
      <c r="S35" s="13"/>
      <c r="T35" s="13" t="s">
        <v>2436</v>
      </c>
      <c r="U35" s="23" t="s">
        <v>11</v>
      </c>
      <c r="V35" s="23" t="s">
        <v>12</v>
      </c>
      <c r="W35" s="23" t="s">
        <v>103</v>
      </c>
      <c r="X35" s="23" t="s">
        <v>13</v>
      </c>
      <c r="Y35" s="13"/>
      <c r="Z35" s="23" t="s">
        <v>104</v>
      </c>
      <c r="AA35" s="23" t="s">
        <v>105</v>
      </c>
      <c r="AB35" s="23" t="s">
        <v>106</v>
      </c>
      <c r="AC35" s="23" t="s">
        <v>107</v>
      </c>
      <c r="AD35" s="13"/>
      <c r="AE35" s="23" t="s">
        <v>305</v>
      </c>
      <c r="AF35" s="23" t="s">
        <v>268</v>
      </c>
      <c r="AG35" s="23"/>
      <c r="AH35" s="23" t="s">
        <v>306</v>
      </c>
      <c r="AI35" s="25" t="s">
        <v>307</v>
      </c>
      <c r="AJ35" s="25">
        <v>1</v>
      </c>
      <c r="AK35" s="25" t="s">
        <v>274</v>
      </c>
      <c r="AL35" s="25" t="s">
        <v>275</v>
      </c>
      <c r="AM35" s="33" t="s">
        <v>276</v>
      </c>
      <c r="AN35" s="13"/>
      <c r="AO35" s="26" t="s">
        <v>112</v>
      </c>
      <c r="AP35" s="26" t="s">
        <v>112</v>
      </c>
      <c r="AQ35" s="13"/>
      <c r="AR35" s="26"/>
      <c r="AS35" s="23"/>
      <c r="AT35" s="23"/>
      <c r="AU35" s="26"/>
      <c r="AV35" s="13"/>
      <c r="AW35" s="23"/>
      <c r="AX35" s="23"/>
      <c r="AY35" s="23"/>
      <c r="AZ35" s="23"/>
      <c r="BA35" s="13"/>
      <c r="BB35" s="23"/>
      <c r="BC35" s="23"/>
      <c r="BD35" s="23"/>
      <c r="BE35" s="23"/>
      <c r="BF35" s="13"/>
      <c r="BG35" s="26" t="s">
        <v>325</v>
      </c>
      <c r="BH35" s="23" t="s">
        <v>141</v>
      </c>
      <c r="BI35" s="26" t="s">
        <v>326</v>
      </c>
      <c r="BJ35" s="23">
        <v>2167061</v>
      </c>
      <c r="BK35" s="13"/>
      <c r="BL35" s="23" t="s">
        <v>116</v>
      </c>
      <c r="BM35" s="23" t="s">
        <v>117</v>
      </c>
      <c r="BN35" s="23" t="s">
        <v>118</v>
      </c>
      <c r="BO35" s="23" t="s">
        <v>119</v>
      </c>
      <c r="BP35" s="13"/>
      <c r="BQ35" s="23" t="s">
        <v>120</v>
      </c>
      <c r="BR35" s="23" t="s">
        <v>121</v>
      </c>
      <c r="BS35" s="23" t="s">
        <v>122</v>
      </c>
      <c r="BT35" s="23" t="s">
        <v>123</v>
      </c>
      <c r="BU35" s="13"/>
      <c r="BV35" s="26" t="s">
        <v>163</v>
      </c>
      <c r="BW35" s="26" t="s">
        <v>124</v>
      </c>
      <c r="BX35" s="26" t="s">
        <v>330</v>
      </c>
      <c r="BY35" s="26"/>
      <c r="BZ35" s="26" t="s">
        <v>125</v>
      </c>
      <c r="CA35" s="13"/>
      <c r="CB35" s="23" t="s">
        <v>126</v>
      </c>
      <c r="CC35" s="23" t="s">
        <v>127</v>
      </c>
      <c r="CD35" s="23" t="s">
        <v>128</v>
      </c>
      <c r="CE35" s="23" t="s">
        <v>129</v>
      </c>
      <c r="CF35" s="13"/>
      <c r="CG35" s="26" t="s">
        <v>163</v>
      </c>
      <c r="CH35" s="26" t="s">
        <v>331</v>
      </c>
      <c r="CI35" s="26" t="s">
        <v>330</v>
      </c>
      <c r="CJ35" s="26"/>
      <c r="CK35" s="26" t="s">
        <v>146</v>
      </c>
      <c r="CL35" s="26" t="s">
        <v>132</v>
      </c>
      <c r="CM35" s="13"/>
      <c r="CN35" s="23" t="s">
        <v>133</v>
      </c>
      <c r="CO35" s="23" t="s">
        <v>134</v>
      </c>
      <c r="CP35" s="23" t="s">
        <v>135</v>
      </c>
      <c r="CQ35" s="23" t="s">
        <v>136</v>
      </c>
    </row>
    <row r="36" spans="1:95" ht="14.5">
      <c r="A36" s="22" t="s">
        <v>310</v>
      </c>
      <c r="B36" s="22">
        <v>54850098200267</v>
      </c>
      <c r="C36" s="22" t="s">
        <v>311</v>
      </c>
      <c r="D36" s="22"/>
      <c r="E36" s="22" t="s">
        <v>2392</v>
      </c>
      <c r="F36" s="28" t="s">
        <v>252</v>
      </c>
      <c r="G36" s="25"/>
      <c r="H36" s="22" t="str">
        <f t="array" ref="H36">IFERROR(INDEX(dénomination_ced!$C$2:$C$1102, MATCH(F36, dénomination_ced!$C$1:$C$1102, 0)), "Non classifié")</f>
        <v>Non classifié</v>
      </c>
      <c r="I36" s="25" t="s">
        <v>2423</v>
      </c>
      <c r="J36" s="23" t="s">
        <v>333</v>
      </c>
      <c r="K36" s="12"/>
      <c r="L36" s="29" t="s">
        <v>112</v>
      </c>
      <c r="M36" s="29" t="s">
        <v>112</v>
      </c>
      <c r="N36" s="29" t="s">
        <v>112</v>
      </c>
      <c r="O36" s="29" t="s">
        <v>112</v>
      </c>
      <c r="P36" s="29" t="s">
        <v>112</v>
      </c>
      <c r="Q36" s="12"/>
      <c r="R36" s="12" t="s">
        <v>200</v>
      </c>
      <c r="S36" s="12"/>
      <c r="T36" s="13" t="s">
        <v>2436</v>
      </c>
      <c r="U36" s="25" t="s">
        <v>11</v>
      </c>
      <c r="V36" s="25" t="s">
        <v>12</v>
      </c>
      <c r="W36" s="23" t="s">
        <v>103</v>
      </c>
      <c r="X36" s="25" t="s">
        <v>13</v>
      </c>
      <c r="Y36" s="12"/>
      <c r="Z36" s="23" t="s">
        <v>104</v>
      </c>
      <c r="AA36" s="23" t="s">
        <v>105</v>
      </c>
      <c r="AB36" s="23" t="s">
        <v>106</v>
      </c>
      <c r="AC36" s="23" t="s">
        <v>107</v>
      </c>
      <c r="AD36" s="12"/>
      <c r="AE36" s="23" t="s">
        <v>305</v>
      </c>
      <c r="AF36" s="23" t="s">
        <v>268</v>
      </c>
      <c r="AG36" s="25"/>
      <c r="AH36" s="23" t="s">
        <v>306</v>
      </c>
      <c r="AI36" s="25" t="s">
        <v>307</v>
      </c>
      <c r="AJ36" s="25">
        <v>1</v>
      </c>
      <c r="AK36" s="25" t="s">
        <v>274</v>
      </c>
      <c r="AL36" s="25" t="s">
        <v>275</v>
      </c>
      <c r="AM36" s="33" t="s">
        <v>276</v>
      </c>
      <c r="AN36" s="12"/>
      <c r="AO36" s="29" t="s">
        <v>112</v>
      </c>
      <c r="AP36" s="29" t="s">
        <v>112</v>
      </c>
      <c r="AQ36" s="12"/>
      <c r="AR36" s="29"/>
      <c r="AS36" s="25"/>
      <c r="AT36" s="25"/>
      <c r="AU36" s="29"/>
      <c r="AV36" s="12"/>
      <c r="AW36" s="25"/>
      <c r="AX36" s="25"/>
      <c r="AY36" s="25"/>
      <c r="AZ36" s="25"/>
      <c r="BA36" s="12"/>
      <c r="BB36" s="25"/>
      <c r="BC36" s="25"/>
      <c r="BD36" s="25"/>
      <c r="BE36" s="25"/>
      <c r="BF36" s="12"/>
      <c r="BG36" s="25" t="s">
        <v>334</v>
      </c>
      <c r="BH36" s="25" t="s">
        <v>335</v>
      </c>
      <c r="BI36" s="29" t="s">
        <v>336</v>
      </c>
      <c r="BJ36" s="29">
        <v>1967066</v>
      </c>
      <c r="BK36" s="12"/>
      <c r="BL36" s="23" t="s">
        <v>116</v>
      </c>
      <c r="BM36" s="23" t="s">
        <v>117</v>
      </c>
      <c r="BN36" s="23" t="s">
        <v>118</v>
      </c>
      <c r="BO36" s="23" t="s">
        <v>119</v>
      </c>
      <c r="BP36" s="12"/>
      <c r="BQ36" s="23" t="s">
        <v>120</v>
      </c>
      <c r="BR36" s="23" t="s">
        <v>121</v>
      </c>
      <c r="BS36" s="23" t="s">
        <v>122</v>
      </c>
      <c r="BT36" s="23" t="s">
        <v>123</v>
      </c>
      <c r="BU36" s="12"/>
      <c r="BV36" s="29" t="s">
        <v>334</v>
      </c>
      <c r="BW36" s="25" t="s">
        <v>124</v>
      </c>
      <c r="BX36" s="29" t="s">
        <v>336</v>
      </c>
      <c r="BY36" s="29"/>
      <c r="BZ36" s="25" t="s">
        <v>165</v>
      </c>
      <c r="CA36" s="12"/>
      <c r="CB36" s="23" t="s">
        <v>126</v>
      </c>
      <c r="CC36" s="23" t="s">
        <v>127</v>
      </c>
      <c r="CD36" s="23" t="s">
        <v>128</v>
      </c>
      <c r="CE36" s="23" t="s">
        <v>129</v>
      </c>
      <c r="CF36" s="12"/>
      <c r="CG36" s="29" t="s">
        <v>337</v>
      </c>
      <c r="CH36" s="29" t="s">
        <v>338</v>
      </c>
      <c r="CI36" s="29" t="s">
        <v>339</v>
      </c>
      <c r="CJ36" s="29"/>
      <c r="CK36" s="25" t="s">
        <v>191</v>
      </c>
      <c r="CL36" s="29" t="s">
        <v>132</v>
      </c>
      <c r="CM36" s="12"/>
      <c r="CN36" s="23" t="s">
        <v>133</v>
      </c>
      <c r="CO36" s="23" t="s">
        <v>134</v>
      </c>
      <c r="CP36" s="23" t="s">
        <v>135</v>
      </c>
      <c r="CQ36" s="23" t="s">
        <v>136</v>
      </c>
    </row>
    <row r="37" spans="1:95" ht="14.5">
      <c r="A37" s="27" t="s">
        <v>310</v>
      </c>
      <c r="B37" s="27">
        <v>54850098200267</v>
      </c>
      <c r="C37" s="27" t="s">
        <v>311</v>
      </c>
      <c r="D37" s="27"/>
      <c r="E37" s="27" t="s">
        <v>2396</v>
      </c>
      <c r="F37" s="22" t="s">
        <v>341</v>
      </c>
      <c r="G37" s="26"/>
      <c r="H37" s="22" t="str">
        <f t="array" ref="H37">IFERROR(INDEX(dénomination_ced!$C$2:$C$1102, MATCH(F37, dénomination_ced!$C$1:$C$1102, 0)), "Non classifié")</f>
        <v>Non classifié</v>
      </c>
      <c r="I37" s="25" t="s">
        <v>2423</v>
      </c>
      <c r="J37" s="23" t="s">
        <v>342</v>
      </c>
      <c r="K37" s="13"/>
      <c r="L37" s="26" t="s">
        <v>112</v>
      </c>
      <c r="M37" s="26" t="s">
        <v>112</v>
      </c>
      <c r="N37" s="26" t="s">
        <v>112</v>
      </c>
      <c r="O37" s="26" t="s">
        <v>112</v>
      </c>
      <c r="P37" s="26" t="s">
        <v>112</v>
      </c>
      <c r="Q37" s="13"/>
      <c r="R37" s="12" t="s">
        <v>200</v>
      </c>
      <c r="S37" s="13"/>
      <c r="T37" s="13" t="s">
        <v>2436</v>
      </c>
      <c r="U37" s="23" t="s">
        <v>11</v>
      </c>
      <c r="V37" s="23" t="s">
        <v>12</v>
      </c>
      <c r="W37" s="23" t="s">
        <v>103</v>
      </c>
      <c r="X37" s="23" t="s">
        <v>13</v>
      </c>
      <c r="Y37" s="13"/>
      <c r="Z37" s="23" t="s">
        <v>104</v>
      </c>
      <c r="AA37" s="23" t="s">
        <v>105</v>
      </c>
      <c r="AB37" s="23" t="s">
        <v>106</v>
      </c>
      <c r="AC37" s="23" t="s">
        <v>107</v>
      </c>
      <c r="AD37" s="13"/>
      <c r="AE37" s="23" t="s">
        <v>305</v>
      </c>
      <c r="AF37" s="23" t="s">
        <v>268</v>
      </c>
      <c r="AG37" s="23"/>
      <c r="AH37" s="23" t="s">
        <v>306</v>
      </c>
      <c r="AI37" s="25" t="s">
        <v>307</v>
      </c>
      <c r="AJ37" s="25">
        <v>1</v>
      </c>
      <c r="AK37" s="25" t="s">
        <v>274</v>
      </c>
      <c r="AL37" s="25" t="s">
        <v>275</v>
      </c>
      <c r="AM37" s="33" t="s">
        <v>276</v>
      </c>
      <c r="AN37" s="13"/>
      <c r="AO37" s="26" t="s">
        <v>112</v>
      </c>
      <c r="AP37" s="26" t="s">
        <v>112</v>
      </c>
      <c r="AQ37" s="13"/>
      <c r="AR37" s="26"/>
      <c r="AS37" s="26"/>
      <c r="AT37" s="26"/>
      <c r="AU37" s="26"/>
      <c r="AV37" s="13"/>
      <c r="AW37" s="23"/>
      <c r="AX37" s="23"/>
      <c r="AY37" s="23"/>
      <c r="AZ37" s="23"/>
      <c r="BA37" s="13"/>
      <c r="BB37" s="23"/>
      <c r="BC37" s="23"/>
      <c r="BD37" s="23"/>
      <c r="BE37" s="23"/>
      <c r="BF37" s="13"/>
      <c r="BG37" s="26" t="s">
        <v>317</v>
      </c>
      <c r="BH37" s="23" t="s">
        <v>318</v>
      </c>
      <c r="BI37" s="26" t="s">
        <v>319</v>
      </c>
      <c r="BJ37" s="23" t="s">
        <v>320</v>
      </c>
      <c r="BK37" s="13"/>
      <c r="BL37" s="23" t="s">
        <v>116</v>
      </c>
      <c r="BM37" s="23" t="s">
        <v>117</v>
      </c>
      <c r="BN37" s="23" t="s">
        <v>118</v>
      </c>
      <c r="BO37" s="23" t="s">
        <v>119</v>
      </c>
      <c r="BP37" s="13"/>
      <c r="BQ37" s="23" t="s">
        <v>120</v>
      </c>
      <c r="BR37" s="23" t="s">
        <v>121</v>
      </c>
      <c r="BS37" s="23" t="s">
        <v>122</v>
      </c>
      <c r="BT37" s="23" t="s">
        <v>123</v>
      </c>
      <c r="BU37" s="13"/>
      <c r="BV37" s="26" t="s">
        <v>321</v>
      </c>
      <c r="BW37" s="26" t="s">
        <v>124</v>
      </c>
      <c r="BX37" s="26" t="s">
        <v>322</v>
      </c>
      <c r="BY37" s="26"/>
      <c r="BZ37" s="26" t="s">
        <v>165</v>
      </c>
      <c r="CA37" s="13"/>
      <c r="CB37" s="23" t="s">
        <v>126</v>
      </c>
      <c r="CC37" s="23" t="s">
        <v>127</v>
      </c>
      <c r="CD37" s="23" t="s">
        <v>128</v>
      </c>
      <c r="CE37" s="23" t="s">
        <v>129</v>
      </c>
      <c r="CF37" s="13"/>
      <c r="CG37" s="26" t="s">
        <v>321</v>
      </c>
      <c r="CH37" s="26" t="s">
        <v>323</v>
      </c>
      <c r="CI37" s="26" t="s">
        <v>322</v>
      </c>
      <c r="CJ37" s="26"/>
      <c r="CK37" s="26" t="s">
        <v>131</v>
      </c>
      <c r="CL37" s="26" t="s">
        <v>132</v>
      </c>
      <c r="CM37" s="13"/>
      <c r="CN37" s="23" t="s">
        <v>133</v>
      </c>
      <c r="CO37" s="23" t="s">
        <v>134</v>
      </c>
      <c r="CP37" s="23" t="s">
        <v>135</v>
      </c>
      <c r="CQ37" s="23" t="s">
        <v>136</v>
      </c>
    </row>
    <row r="38" spans="1:95" ht="14.5">
      <c r="A38" s="22" t="s">
        <v>310</v>
      </c>
      <c r="B38" s="22">
        <v>54850098200267</v>
      </c>
      <c r="C38" s="22" t="s">
        <v>311</v>
      </c>
      <c r="D38" s="22"/>
      <c r="E38" s="22" t="s">
        <v>2396</v>
      </c>
      <c r="F38" s="28" t="s">
        <v>344</v>
      </c>
      <c r="G38" s="29"/>
      <c r="H38" s="22" t="str">
        <f t="array" ref="H38">IFERROR(INDEX(dénomination_ced!$C$2:$C$1102, MATCH(F38, dénomination_ced!$C$1:$C$1102, 0)), "Non classifié")</f>
        <v>Non classifié</v>
      </c>
      <c r="I38" s="25" t="s">
        <v>2423</v>
      </c>
      <c r="J38" s="23" t="s">
        <v>345</v>
      </c>
      <c r="K38" s="12"/>
      <c r="L38" s="29" t="s">
        <v>112</v>
      </c>
      <c r="M38" s="29" t="s">
        <v>112</v>
      </c>
      <c r="N38" s="29" t="s">
        <v>112</v>
      </c>
      <c r="O38" s="29" t="s">
        <v>112</v>
      </c>
      <c r="P38" s="29" t="s">
        <v>112</v>
      </c>
      <c r="Q38" s="12"/>
      <c r="R38" s="12" t="s">
        <v>200</v>
      </c>
      <c r="S38" s="12"/>
      <c r="T38" s="13" t="s">
        <v>2436</v>
      </c>
      <c r="U38" s="25" t="s">
        <v>11</v>
      </c>
      <c r="V38" s="25" t="s">
        <v>12</v>
      </c>
      <c r="W38" s="23" t="s">
        <v>103</v>
      </c>
      <c r="X38" s="25" t="s">
        <v>13</v>
      </c>
      <c r="Y38" s="12"/>
      <c r="Z38" s="23" t="s">
        <v>104</v>
      </c>
      <c r="AA38" s="23" t="s">
        <v>105</v>
      </c>
      <c r="AB38" s="23" t="s">
        <v>106</v>
      </c>
      <c r="AC38" s="23" t="s">
        <v>107</v>
      </c>
      <c r="AD38" s="12"/>
      <c r="AE38" s="23" t="s">
        <v>305</v>
      </c>
      <c r="AF38" s="23" t="s">
        <v>268</v>
      </c>
      <c r="AG38" s="25"/>
      <c r="AH38" s="23" t="s">
        <v>306</v>
      </c>
      <c r="AI38" s="25" t="s">
        <v>307</v>
      </c>
      <c r="AJ38" s="25">
        <v>1</v>
      </c>
      <c r="AK38" s="23" t="s">
        <v>111</v>
      </c>
      <c r="AL38" s="25"/>
      <c r="AM38" s="12"/>
      <c r="AN38" s="12"/>
      <c r="AO38" s="29" t="s">
        <v>112</v>
      </c>
      <c r="AP38" s="29" t="s">
        <v>112</v>
      </c>
      <c r="AQ38" s="12"/>
      <c r="AR38" s="29"/>
      <c r="AS38" s="25"/>
      <c r="AT38" s="25"/>
      <c r="AU38" s="29"/>
      <c r="AV38" s="12"/>
      <c r="AW38" s="25"/>
      <c r="AX38" s="25"/>
      <c r="AY38" s="25"/>
      <c r="AZ38" s="25"/>
      <c r="BA38" s="12"/>
      <c r="BB38" s="25"/>
      <c r="BC38" s="25"/>
      <c r="BD38" s="25"/>
      <c r="BE38" s="25"/>
      <c r="BF38" s="12"/>
      <c r="BG38" s="25" t="s">
        <v>334</v>
      </c>
      <c r="BH38" s="25" t="s">
        <v>335</v>
      </c>
      <c r="BI38" s="29" t="s">
        <v>336</v>
      </c>
      <c r="BJ38" s="29">
        <v>1967066</v>
      </c>
      <c r="BK38" s="12"/>
      <c r="BL38" s="23" t="s">
        <v>116</v>
      </c>
      <c r="BM38" s="23" t="s">
        <v>117</v>
      </c>
      <c r="BN38" s="23" t="s">
        <v>118</v>
      </c>
      <c r="BO38" s="23" t="s">
        <v>119</v>
      </c>
      <c r="BP38" s="12"/>
      <c r="BQ38" s="23" t="s">
        <v>120</v>
      </c>
      <c r="BR38" s="23" t="s">
        <v>121</v>
      </c>
      <c r="BS38" s="23" t="s">
        <v>122</v>
      </c>
      <c r="BT38" s="23" t="s">
        <v>123</v>
      </c>
      <c r="BU38" s="12"/>
      <c r="BV38" s="29" t="s">
        <v>334</v>
      </c>
      <c r="BW38" s="25" t="s">
        <v>124</v>
      </c>
      <c r="BX38" s="29" t="s">
        <v>336</v>
      </c>
      <c r="BY38" s="29"/>
      <c r="BZ38" s="25" t="s">
        <v>165</v>
      </c>
      <c r="CA38" s="12"/>
      <c r="CB38" s="23" t="s">
        <v>126</v>
      </c>
      <c r="CC38" s="23" t="s">
        <v>127</v>
      </c>
      <c r="CD38" s="23" t="s">
        <v>128</v>
      </c>
      <c r="CE38" s="23" t="s">
        <v>129</v>
      </c>
      <c r="CF38" s="12"/>
      <c r="CG38" s="29" t="s">
        <v>337</v>
      </c>
      <c r="CH38" s="29" t="s">
        <v>338</v>
      </c>
      <c r="CI38" s="29" t="s">
        <v>339</v>
      </c>
      <c r="CJ38" s="29"/>
      <c r="CK38" s="25" t="s">
        <v>131</v>
      </c>
      <c r="CL38" s="29" t="s">
        <v>132</v>
      </c>
      <c r="CM38" s="12"/>
      <c r="CN38" s="23" t="s">
        <v>133</v>
      </c>
      <c r="CO38" s="23" t="s">
        <v>134</v>
      </c>
      <c r="CP38" s="23" t="s">
        <v>135</v>
      </c>
      <c r="CQ38" s="23" t="s">
        <v>136</v>
      </c>
    </row>
    <row r="39" spans="1:95" ht="14.5">
      <c r="A39" s="27" t="s">
        <v>310</v>
      </c>
      <c r="B39" s="27">
        <v>54850098200267</v>
      </c>
      <c r="C39" s="27" t="s">
        <v>311</v>
      </c>
      <c r="D39" s="27"/>
      <c r="E39" s="27" t="s">
        <v>2391</v>
      </c>
      <c r="F39" s="35">
        <v>36375</v>
      </c>
      <c r="G39" s="26"/>
      <c r="H39" s="22" t="str">
        <f t="array" ref="H39">IFERROR(INDEX(dénomination_ced!$C$2:$C$1102, MATCH(F39, dénomination_ced!$C$1:$C$1102, 0)), "Non classifié")</f>
        <v>Non classifié</v>
      </c>
      <c r="I39" s="25" t="s">
        <v>2423</v>
      </c>
      <c r="J39" s="23" t="s">
        <v>347</v>
      </c>
      <c r="K39" s="13"/>
      <c r="L39" s="26" t="s">
        <v>112</v>
      </c>
      <c r="M39" s="26" t="s">
        <v>112</v>
      </c>
      <c r="N39" s="26" t="s">
        <v>112</v>
      </c>
      <c r="O39" s="26" t="s">
        <v>112</v>
      </c>
      <c r="P39" s="26" t="s">
        <v>112</v>
      </c>
      <c r="Q39" s="13"/>
      <c r="R39" s="12" t="s">
        <v>200</v>
      </c>
      <c r="S39" s="13"/>
      <c r="T39" s="13" t="s">
        <v>2436</v>
      </c>
      <c r="U39" s="23" t="s">
        <v>11</v>
      </c>
      <c r="V39" s="23" t="s">
        <v>12</v>
      </c>
      <c r="W39" s="23" t="s">
        <v>103</v>
      </c>
      <c r="X39" s="23" t="s">
        <v>13</v>
      </c>
      <c r="Y39" s="13"/>
      <c r="Z39" s="23" t="s">
        <v>104</v>
      </c>
      <c r="AA39" s="23" t="s">
        <v>105</v>
      </c>
      <c r="AB39" s="23" t="s">
        <v>106</v>
      </c>
      <c r="AC39" s="23" t="s">
        <v>107</v>
      </c>
      <c r="AD39" s="13"/>
      <c r="AE39" s="23" t="s">
        <v>305</v>
      </c>
      <c r="AF39" s="23" t="s">
        <v>268</v>
      </c>
      <c r="AG39" s="23"/>
      <c r="AH39" s="23" t="s">
        <v>306</v>
      </c>
      <c r="AI39" s="25" t="s">
        <v>307</v>
      </c>
      <c r="AJ39" s="25">
        <v>1</v>
      </c>
      <c r="AK39" s="23" t="s">
        <v>111</v>
      </c>
      <c r="AL39" s="23"/>
      <c r="AM39" s="13"/>
      <c r="AN39" s="13"/>
      <c r="AO39" s="26" t="s">
        <v>112</v>
      </c>
      <c r="AP39" s="26" t="s">
        <v>112</v>
      </c>
      <c r="AQ39" s="13"/>
      <c r="AR39" s="26"/>
      <c r="AS39" s="23"/>
      <c r="AT39" s="23"/>
      <c r="AU39" s="26"/>
      <c r="AV39" s="13"/>
      <c r="AW39" s="23"/>
      <c r="AX39" s="23"/>
      <c r="AY39" s="23"/>
      <c r="AZ39" s="23"/>
      <c r="BA39" s="13"/>
      <c r="BB39" s="23"/>
      <c r="BC39" s="23"/>
      <c r="BD39" s="23"/>
      <c r="BE39" s="23"/>
      <c r="BF39" s="13"/>
      <c r="BG39" s="23" t="s">
        <v>348</v>
      </c>
      <c r="BH39" s="26" t="s">
        <v>349</v>
      </c>
      <c r="BI39" s="23" t="s">
        <v>350</v>
      </c>
      <c r="BJ39" s="23" t="s">
        <v>351</v>
      </c>
      <c r="BK39" s="13"/>
      <c r="BL39" s="23" t="s">
        <v>116</v>
      </c>
      <c r="BM39" s="23" t="s">
        <v>117</v>
      </c>
      <c r="BN39" s="23" t="s">
        <v>118</v>
      </c>
      <c r="BO39" s="23" t="s">
        <v>119</v>
      </c>
      <c r="BP39" s="13"/>
      <c r="BQ39" s="23" t="s">
        <v>120</v>
      </c>
      <c r="BR39" s="23" t="s">
        <v>121</v>
      </c>
      <c r="BS39" s="23" t="s">
        <v>122</v>
      </c>
      <c r="BT39" s="23" t="s">
        <v>123</v>
      </c>
      <c r="BU39" s="13"/>
      <c r="BV39" s="26" t="s">
        <v>348</v>
      </c>
      <c r="BW39" s="26" t="s">
        <v>124</v>
      </c>
      <c r="BX39" s="26" t="s">
        <v>352</v>
      </c>
      <c r="BY39" s="26"/>
      <c r="BZ39" s="26" t="s">
        <v>165</v>
      </c>
      <c r="CA39" s="13"/>
      <c r="CB39" s="23" t="s">
        <v>126</v>
      </c>
      <c r="CC39" s="23" t="s">
        <v>127</v>
      </c>
      <c r="CD39" s="23" t="s">
        <v>128</v>
      </c>
      <c r="CE39" s="23" t="s">
        <v>129</v>
      </c>
      <c r="CF39" s="13"/>
      <c r="CG39" s="26" t="s">
        <v>353</v>
      </c>
      <c r="CH39" s="26" t="s">
        <v>354</v>
      </c>
      <c r="CI39" s="26" t="s">
        <v>355</v>
      </c>
      <c r="CJ39" s="26"/>
      <c r="CK39" s="26" t="s">
        <v>356</v>
      </c>
      <c r="CL39" s="26" t="s">
        <v>132</v>
      </c>
      <c r="CM39" s="13"/>
      <c r="CN39" s="23" t="s">
        <v>133</v>
      </c>
      <c r="CO39" s="23" t="s">
        <v>134</v>
      </c>
      <c r="CP39" s="23" t="s">
        <v>135</v>
      </c>
      <c r="CQ39" s="23" t="s">
        <v>136</v>
      </c>
    </row>
    <row r="40" spans="1:95" ht="14.5">
      <c r="A40" s="22" t="s">
        <v>310</v>
      </c>
      <c r="B40" s="22">
        <v>54850098200267</v>
      </c>
      <c r="C40" s="22" t="s">
        <v>311</v>
      </c>
      <c r="D40" s="22"/>
      <c r="E40" s="145" t="s">
        <v>2394</v>
      </c>
      <c r="F40" s="34">
        <v>39733</v>
      </c>
      <c r="G40" s="29"/>
      <c r="H40" s="22" t="str">
        <f t="array" ref="H40">IFERROR(INDEX(dénomination_ced!$C$2:$C$1102, MATCH(F40, dénomination_ced!$C$1:$C$1102, 0)), "Non classifié")</f>
        <v>Non classifié</v>
      </c>
      <c r="I40" s="25" t="s">
        <v>2423</v>
      </c>
      <c r="J40" s="23" t="s">
        <v>358</v>
      </c>
      <c r="K40" s="12"/>
      <c r="L40" s="29" t="s">
        <v>112</v>
      </c>
      <c r="M40" s="29" t="s">
        <v>112</v>
      </c>
      <c r="N40" s="29" t="s">
        <v>112</v>
      </c>
      <c r="O40" s="29" t="s">
        <v>112</v>
      </c>
      <c r="P40" s="29" t="s">
        <v>112</v>
      </c>
      <c r="Q40" s="12"/>
      <c r="R40" s="12" t="s">
        <v>200</v>
      </c>
      <c r="S40" s="12"/>
      <c r="T40" s="13" t="s">
        <v>2436</v>
      </c>
      <c r="U40" s="25" t="s">
        <v>11</v>
      </c>
      <c r="V40" s="25" t="s">
        <v>12</v>
      </c>
      <c r="W40" s="23" t="s">
        <v>103</v>
      </c>
      <c r="X40" s="25" t="s">
        <v>13</v>
      </c>
      <c r="Y40" s="12"/>
      <c r="Z40" s="23" t="s">
        <v>104</v>
      </c>
      <c r="AA40" s="23" t="s">
        <v>105</v>
      </c>
      <c r="AB40" s="23" t="s">
        <v>106</v>
      </c>
      <c r="AC40" s="23" t="s">
        <v>107</v>
      </c>
      <c r="AD40" s="12"/>
      <c r="AE40" s="23" t="s">
        <v>305</v>
      </c>
      <c r="AF40" s="23" t="s">
        <v>268</v>
      </c>
      <c r="AG40" s="25"/>
      <c r="AH40" s="23" t="s">
        <v>306</v>
      </c>
      <c r="AI40" s="25" t="s">
        <v>307</v>
      </c>
      <c r="AJ40" s="25">
        <v>1</v>
      </c>
      <c r="AK40" s="23" t="s">
        <v>111</v>
      </c>
      <c r="AL40" s="25"/>
      <c r="AM40" s="12"/>
      <c r="AN40" s="12"/>
      <c r="AO40" s="29" t="s">
        <v>112</v>
      </c>
      <c r="AP40" s="29" t="s">
        <v>112</v>
      </c>
      <c r="AQ40" s="12"/>
      <c r="AR40" s="29"/>
      <c r="AS40" s="29"/>
      <c r="AT40" s="29"/>
      <c r="AU40" s="29"/>
      <c r="AV40" s="12"/>
      <c r="AW40" s="25"/>
      <c r="AX40" s="25"/>
      <c r="AY40" s="25"/>
      <c r="AZ40" s="25"/>
      <c r="BA40" s="12"/>
      <c r="BB40" s="25"/>
      <c r="BC40" s="25"/>
      <c r="BD40" s="25"/>
      <c r="BE40" s="25"/>
      <c r="BF40" s="12"/>
      <c r="BG40" s="29" t="s">
        <v>359</v>
      </c>
      <c r="BH40" s="25"/>
      <c r="BI40" s="29" t="s">
        <v>360</v>
      </c>
      <c r="BJ40" s="29" t="s">
        <v>179</v>
      </c>
      <c r="BK40" s="12"/>
      <c r="BL40" s="23" t="s">
        <v>116</v>
      </c>
      <c r="BM40" s="23" t="s">
        <v>117</v>
      </c>
      <c r="BN40" s="23" t="s">
        <v>118</v>
      </c>
      <c r="BO40" s="23" t="s">
        <v>119</v>
      </c>
      <c r="BP40" s="12"/>
      <c r="BQ40" s="23" t="s">
        <v>120</v>
      </c>
      <c r="BR40" s="23" t="s">
        <v>121</v>
      </c>
      <c r="BS40" s="23" t="s">
        <v>122</v>
      </c>
      <c r="BT40" s="23" t="s">
        <v>123</v>
      </c>
      <c r="BU40" s="12"/>
      <c r="BV40" s="25"/>
      <c r="BW40" s="25"/>
      <c r="BX40" s="29"/>
      <c r="BY40" s="29"/>
      <c r="BZ40" s="25"/>
      <c r="CA40" s="12"/>
      <c r="CB40" s="25"/>
      <c r="CC40" s="25"/>
      <c r="CD40" s="25"/>
      <c r="CE40" s="25"/>
      <c r="CF40" s="12"/>
      <c r="CG40" s="25" t="s">
        <v>361</v>
      </c>
      <c r="CH40" s="25" t="s">
        <v>362</v>
      </c>
      <c r="CI40" s="29" t="s">
        <v>363</v>
      </c>
      <c r="CJ40" s="29"/>
      <c r="CK40" s="25" t="s">
        <v>146</v>
      </c>
      <c r="CL40" s="29" t="s">
        <v>132</v>
      </c>
      <c r="CM40" s="12"/>
      <c r="CN40" s="23" t="s">
        <v>133</v>
      </c>
      <c r="CO40" s="23" t="s">
        <v>134</v>
      </c>
      <c r="CP40" s="23" t="s">
        <v>135</v>
      </c>
      <c r="CQ40" s="23" t="s">
        <v>136</v>
      </c>
    </row>
    <row r="41" spans="1:95" ht="14.5">
      <c r="A41" s="27" t="s">
        <v>310</v>
      </c>
      <c r="B41" s="27">
        <v>54850098200267</v>
      </c>
      <c r="C41" s="27" t="s">
        <v>311</v>
      </c>
      <c r="D41" s="27"/>
      <c r="E41" s="144" t="s">
        <v>2394</v>
      </c>
      <c r="F41" s="34">
        <v>39733</v>
      </c>
      <c r="G41" s="29"/>
      <c r="H41" s="22" t="str">
        <f t="array" ref="H41">IFERROR(INDEX(dénomination_ced!$C$2:$C$1102, MATCH(F41, dénomination_ced!$C$1:$C$1102, 0)), "Non classifié")</f>
        <v>Non classifié</v>
      </c>
      <c r="I41" s="25" t="s">
        <v>2423</v>
      </c>
      <c r="J41" s="23" t="s">
        <v>364</v>
      </c>
      <c r="K41" s="12"/>
      <c r="L41" s="29" t="s">
        <v>112</v>
      </c>
      <c r="M41" s="29" t="s">
        <v>112</v>
      </c>
      <c r="N41" s="29" t="s">
        <v>112</v>
      </c>
      <c r="O41" s="29" t="s">
        <v>112</v>
      </c>
      <c r="P41" s="29" t="s">
        <v>112</v>
      </c>
      <c r="Q41" s="12"/>
      <c r="R41" s="12"/>
      <c r="S41" s="12"/>
      <c r="T41" s="13" t="s">
        <v>2436</v>
      </c>
      <c r="U41" s="25" t="s">
        <v>11</v>
      </c>
      <c r="V41" s="25" t="s">
        <v>12</v>
      </c>
      <c r="W41" s="23" t="s">
        <v>103</v>
      </c>
      <c r="X41" s="25" t="s">
        <v>13</v>
      </c>
      <c r="Y41" s="12"/>
      <c r="Z41" s="23" t="s">
        <v>104</v>
      </c>
      <c r="AA41" s="23" t="s">
        <v>105</v>
      </c>
      <c r="AB41" s="23" t="s">
        <v>106</v>
      </c>
      <c r="AC41" s="23" t="s">
        <v>107</v>
      </c>
      <c r="AD41" s="12"/>
      <c r="AE41" s="25" t="s">
        <v>108</v>
      </c>
      <c r="AF41" s="23" t="s">
        <v>108</v>
      </c>
      <c r="AG41" s="25"/>
      <c r="AH41" s="23" t="s">
        <v>109</v>
      </c>
      <c r="AI41" s="23" t="s">
        <v>110</v>
      </c>
      <c r="AJ41" s="25">
        <v>1</v>
      </c>
      <c r="AK41" s="23" t="s">
        <v>111</v>
      </c>
      <c r="AL41" s="25"/>
      <c r="AM41" s="12"/>
      <c r="AN41" s="12"/>
      <c r="AO41" s="29" t="s">
        <v>112</v>
      </c>
      <c r="AP41" s="29" t="s">
        <v>112</v>
      </c>
      <c r="AQ41" s="12"/>
      <c r="AR41" s="29"/>
      <c r="AS41" s="29"/>
      <c r="AT41" s="29"/>
      <c r="AU41" s="29"/>
      <c r="AV41" s="12"/>
      <c r="AW41" s="25"/>
      <c r="AX41" s="25"/>
      <c r="AY41" s="25"/>
      <c r="AZ41" s="25"/>
      <c r="BA41" s="12"/>
      <c r="BB41" s="25"/>
      <c r="BC41" s="25"/>
      <c r="BD41" s="25"/>
      <c r="BE41" s="25"/>
      <c r="BF41" s="12"/>
      <c r="BG41" s="29" t="s">
        <v>365</v>
      </c>
      <c r="BH41" s="25" t="s">
        <v>366</v>
      </c>
      <c r="BI41" s="29" t="s">
        <v>367</v>
      </c>
      <c r="BJ41" s="29" t="s">
        <v>179</v>
      </c>
      <c r="BK41" s="12"/>
      <c r="BL41" s="23" t="s">
        <v>116</v>
      </c>
      <c r="BM41" s="23" t="s">
        <v>117</v>
      </c>
      <c r="BN41" s="23" t="s">
        <v>118</v>
      </c>
      <c r="BO41" s="23" t="s">
        <v>119</v>
      </c>
      <c r="BP41" s="12"/>
      <c r="BQ41" s="23" t="s">
        <v>120</v>
      </c>
      <c r="BR41" s="23" t="s">
        <v>121</v>
      </c>
      <c r="BS41" s="23" t="s">
        <v>122</v>
      </c>
      <c r="BT41" s="23" t="s">
        <v>123</v>
      </c>
      <c r="BU41" s="12"/>
      <c r="BV41" s="29"/>
      <c r="BW41" s="25"/>
      <c r="BX41" s="29"/>
      <c r="BY41" s="29"/>
      <c r="BZ41" s="25"/>
      <c r="CA41" s="12"/>
      <c r="CB41" s="25"/>
      <c r="CC41" s="25"/>
      <c r="CD41" s="25"/>
      <c r="CE41" s="25"/>
      <c r="CF41" s="12"/>
      <c r="CG41" s="29" t="s">
        <v>368</v>
      </c>
      <c r="CH41" s="25"/>
      <c r="CI41" s="29" t="s">
        <v>369</v>
      </c>
      <c r="CJ41" s="29"/>
      <c r="CK41" s="25" t="s">
        <v>146</v>
      </c>
      <c r="CL41" s="29" t="s">
        <v>132</v>
      </c>
      <c r="CM41" s="12"/>
      <c r="CN41" s="23" t="s">
        <v>133</v>
      </c>
      <c r="CO41" s="23" t="s">
        <v>134</v>
      </c>
      <c r="CP41" s="23" t="s">
        <v>135</v>
      </c>
      <c r="CQ41" s="23" t="s">
        <v>136</v>
      </c>
    </row>
    <row r="42" spans="1:95" ht="14.5">
      <c r="A42" s="22" t="s">
        <v>310</v>
      </c>
      <c r="B42" s="22">
        <v>54850098200267</v>
      </c>
      <c r="C42" s="22" t="s">
        <v>311</v>
      </c>
      <c r="D42" s="22"/>
      <c r="E42" s="145" t="s">
        <v>2394</v>
      </c>
      <c r="F42" s="34">
        <v>39733</v>
      </c>
      <c r="G42" s="29"/>
      <c r="H42" s="22" t="s">
        <v>56</v>
      </c>
      <c r="I42" s="25" t="s">
        <v>2423</v>
      </c>
      <c r="J42" s="23" t="s">
        <v>370</v>
      </c>
      <c r="K42" s="12"/>
      <c r="L42" s="29" t="s">
        <v>112</v>
      </c>
      <c r="M42" s="29" t="s">
        <v>112</v>
      </c>
      <c r="N42" s="29" t="s">
        <v>112</v>
      </c>
      <c r="O42" s="29" t="s">
        <v>112</v>
      </c>
      <c r="P42" s="29" t="s">
        <v>112</v>
      </c>
      <c r="Q42" s="12"/>
      <c r="R42" s="12"/>
      <c r="S42" s="12"/>
      <c r="T42" s="13" t="s">
        <v>2436</v>
      </c>
      <c r="U42" s="25" t="s">
        <v>11</v>
      </c>
      <c r="V42" s="25" t="s">
        <v>12</v>
      </c>
      <c r="W42" s="23" t="s">
        <v>103</v>
      </c>
      <c r="X42" s="25" t="s">
        <v>13</v>
      </c>
      <c r="Y42" s="12"/>
      <c r="Z42" s="23" t="s">
        <v>104</v>
      </c>
      <c r="AA42" s="23" t="s">
        <v>105</v>
      </c>
      <c r="AB42" s="23" t="s">
        <v>106</v>
      </c>
      <c r="AC42" s="23" t="s">
        <v>107</v>
      </c>
      <c r="AD42" s="12"/>
      <c r="AE42" s="25" t="s">
        <v>108</v>
      </c>
      <c r="AF42" s="23" t="s">
        <v>108</v>
      </c>
      <c r="AG42" s="25"/>
      <c r="AH42" s="23" t="s">
        <v>109</v>
      </c>
      <c r="AI42" s="23" t="s">
        <v>110</v>
      </c>
      <c r="AJ42" s="25">
        <v>1</v>
      </c>
      <c r="AK42" s="23" t="s">
        <v>111</v>
      </c>
      <c r="AL42" s="25"/>
      <c r="AM42" s="12"/>
      <c r="AN42" s="12"/>
      <c r="AO42" s="29" t="s">
        <v>112</v>
      </c>
      <c r="AP42" s="29" t="s">
        <v>112</v>
      </c>
      <c r="AQ42" s="12"/>
      <c r="AR42" s="29"/>
      <c r="AS42" s="29"/>
      <c r="AT42" s="29"/>
      <c r="AU42" s="29"/>
      <c r="AV42" s="12"/>
      <c r="AW42" s="25"/>
      <c r="AX42" s="25"/>
      <c r="AY42" s="25"/>
      <c r="AZ42" s="25"/>
      <c r="BA42" s="12"/>
      <c r="BB42" s="25"/>
      <c r="BC42" s="25"/>
      <c r="BD42" s="25"/>
      <c r="BE42" s="25"/>
      <c r="BF42" s="12"/>
      <c r="BG42" s="29" t="s">
        <v>365</v>
      </c>
      <c r="BH42" s="25" t="s">
        <v>366</v>
      </c>
      <c r="BI42" s="29" t="s">
        <v>367</v>
      </c>
      <c r="BJ42" s="29" t="s">
        <v>179</v>
      </c>
      <c r="BK42" s="12"/>
      <c r="BL42" s="23" t="s">
        <v>116</v>
      </c>
      <c r="BM42" s="23" t="s">
        <v>117</v>
      </c>
      <c r="BN42" s="23" t="s">
        <v>118</v>
      </c>
      <c r="BO42" s="23" t="s">
        <v>119</v>
      </c>
      <c r="BP42" s="12"/>
      <c r="BQ42" s="23" t="s">
        <v>120</v>
      </c>
      <c r="BR42" s="23" t="s">
        <v>121</v>
      </c>
      <c r="BS42" s="23" t="s">
        <v>122</v>
      </c>
      <c r="BT42" s="23" t="s">
        <v>123</v>
      </c>
      <c r="BU42" s="12"/>
      <c r="BV42" s="29"/>
      <c r="BW42" s="25"/>
      <c r="BX42" s="29"/>
      <c r="BY42" s="29"/>
      <c r="BZ42" s="25"/>
      <c r="CA42" s="12"/>
      <c r="CB42" s="25"/>
      <c r="CC42" s="25"/>
      <c r="CD42" s="25"/>
      <c r="CE42" s="25"/>
      <c r="CF42" s="12"/>
      <c r="CG42" s="29" t="s">
        <v>371</v>
      </c>
      <c r="CH42" s="25"/>
      <c r="CI42" s="29" t="s">
        <v>372</v>
      </c>
      <c r="CJ42" s="29"/>
      <c r="CK42" s="25" t="s">
        <v>146</v>
      </c>
      <c r="CL42" s="29" t="s">
        <v>132</v>
      </c>
      <c r="CM42" s="12"/>
      <c r="CN42" s="23" t="s">
        <v>133</v>
      </c>
      <c r="CO42" s="23" t="s">
        <v>134</v>
      </c>
      <c r="CP42" s="23" t="s">
        <v>135</v>
      </c>
      <c r="CQ42" s="23" t="s">
        <v>136</v>
      </c>
    </row>
    <row r="43" spans="1:95" ht="14.5">
      <c r="A43" s="27" t="s">
        <v>310</v>
      </c>
      <c r="B43" s="27">
        <v>54850098200267</v>
      </c>
      <c r="C43" s="27" t="s">
        <v>311</v>
      </c>
      <c r="D43" s="27"/>
      <c r="E43" s="27" t="s">
        <v>2394</v>
      </c>
      <c r="F43" s="22" t="s">
        <v>374</v>
      </c>
      <c r="G43" s="26"/>
      <c r="H43" s="22" t="s">
        <v>56</v>
      </c>
      <c r="I43" s="25" t="s">
        <v>2423</v>
      </c>
      <c r="J43" s="23" t="s">
        <v>375</v>
      </c>
      <c r="K43" s="13"/>
      <c r="L43" s="23" t="s">
        <v>244</v>
      </c>
      <c r="M43" s="24">
        <v>1776</v>
      </c>
      <c r="N43" s="23" t="s">
        <v>101</v>
      </c>
      <c r="O43" s="23">
        <v>7</v>
      </c>
      <c r="P43" s="23" t="s">
        <v>102</v>
      </c>
      <c r="Q43" s="13"/>
      <c r="R43" s="13"/>
      <c r="S43" s="13"/>
      <c r="T43" s="13" t="s">
        <v>2436</v>
      </c>
      <c r="U43" s="23" t="s">
        <v>11</v>
      </c>
      <c r="V43" s="23" t="s">
        <v>12</v>
      </c>
      <c r="W43" s="23" t="s">
        <v>103</v>
      </c>
      <c r="X43" s="23" t="s">
        <v>13</v>
      </c>
      <c r="Y43" s="13"/>
      <c r="Z43" s="23" t="s">
        <v>104</v>
      </c>
      <c r="AA43" s="23" t="s">
        <v>105</v>
      </c>
      <c r="AB43" s="23" t="s">
        <v>106</v>
      </c>
      <c r="AC43" s="23" t="s">
        <v>107</v>
      </c>
      <c r="AD43" s="13"/>
      <c r="AE43" s="23" t="s">
        <v>201</v>
      </c>
      <c r="AF43" s="25" t="s">
        <v>2437</v>
      </c>
      <c r="AG43" s="23"/>
      <c r="AH43" s="25" t="s">
        <v>202</v>
      </c>
      <c r="AI43" s="25" t="s">
        <v>203</v>
      </c>
      <c r="AJ43" s="23">
        <v>5</v>
      </c>
      <c r="AK43" s="23" t="s">
        <v>111</v>
      </c>
      <c r="AL43" s="23"/>
      <c r="AM43" s="13"/>
      <c r="AN43" s="13"/>
      <c r="AO43" s="26" t="s">
        <v>112</v>
      </c>
      <c r="AP43" s="26" t="s">
        <v>112</v>
      </c>
      <c r="AQ43" s="13"/>
      <c r="AR43" s="26"/>
      <c r="AS43" s="23"/>
      <c r="AT43" s="23"/>
      <c r="AU43" s="26"/>
      <c r="AV43" s="13"/>
      <c r="AW43" s="23"/>
      <c r="AX43" s="23"/>
      <c r="AY43" s="23"/>
      <c r="AZ43" s="23"/>
      <c r="BA43" s="13"/>
      <c r="BB43" s="23"/>
      <c r="BC43" s="23"/>
      <c r="BD43" s="23"/>
      <c r="BE43" s="23"/>
      <c r="BF43" s="13"/>
      <c r="BG43" s="26" t="s">
        <v>376</v>
      </c>
      <c r="BH43" s="23" t="s">
        <v>377</v>
      </c>
      <c r="BI43" s="26" t="s">
        <v>378</v>
      </c>
      <c r="BJ43" s="23" t="s">
        <v>179</v>
      </c>
      <c r="BK43" s="13"/>
      <c r="BL43" s="23" t="s">
        <v>116</v>
      </c>
      <c r="BM43" s="23" t="s">
        <v>117</v>
      </c>
      <c r="BN43" s="23" t="s">
        <v>118</v>
      </c>
      <c r="BO43" s="23" t="s">
        <v>119</v>
      </c>
      <c r="BP43" s="13"/>
      <c r="BQ43" s="23" t="s">
        <v>120</v>
      </c>
      <c r="BR43" s="23" t="s">
        <v>121</v>
      </c>
      <c r="BS43" s="23" t="s">
        <v>122</v>
      </c>
      <c r="BT43" s="23" t="s">
        <v>123</v>
      </c>
      <c r="BU43" s="13"/>
      <c r="BV43" s="26"/>
      <c r="BW43" s="26"/>
      <c r="BX43" s="26"/>
      <c r="BY43" s="26"/>
      <c r="BZ43" s="23"/>
      <c r="CA43" s="13"/>
      <c r="CB43" s="23"/>
      <c r="CC43" s="23"/>
      <c r="CD43" s="23"/>
      <c r="CE43" s="23"/>
      <c r="CF43" s="13"/>
      <c r="CG43" s="26" t="s">
        <v>376</v>
      </c>
      <c r="CH43" s="26" t="s">
        <v>377</v>
      </c>
      <c r="CI43" s="26" t="s">
        <v>378</v>
      </c>
      <c r="CJ43" s="26"/>
      <c r="CK43" s="23" t="s">
        <v>146</v>
      </c>
      <c r="CL43" s="26" t="s">
        <v>132</v>
      </c>
      <c r="CM43" s="13"/>
      <c r="CN43" s="23" t="s">
        <v>133</v>
      </c>
      <c r="CO43" s="23" t="s">
        <v>134</v>
      </c>
      <c r="CP43" s="23" t="s">
        <v>135</v>
      </c>
      <c r="CQ43" s="23" t="s">
        <v>136</v>
      </c>
    </row>
    <row r="44" spans="1:95" ht="14.5">
      <c r="A44" s="22" t="s">
        <v>310</v>
      </c>
      <c r="B44" s="22">
        <v>54850098200267</v>
      </c>
      <c r="C44" s="22" t="s">
        <v>311</v>
      </c>
      <c r="D44" s="22"/>
      <c r="E44" s="145" t="s">
        <v>2391</v>
      </c>
      <c r="F44" s="34">
        <v>40463</v>
      </c>
      <c r="G44" s="25"/>
      <c r="H44" s="22" t="s">
        <v>56</v>
      </c>
      <c r="I44" s="25" t="s">
        <v>2423</v>
      </c>
      <c r="J44" s="23" t="s">
        <v>380</v>
      </c>
      <c r="K44" s="12"/>
      <c r="L44" s="29" t="s">
        <v>112</v>
      </c>
      <c r="M44" s="29" t="s">
        <v>112</v>
      </c>
      <c r="N44" s="29" t="s">
        <v>112</v>
      </c>
      <c r="O44" s="29" t="s">
        <v>112</v>
      </c>
      <c r="P44" s="29" t="s">
        <v>112</v>
      </c>
      <c r="Q44" s="12"/>
      <c r="R44" s="12"/>
      <c r="S44" s="12"/>
      <c r="T44" s="13" t="s">
        <v>2436</v>
      </c>
      <c r="U44" s="25" t="s">
        <v>11</v>
      </c>
      <c r="V44" s="25" t="s">
        <v>12</v>
      </c>
      <c r="W44" s="23" t="s">
        <v>103</v>
      </c>
      <c r="X44" s="25" t="s">
        <v>13</v>
      </c>
      <c r="Y44" s="12"/>
      <c r="Z44" s="23" t="s">
        <v>104</v>
      </c>
      <c r="AA44" s="23" t="s">
        <v>105</v>
      </c>
      <c r="AB44" s="23" t="s">
        <v>106</v>
      </c>
      <c r="AC44" s="23" t="s">
        <v>107</v>
      </c>
      <c r="AD44" s="12"/>
      <c r="AE44" s="23" t="s">
        <v>201</v>
      </c>
      <c r="AF44" s="25" t="s">
        <v>2437</v>
      </c>
      <c r="AG44" s="25"/>
      <c r="AH44" s="25" t="s">
        <v>202</v>
      </c>
      <c r="AI44" s="25" t="s">
        <v>203</v>
      </c>
      <c r="AJ44" s="25">
        <v>5</v>
      </c>
      <c r="AK44" s="23" t="s">
        <v>111</v>
      </c>
      <c r="AL44" s="25"/>
      <c r="AM44" s="12"/>
      <c r="AN44" s="12"/>
      <c r="AO44" s="29" t="s">
        <v>112</v>
      </c>
      <c r="AP44" s="29" t="s">
        <v>112</v>
      </c>
      <c r="AQ44" s="12"/>
      <c r="AR44" s="29" t="s">
        <v>381</v>
      </c>
      <c r="AS44" s="25" t="s">
        <v>382</v>
      </c>
      <c r="AT44" s="25"/>
      <c r="AU44" s="29" t="s">
        <v>383</v>
      </c>
      <c r="AV44" s="12"/>
      <c r="AW44" s="23" t="s">
        <v>384</v>
      </c>
      <c r="AX44" s="23" t="s">
        <v>385</v>
      </c>
      <c r="AY44" s="23" t="s">
        <v>386</v>
      </c>
      <c r="AZ44" s="23" t="s">
        <v>387</v>
      </c>
      <c r="BA44" s="12"/>
      <c r="BB44" s="25" t="s">
        <v>388</v>
      </c>
      <c r="BC44" s="25" t="s">
        <v>389</v>
      </c>
      <c r="BD44" s="25" t="s">
        <v>390</v>
      </c>
      <c r="BE44" s="25" t="s">
        <v>391</v>
      </c>
      <c r="BF44" s="12"/>
      <c r="BG44" s="25" t="s">
        <v>392</v>
      </c>
      <c r="BH44" s="25" t="s">
        <v>393</v>
      </c>
      <c r="BI44" s="25" t="s">
        <v>394</v>
      </c>
      <c r="BJ44" s="25" t="s">
        <v>395</v>
      </c>
      <c r="BK44" s="12"/>
      <c r="BL44" s="23" t="s">
        <v>116</v>
      </c>
      <c r="BM44" s="23" t="s">
        <v>117</v>
      </c>
      <c r="BN44" s="23" t="s">
        <v>118</v>
      </c>
      <c r="BO44" s="23" t="s">
        <v>119</v>
      </c>
      <c r="BP44" s="12"/>
      <c r="BQ44" s="23" t="s">
        <v>120</v>
      </c>
      <c r="BR44" s="23" t="s">
        <v>121</v>
      </c>
      <c r="BS44" s="23" t="s">
        <v>122</v>
      </c>
      <c r="BT44" s="23" t="s">
        <v>123</v>
      </c>
      <c r="BU44" s="12"/>
      <c r="BV44" s="29"/>
      <c r="BW44" s="25"/>
      <c r="BX44" s="29"/>
      <c r="BY44" s="29"/>
      <c r="BZ44" s="29"/>
      <c r="CA44" s="12"/>
      <c r="CB44" s="25"/>
      <c r="CC44" s="25"/>
      <c r="CD44" s="25"/>
      <c r="CE44" s="25"/>
      <c r="CF44" s="12"/>
      <c r="CG44" s="29" t="s">
        <v>396</v>
      </c>
      <c r="CH44" s="25" t="s">
        <v>397</v>
      </c>
      <c r="CI44" s="29" t="s">
        <v>398</v>
      </c>
      <c r="CJ44" s="29"/>
      <c r="CK44" s="29" t="s">
        <v>399</v>
      </c>
      <c r="CL44" s="25" t="s">
        <v>400</v>
      </c>
      <c r="CM44" s="12"/>
      <c r="CN44" s="23" t="s">
        <v>133</v>
      </c>
      <c r="CO44" s="23" t="s">
        <v>134</v>
      </c>
      <c r="CP44" s="23" t="s">
        <v>135</v>
      </c>
      <c r="CQ44" s="23" t="s">
        <v>136</v>
      </c>
    </row>
    <row r="45" spans="1:95" ht="14.5">
      <c r="A45" s="27" t="s">
        <v>310</v>
      </c>
      <c r="B45" s="27">
        <v>54850098200267</v>
      </c>
      <c r="C45" s="27" t="s">
        <v>311</v>
      </c>
      <c r="D45" s="27"/>
      <c r="E45" s="144" t="s">
        <v>2391</v>
      </c>
      <c r="F45" s="34">
        <v>40463</v>
      </c>
      <c r="G45" s="29"/>
      <c r="H45" s="22" t="s">
        <v>56</v>
      </c>
      <c r="I45" s="25" t="s">
        <v>2423</v>
      </c>
      <c r="J45" s="23" t="s">
        <v>401</v>
      </c>
      <c r="K45" s="12"/>
      <c r="L45" s="29" t="s">
        <v>112</v>
      </c>
      <c r="M45" s="29" t="s">
        <v>112</v>
      </c>
      <c r="N45" s="29" t="s">
        <v>112</v>
      </c>
      <c r="O45" s="29" t="s">
        <v>112</v>
      </c>
      <c r="P45" s="29" t="s">
        <v>112</v>
      </c>
      <c r="Q45" s="12"/>
      <c r="R45" s="12"/>
      <c r="S45" s="12"/>
      <c r="T45" s="13" t="s">
        <v>2436</v>
      </c>
      <c r="U45" s="25" t="s">
        <v>11</v>
      </c>
      <c r="V45" s="25" t="s">
        <v>12</v>
      </c>
      <c r="W45" s="23" t="s">
        <v>103</v>
      </c>
      <c r="X45" s="25" t="s">
        <v>13</v>
      </c>
      <c r="Y45" s="12"/>
      <c r="Z45" s="23" t="s">
        <v>104</v>
      </c>
      <c r="AA45" s="23" t="s">
        <v>105</v>
      </c>
      <c r="AB45" s="23" t="s">
        <v>106</v>
      </c>
      <c r="AC45" s="23" t="s">
        <v>107</v>
      </c>
      <c r="AD45" s="12"/>
      <c r="AE45" s="25" t="s">
        <v>108</v>
      </c>
      <c r="AF45" s="23" t="s">
        <v>108</v>
      </c>
      <c r="AG45" s="25"/>
      <c r="AH45" s="23" t="s">
        <v>109</v>
      </c>
      <c r="AI45" s="23" t="s">
        <v>110</v>
      </c>
      <c r="AJ45" s="25">
        <v>1</v>
      </c>
      <c r="AK45" s="23" t="s">
        <v>111</v>
      </c>
      <c r="AL45" s="25"/>
      <c r="AM45" s="12"/>
      <c r="AN45" s="12"/>
      <c r="AO45" s="29" t="s">
        <v>112</v>
      </c>
      <c r="AP45" s="29" t="s">
        <v>112</v>
      </c>
      <c r="AQ45" s="12"/>
      <c r="AR45" s="29" t="s">
        <v>381</v>
      </c>
      <c r="AS45" s="25" t="s">
        <v>382</v>
      </c>
      <c r="AT45" s="25"/>
      <c r="AU45" s="29" t="s">
        <v>383</v>
      </c>
      <c r="AV45" s="12"/>
      <c r="AW45" s="23" t="s">
        <v>384</v>
      </c>
      <c r="AX45" s="23" t="s">
        <v>385</v>
      </c>
      <c r="AY45" s="23" t="s">
        <v>386</v>
      </c>
      <c r="AZ45" s="23" t="s">
        <v>387</v>
      </c>
      <c r="BA45" s="12"/>
      <c r="BB45" s="25" t="s">
        <v>388</v>
      </c>
      <c r="BC45" s="25" t="s">
        <v>389</v>
      </c>
      <c r="BD45" s="25" t="s">
        <v>390</v>
      </c>
      <c r="BE45" s="25" t="s">
        <v>391</v>
      </c>
      <c r="BF45" s="12"/>
      <c r="BG45" s="25" t="s">
        <v>392</v>
      </c>
      <c r="BH45" s="25" t="s">
        <v>402</v>
      </c>
      <c r="BI45" s="25" t="s">
        <v>394</v>
      </c>
      <c r="BJ45" s="25" t="s">
        <v>395</v>
      </c>
      <c r="BK45" s="12"/>
      <c r="BL45" s="23" t="s">
        <v>116</v>
      </c>
      <c r="BM45" s="23" t="s">
        <v>117</v>
      </c>
      <c r="BN45" s="23" t="s">
        <v>118</v>
      </c>
      <c r="BO45" s="23" t="s">
        <v>119</v>
      </c>
      <c r="BP45" s="12"/>
      <c r="BQ45" s="23" t="s">
        <v>120</v>
      </c>
      <c r="BR45" s="23" t="s">
        <v>121</v>
      </c>
      <c r="BS45" s="23" t="s">
        <v>122</v>
      </c>
      <c r="BT45" s="23" t="s">
        <v>123</v>
      </c>
      <c r="BU45" s="12"/>
      <c r="BV45" s="29"/>
      <c r="BW45" s="25"/>
      <c r="BX45" s="29"/>
      <c r="BY45" s="29"/>
      <c r="BZ45" s="29"/>
      <c r="CA45" s="12"/>
      <c r="CB45" s="25"/>
      <c r="CC45" s="25"/>
      <c r="CD45" s="25"/>
      <c r="CE45" s="25"/>
      <c r="CF45" s="12"/>
      <c r="CG45" s="29" t="s">
        <v>396</v>
      </c>
      <c r="CH45" s="25" t="s">
        <v>397</v>
      </c>
      <c r="CI45" s="29" t="s">
        <v>398</v>
      </c>
      <c r="CJ45" s="29"/>
      <c r="CK45" s="29" t="s">
        <v>399</v>
      </c>
      <c r="CL45" s="25" t="s">
        <v>400</v>
      </c>
      <c r="CM45" s="12"/>
      <c r="CN45" s="23" t="s">
        <v>133</v>
      </c>
      <c r="CO45" s="23" t="s">
        <v>134</v>
      </c>
      <c r="CP45" s="23" t="s">
        <v>135</v>
      </c>
      <c r="CQ45" s="23" t="s">
        <v>136</v>
      </c>
    </row>
    <row r="46" spans="1:95" ht="14.5">
      <c r="A46" s="22" t="s">
        <v>310</v>
      </c>
      <c r="B46" s="22">
        <v>54850098200267</v>
      </c>
      <c r="C46" s="22" t="s">
        <v>311</v>
      </c>
      <c r="D46" s="22"/>
      <c r="E46" s="145" t="s">
        <v>2391</v>
      </c>
      <c r="F46" s="34">
        <v>40463</v>
      </c>
      <c r="G46" s="29"/>
      <c r="H46" s="22" t="s">
        <v>56</v>
      </c>
      <c r="I46" s="25" t="s">
        <v>2423</v>
      </c>
      <c r="J46" s="23" t="s">
        <v>403</v>
      </c>
      <c r="K46" s="12"/>
      <c r="L46" s="29" t="s">
        <v>112</v>
      </c>
      <c r="M46" s="29" t="s">
        <v>112</v>
      </c>
      <c r="N46" s="29" t="s">
        <v>112</v>
      </c>
      <c r="O46" s="29" t="s">
        <v>112</v>
      </c>
      <c r="P46" s="29" t="s">
        <v>112</v>
      </c>
      <c r="Q46" s="12"/>
      <c r="R46" s="12"/>
      <c r="S46" s="12"/>
      <c r="T46" s="13" t="s">
        <v>2436</v>
      </c>
      <c r="U46" s="25" t="s">
        <v>11</v>
      </c>
      <c r="V46" s="25" t="s">
        <v>12</v>
      </c>
      <c r="W46" s="23" t="s">
        <v>103</v>
      </c>
      <c r="X46" s="25" t="s">
        <v>13</v>
      </c>
      <c r="Y46" s="12"/>
      <c r="Z46" s="23" t="s">
        <v>104</v>
      </c>
      <c r="AA46" s="23" t="s">
        <v>105</v>
      </c>
      <c r="AB46" s="23" t="s">
        <v>106</v>
      </c>
      <c r="AC46" s="23" t="s">
        <v>107</v>
      </c>
      <c r="AD46" s="12"/>
      <c r="AE46" s="25" t="s">
        <v>108</v>
      </c>
      <c r="AF46" s="23" t="s">
        <v>108</v>
      </c>
      <c r="AG46" s="25"/>
      <c r="AH46" s="23" t="s">
        <v>109</v>
      </c>
      <c r="AI46" s="23" t="s">
        <v>110</v>
      </c>
      <c r="AJ46" s="25">
        <v>1</v>
      </c>
      <c r="AK46" s="23" t="s">
        <v>111</v>
      </c>
      <c r="AL46" s="25"/>
      <c r="AM46" s="12"/>
      <c r="AN46" s="12"/>
      <c r="AO46" s="29" t="s">
        <v>112</v>
      </c>
      <c r="AP46" s="29" t="s">
        <v>112</v>
      </c>
      <c r="AQ46" s="12"/>
      <c r="AR46" s="29" t="s">
        <v>381</v>
      </c>
      <c r="AS46" s="25" t="s">
        <v>382</v>
      </c>
      <c r="AT46" s="25"/>
      <c r="AU46" s="29" t="s">
        <v>383</v>
      </c>
      <c r="AV46" s="12"/>
      <c r="AW46" s="23" t="s">
        <v>384</v>
      </c>
      <c r="AX46" s="23" t="s">
        <v>385</v>
      </c>
      <c r="AY46" s="23" t="s">
        <v>386</v>
      </c>
      <c r="AZ46" s="23" t="s">
        <v>387</v>
      </c>
      <c r="BA46" s="12"/>
      <c r="BB46" s="25" t="s">
        <v>388</v>
      </c>
      <c r="BC46" s="25" t="s">
        <v>389</v>
      </c>
      <c r="BD46" s="25" t="s">
        <v>390</v>
      </c>
      <c r="BE46" s="25" t="s">
        <v>391</v>
      </c>
      <c r="BF46" s="12"/>
      <c r="BG46" s="25" t="s">
        <v>404</v>
      </c>
      <c r="BH46" s="25" t="s">
        <v>393</v>
      </c>
      <c r="BI46" s="25" t="s">
        <v>405</v>
      </c>
      <c r="BJ46" s="25">
        <v>2267075</v>
      </c>
      <c r="BK46" s="12"/>
      <c r="BL46" s="23" t="s">
        <v>116</v>
      </c>
      <c r="BM46" s="23" t="s">
        <v>117</v>
      </c>
      <c r="BN46" s="23" t="s">
        <v>118</v>
      </c>
      <c r="BO46" s="23" t="s">
        <v>119</v>
      </c>
      <c r="BP46" s="12"/>
      <c r="BQ46" s="23" t="s">
        <v>120</v>
      </c>
      <c r="BR46" s="23" t="s">
        <v>121</v>
      </c>
      <c r="BS46" s="23" t="s">
        <v>122</v>
      </c>
      <c r="BT46" s="23" t="s">
        <v>123</v>
      </c>
      <c r="BU46" s="12"/>
      <c r="BV46" s="29"/>
      <c r="BW46" s="25"/>
      <c r="BX46" s="29"/>
      <c r="BY46" s="29"/>
      <c r="BZ46" s="29"/>
      <c r="CA46" s="12"/>
      <c r="CB46" s="25"/>
      <c r="CC46" s="25"/>
      <c r="CD46" s="25"/>
      <c r="CE46" s="25"/>
      <c r="CF46" s="12"/>
      <c r="CG46" s="29" t="s">
        <v>396</v>
      </c>
      <c r="CH46" s="25" t="s">
        <v>397</v>
      </c>
      <c r="CI46" s="29" t="s">
        <v>398</v>
      </c>
      <c r="CJ46" s="29"/>
      <c r="CK46" s="29" t="s">
        <v>399</v>
      </c>
      <c r="CL46" s="25" t="s">
        <v>400</v>
      </c>
      <c r="CM46" s="12"/>
      <c r="CN46" s="23" t="s">
        <v>133</v>
      </c>
      <c r="CO46" s="23" t="s">
        <v>134</v>
      </c>
      <c r="CP46" s="23" t="s">
        <v>135</v>
      </c>
      <c r="CQ46" s="23" t="s">
        <v>136</v>
      </c>
    </row>
    <row r="47" spans="1:95" ht="14.5">
      <c r="A47" s="27" t="s">
        <v>310</v>
      </c>
      <c r="B47" s="27">
        <v>54850098200267</v>
      </c>
      <c r="C47" s="27" t="s">
        <v>311</v>
      </c>
      <c r="D47" s="27"/>
      <c r="E47" s="144" t="s">
        <v>2391</v>
      </c>
      <c r="F47" s="34">
        <v>40463</v>
      </c>
      <c r="G47" s="29"/>
      <c r="H47" s="22" t="s">
        <v>56</v>
      </c>
      <c r="I47" s="25" t="s">
        <v>2423</v>
      </c>
      <c r="J47" s="23" t="s">
        <v>406</v>
      </c>
      <c r="K47" s="12"/>
      <c r="L47" s="29" t="s">
        <v>112</v>
      </c>
      <c r="M47" s="29" t="s">
        <v>112</v>
      </c>
      <c r="N47" s="29" t="s">
        <v>112</v>
      </c>
      <c r="O47" s="29" t="s">
        <v>112</v>
      </c>
      <c r="P47" s="29" t="s">
        <v>112</v>
      </c>
      <c r="Q47" s="12"/>
      <c r="R47" s="12"/>
      <c r="S47" s="12"/>
      <c r="T47" s="13" t="s">
        <v>2436</v>
      </c>
      <c r="U47" s="25" t="s">
        <v>11</v>
      </c>
      <c r="V47" s="25" t="s">
        <v>12</v>
      </c>
      <c r="W47" s="23" t="s">
        <v>103</v>
      </c>
      <c r="X47" s="25" t="s">
        <v>13</v>
      </c>
      <c r="Y47" s="12"/>
      <c r="Z47" s="23" t="s">
        <v>104</v>
      </c>
      <c r="AA47" s="23" t="s">
        <v>105</v>
      </c>
      <c r="AB47" s="23" t="s">
        <v>106</v>
      </c>
      <c r="AC47" s="23" t="s">
        <v>107</v>
      </c>
      <c r="AD47" s="12"/>
      <c r="AE47" s="23" t="s">
        <v>201</v>
      </c>
      <c r="AF47" s="25" t="s">
        <v>2437</v>
      </c>
      <c r="AG47" s="25"/>
      <c r="AH47" s="25" t="s">
        <v>202</v>
      </c>
      <c r="AI47" s="25" t="s">
        <v>203</v>
      </c>
      <c r="AJ47" s="25">
        <v>2</v>
      </c>
      <c r="AK47" s="23" t="s">
        <v>111</v>
      </c>
      <c r="AL47" s="25"/>
      <c r="AM47" s="12"/>
      <c r="AN47" s="12"/>
      <c r="AO47" s="29" t="s">
        <v>112</v>
      </c>
      <c r="AP47" s="29" t="s">
        <v>112</v>
      </c>
      <c r="AQ47" s="12"/>
      <c r="AR47" s="29" t="s">
        <v>381</v>
      </c>
      <c r="AS47" s="25" t="s">
        <v>382</v>
      </c>
      <c r="AT47" s="25"/>
      <c r="AU47" s="29" t="s">
        <v>383</v>
      </c>
      <c r="AV47" s="12"/>
      <c r="AW47" s="23" t="s">
        <v>384</v>
      </c>
      <c r="AX47" s="23" t="s">
        <v>385</v>
      </c>
      <c r="AY47" s="23" t="s">
        <v>386</v>
      </c>
      <c r="AZ47" s="23" t="s">
        <v>387</v>
      </c>
      <c r="BA47" s="12"/>
      <c r="BB47" s="25" t="s">
        <v>388</v>
      </c>
      <c r="BC47" s="25" t="s">
        <v>389</v>
      </c>
      <c r="BD47" s="25" t="s">
        <v>390</v>
      </c>
      <c r="BE47" s="25" t="s">
        <v>391</v>
      </c>
      <c r="BF47" s="12"/>
      <c r="BG47" s="25" t="s">
        <v>407</v>
      </c>
      <c r="BH47" s="25" t="s">
        <v>393</v>
      </c>
      <c r="BI47" s="25" t="s">
        <v>408</v>
      </c>
      <c r="BJ47" s="25" t="s">
        <v>409</v>
      </c>
      <c r="BK47" s="12"/>
      <c r="BL47" s="23" t="s">
        <v>116</v>
      </c>
      <c r="BM47" s="23" t="s">
        <v>117</v>
      </c>
      <c r="BN47" s="23" t="s">
        <v>118</v>
      </c>
      <c r="BO47" s="23" t="s">
        <v>119</v>
      </c>
      <c r="BP47" s="12"/>
      <c r="BQ47" s="23" t="s">
        <v>120</v>
      </c>
      <c r="BR47" s="23" t="s">
        <v>121</v>
      </c>
      <c r="BS47" s="23" t="s">
        <v>122</v>
      </c>
      <c r="BT47" s="23" t="s">
        <v>123</v>
      </c>
      <c r="BU47" s="12"/>
      <c r="BV47" s="29"/>
      <c r="BW47" s="25"/>
      <c r="BX47" s="29"/>
      <c r="BY47" s="29"/>
      <c r="BZ47" s="29"/>
      <c r="CA47" s="12"/>
      <c r="CB47" s="25"/>
      <c r="CC47" s="25"/>
      <c r="CD47" s="25"/>
      <c r="CE47" s="25"/>
      <c r="CF47" s="12"/>
      <c r="CG47" s="29" t="s">
        <v>396</v>
      </c>
      <c r="CH47" s="25" t="s">
        <v>397</v>
      </c>
      <c r="CI47" s="29" t="s">
        <v>398</v>
      </c>
      <c r="CJ47" s="29"/>
      <c r="CK47" s="29" t="s">
        <v>399</v>
      </c>
      <c r="CL47" s="25" t="s">
        <v>400</v>
      </c>
      <c r="CM47" s="12"/>
      <c r="CN47" s="23" t="s">
        <v>133</v>
      </c>
      <c r="CO47" s="23" t="s">
        <v>134</v>
      </c>
      <c r="CP47" s="23" t="s">
        <v>135</v>
      </c>
      <c r="CQ47" s="23" t="s">
        <v>136</v>
      </c>
    </row>
    <row r="48" spans="1:95" ht="14.5">
      <c r="A48" s="22" t="s">
        <v>310</v>
      </c>
      <c r="B48" s="22">
        <v>54850098200267</v>
      </c>
      <c r="C48" s="22" t="s">
        <v>311</v>
      </c>
      <c r="D48" s="22"/>
      <c r="E48" s="145" t="s">
        <v>2391</v>
      </c>
      <c r="F48" s="34">
        <v>40463</v>
      </c>
      <c r="G48" s="29"/>
      <c r="H48" s="22" t="s">
        <v>56</v>
      </c>
      <c r="I48" s="25" t="s">
        <v>2423</v>
      </c>
      <c r="J48" s="23" t="s">
        <v>410</v>
      </c>
      <c r="K48" s="12"/>
      <c r="L48" s="29" t="s">
        <v>112</v>
      </c>
      <c r="M48" s="29" t="s">
        <v>112</v>
      </c>
      <c r="N48" s="29" t="s">
        <v>112</v>
      </c>
      <c r="O48" s="29" t="s">
        <v>112</v>
      </c>
      <c r="P48" s="29" t="s">
        <v>112</v>
      </c>
      <c r="Q48" s="12"/>
      <c r="R48" s="12"/>
      <c r="S48" s="12"/>
      <c r="T48" s="13" t="s">
        <v>2436</v>
      </c>
      <c r="U48" s="25" t="s">
        <v>11</v>
      </c>
      <c r="V48" s="25" t="s">
        <v>12</v>
      </c>
      <c r="W48" s="23" t="s">
        <v>103</v>
      </c>
      <c r="X48" s="25" t="s">
        <v>13</v>
      </c>
      <c r="Y48" s="12"/>
      <c r="Z48" s="23" t="s">
        <v>104</v>
      </c>
      <c r="AA48" s="23" t="s">
        <v>105</v>
      </c>
      <c r="AB48" s="23" t="s">
        <v>106</v>
      </c>
      <c r="AC48" s="23" t="s">
        <v>107</v>
      </c>
      <c r="AD48" s="12"/>
      <c r="AE48" s="23" t="s">
        <v>201</v>
      </c>
      <c r="AF48" s="25" t="s">
        <v>2437</v>
      </c>
      <c r="AG48" s="25"/>
      <c r="AH48" s="25" t="s">
        <v>202</v>
      </c>
      <c r="AI48" s="25" t="s">
        <v>203</v>
      </c>
      <c r="AJ48" s="25">
        <v>2</v>
      </c>
      <c r="AK48" s="23" t="s">
        <v>111</v>
      </c>
      <c r="AL48" s="25"/>
      <c r="AM48" s="12"/>
      <c r="AN48" s="12"/>
      <c r="AO48" s="29" t="s">
        <v>112</v>
      </c>
      <c r="AP48" s="29" t="s">
        <v>112</v>
      </c>
      <c r="AQ48" s="12"/>
      <c r="AR48" s="29" t="s">
        <v>381</v>
      </c>
      <c r="AS48" s="25" t="s">
        <v>382</v>
      </c>
      <c r="AT48" s="25"/>
      <c r="AU48" s="29" t="s">
        <v>383</v>
      </c>
      <c r="AV48" s="12"/>
      <c r="AW48" s="23" t="s">
        <v>384</v>
      </c>
      <c r="AX48" s="23" t="s">
        <v>385</v>
      </c>
      <c r="AY48" s="23" t="s">
        <v>386</v>
      </c>
      <c r="AZ48" s="23" t="s">
        <v>387</v>
      </c>
      <c r="BA48" s="12"/>
      <c r="BB48" s="25" t="s">
        <v>388</v>
      </c>
      <c r="BC48" s="25" t="s">
        <v>389</v>
      </c>
      <c r="BD48" s="25" t="s">
        <v>390</v>
      </c>
      <c r="BE48" s="25" t="s">
        <v>391</v>
      </c>
      <c r="BF48" s="12"/>
      <c r="BG48" s="25" t="s">
        <v>411</v>
      </c>
      <c r="BH48" s="25" t="s">
        <v>393</v>
      </c>
      <c r="BI48" s="25" t="s">
        <v>412</v>
      </c>
      <c r="BJ48" s="25">
        <v>2367063</v>
      </c>
      <c r="BK48" s="12"/>
      <c r="BL48" s="23" t="s">
        <v>116</v>
      </c>
      <c r="BM48" s="23" t="s">
        <v>117</v>
      </c>
      <c r="BN48" s="23" t="s">
        <v>118</v>
      </c>
      <c r="BO48" s="23" t="s">
        <v>119</v>
      </c>
      <c r="BP48" s="12"/>
      <c r="BQ48" s="23" t="s">
        <v>120</v>
      </c>
      <c r="BR48" s="23" t="s">
        <v>121</v>
      </c>
      <c r="BS48" s="23" t="s">
        <v>122</v>
      </c>
      <c r="BT48" s="23" t="s">
        <v>123</v>
      </c>
      <c r="BU48" s="12"/>
      <c r="BV48" s="29"/>
      <c r="BW48" s="25"/>
      <c r="BX48" s="29"/>
      <c r="BY48" s="29"/>
      <c r="BZ48" s="29"/>
      <c r="CA48" s="12"/>
      <c r="CB48" s="25"/>
      <c r="CC48" s="25"/>
      <c r="CD48" s="25"/>
      <c r="CE48" s="25"/>
      <c r="CF48" s="12"/>
      <c r="CG48" s="29" t="s">
        <v>396</v>
      </c>
      <c r="CH48" s="25" t="s">
        <v>397</v>
      </c>
      <c r="CI48" s="29" t="s">
        <v>398</v>
      </c>
      <c r="CJ48" s="29"/>
      <c r="CK48" s="29" t="s">
        <v>399</v>
      </c>
      <c r="CL48" s="25" t="s">
        <v>400</v>
      </c>
      <c r="CM48" s="12"/>
      <c r="CN48" s="23" t="s">
        <v>133</v>
      </c>
      <c r="CO48" s="23" t="s">
        <v>134</v>
      </c>
      <c r="CP48" s="23" t="s">
        <v>135</v>
      </c>
      <c r="CQ48" s="23" t="s">
        <v>136</v>
      </c>
    </row>
    <row r="49" spans="1:95" ht="14.5">
      <c r="A49" s="27" t="s">
        <v>310</v>
      </c>
      <c r="B49" s="27">
        <v>54850098200267</v>
      </c>
      <c r="C49" s="27" t="s">
        <v>311</v>
      </c>
      <c r="D49" s="27"/>
      <c r="E49" s="144" t="s">
        <v>2391</v>
      </c>
      <c r="F49" s="34">
        <v>40463</v>
      </c>
      <c r="G49" s="29"/>
      <c r="H49" s="22" t="s">
        <v>56</v>
      </c>
      <c r="I49" s="25" t="s">
        <v>2423</v>
      </c>
      <c r="J49" s="23" t="s">
        <v>413</v>
      </c>
      <c r="K49" s="12"/>
      <c r="L49" s="29" t="s">
        <v>112</v>
      </c>
      <c r="M49" s="29" t="s">
        <v>112</v>
      </c>
      <c r="N49" s="29" t="s">
        <v>112</v>
      </c>
      <c r="O49" s="29" t="s">
        <v>112</v>
      </c>
      <c r="P49" s="29" t="s">
        <v>112</v>
      </c>
      <c r="Q49" s="12"/>
      <c r="R49" s="12"/>
      <c r="S49" s="12"/>
      <c r="T49" s="13" t="s">
        <v>2436</v>
      </c>
      <c r="U49" s="25" t="s">
        <v>11</v>
      </c>
      <c r="V49" s="25" t="s">
        <v>12</v>
      </c>
      <c r="W49" s="23" t="s">
        <v>103</v>
      </c>
      <c r="X49" s="25" t="s">
        <v>13</v>
      </c>
      <c r="Y49" s="12"/>
      <c r="Z49" s="23" t="s">
        <v>104</v>
      </c>
      <c r="AA49" s="23" t="s">
        <v>105</v>
      </c>
      <c r="AB49" s="23" t="s">
        <v>106</v>
      </c>
      <c r="AC49" s="23" t="s">
        <v>107</v>
      </c>
      <c r="AD49" s="12"/>
      <c r="AE49" s="23" t="s">
        <v>201</v>
      </c>
      <c r="AF49" s="25" t="s">
        <v>2437</v>
      </c>
      <c r="AG49" s="25"/>
      <c r="AH49" s="25" t="s">
        <v>202</v>
      </c>
      <c r="AI49" s="25" t="s">
        <v>203</v>
      </c>
      <c r="AJ49" s="25">
        <v>2</v>
      </c>
      <c r="AK49" s="23" t="s">
        <v>111</v>
      </c>
      <c r="AL49" s="25"/>
      <c r="AM49" s="12"/>
      <c r="AN49" s="12"/>
      <c r="AO49" s="29" t="s">
        <v>112</v>
      </c>
      <c r="AP49" s="29" t="s">
        <v>112</v>
      </c>
      <c r="AQ49" s="12"/>
      <c r="AR49" s="29" t="s">
        <v>381</v>
      </c>
      <c r="AS49" s="25" t="s">
        <v>382</v>
      </c>
      <c r="AT49" s="25"/>
      <c r="AU49" s="29" t="s">
        <v>383</v>
      </c>
      <c r="AV49" s="12"/>
      <c r="AW49" s="23" t="s">
        <v>384</v>
      </c>
      <c r="AX49" s="23" t="s">
        <v>385</v>
      </c>
      <c r="AY49" s="23" t="s">
        <v>386</v>
      </c>
      <c r="AZ49" s="23" t="s">
        <v>387</v>
      </c>
      <c r="BA49" s="12"/>
      <c r="BB49" s="25" t="s">
        <v>388</v>
      </c>
      <c r="BC49" s="25" t="s">
        <v>389</v>
      </c>
      <c r="BD49" s="25" t="s">
        <v>390</v>
      </c>
      <c r="BE49" s="25" t="s">
        <v>391</v>
      </c>
      <c r="BF49" s="12"/>
      <c r="BG49" s="25" t="s">
        <v>414</v>
      </c>
      <c r="BH49" s="25" t="s">
        <v>393</v>
      </c>
      <c r="BI49" s="25" t="s">
        <v>415</v>
      </c>
      <c r="BJ49" s="25">
        <v>2367095</v>
      </c>
      <c r="BK49" s="12"/>
      <c r="BL49" s="23" t="s">
        <v>116</v>
      </c>
      <c r="BM49" s="23" t="s">
        <v>117</v>
      </c>
      <c r="BN49" s="23" t="s">
        <v>118</v>
      </c>
      <c r="BO49" s="23" t="s">
        <v>119</v>
      </c>
      <c r="BP49" s="12"/>
      <c r="BQ49" s="23" t="s">
        <v>120</v>
      </c>
      <c r="BR49" s="23" t="s">
        <v>121</v>
      </c>
      <c r="BS49" s="23" t="s">
        <v>122</v>
      </c>
      <c r="BT49" s="23" t="s">
        <v>123</v>
      </c>
      <c r="BU49" s="12"/>
      <c r="BV49" s="29"/>
      <c r="BW49" s="25"/>
      <c r="BX49" s="29"/>
      <c r="BY49" s="29"/>
      <c r="BZ49" s="29"/>
      <c r="CA49" s="12"/>
      <c r="CB49" s="25"/>
      <c r="CC49" s="25"/>
      <c r="CD49" s="25"/>
      <c r="CE49" s="25"/>
      <c r="CF49" s="12"/>
      <c r="CG49" s="29" t="s">
        <v>396</v>
      </c>
      <c r="CH49" s="25" t="s">
        <v>397</v>
      </c>
      <c r="CI49" s="29" t="s">
        <v>398</v>
      </c>
      <c r="CJ49" s="29"/>
      <c r="CK49" s="29" t="s">
        <v>399</v>
      </c>
      <c r="CL49" s="25" t="s">
        <v>400</v>
      </c>
      <c r="CM49" s="12"/>
      <c r="CN49" s="23" t="s">
        <v>133</v>
      </c>
      <c r="CO49" s="23" t="s">
        <v>134</v>
      </c>
      <c r="CP49" s="23" t="s">
        <v>135</v>
      </c>
      <c r="CQ49" s="23" t="s">
        <v>136</v>
      </c>
    </row>
    <row r="50" spans="1:95" ht="14.5">
      <c r="A50" s="22" t="s">
        <v>310</v>
      </c>
      <c r="B50" s="22">
        <v>54850098200267</v>
      </c>
      <c r="C50" s="22" t="s">
        <v>311</v>
      </c>
      <c r="D50" s="22"/>
      <c r="E50" s="145" t="s">
        <v>2391</v>
      </c>
      <c r="F50" s="34">
        <v>40463</v>
      </c>
      <c r="G50" s="29"/>
      <c r="H50" s="22" t="s">
        <v>56</v>
      </c>
      <c r="I50" s="25" t="s">
        <v>2423</v>
      </c>
      <c r="J50" s="23" t="s">
        <v>416</v>
      </c>
      <c r="K50" s="12"/>
      <c r="L50" s="29" t="s">
        <v>112</v>
      </c>
      <c r="M50" s="29" t="s">
        <v>112</v>
      </c>
      <c r="N50" s="29" t="s">
        <v>112</v>
      </c>
      <c r="O50" s="29" t="s">
        <v>112</v>
      </c>
      <c r="P50" s="29" t="s">
        <v>112</v>
      </c>
      <c r="Q50" s="12"/>
      <c r="R50" s="12"/>
      <c r="S50" s="12"/>
      <c r="T50" s="13" t="s">
        <v>2436</v>
      </c>
      <c r="U50" s="25" t="s">
        <v>11</v>
      </c>
      <c r="V50" s="25" t="s">
        <v>12</v>
      </c>
      <c r="W50" s="23" t="s">
        <v>103</v>
      </c>
      <c r="X50" s="25" t="s">
        <v>13</v>
      </c>
      <c r="Y50" s="12"/>
      <c r="Z50" s="23" t="s">
        <v>104</v>
      </c>
      <c r="AA50" s="23" t="s">
        <v>105</v>
      </c>
      <c r="AB50" s="23" t="s">
        <v>106</v>
      </c>
      <c r="AC50" s="23" t="s">
        <v>107</v>
      </c>
      <c r="AD50" s="12"/>
      <c r="AE50" s="23" t="s">
        <v>201</v>
      </c>
      <c r="AF50" s="25" t="s">
        <v>2437</v>
      </c>
      <c r="AG50" s="25"/>
      <c r="AH50" s="25" t="s">
        <v>202</v>
      </c>
      <c r="AI50" s="25" t="s">
        <v>203</v>
      </c>
      <c r="AJ50" s="25">
        <v>2</v>
      </c>
      <c r="AK50" s="23" t="s">
        <v>111</v>
      </c>
      <c r="AL50" s="25"/>
      <c r="AM50" s="12"/>
      <c r="AN50" s="12"/>
      <c r="AO50" s="29" t="s">
        <v>112</v>
      </c>
      <c r="AP50" s="29" t="s">
        <v>112</v>
      </c>
      <c r="AQ50" s="12"/>
      <c r="AR50" s="29" t="s">
        <v>381</v>
      </c>
      <c r="AS50" s="25" t="s">
        <v>382</v>
      </c>
      <c r="AT50" s="25"/>
      <c r="AU50" s="29" t="s">
        <v>383</v>
      </c>
      <c r="AV50" s="12"/>
      <c r="AW50" s="23" t="s">
        <v>384</v>
      </c>
      <c r="AX50" s="23" t="s">
        <v>385</v>
      </c>
      <c r="AY50" s="23" t="s">
        <v>386</v>
      </c>
      <c r="AZ50" s="23" t="s">
        <v>387</v>
      </c>
      <c r="BA50" s="12"/>
      <c r="BB50" s="25" t="s">
        <v>388</v>
      </c>
      <c r="BC50" s="25" t="s">
        <v>389</v>
      </c>
      <c r="BD50" s="25" t="s">
        <v>390</v>
      </c>
      <c r="BE50" s="25" t="s">
        <v>391</v>
      </c>
      <c r="BF50" s="12"/>
      <c r="BG50" s="25" t="s">
        <v>417</v>
      </c>
      <c r="BH50" s="25" t="s">
        <v>393</v>
      </c>
      <c r="BI50" s="25" t="s">
        <v>418</v>
      </c>
      <c r="BJ50" s="25">
        <v>1967056</v>
      </c>
      <c r="BK50" s="12"/>
      <c r="BL50" s="23" t="s">
        <v>116</v>
      </c>
      <c r="BM50" s="23" t="s">
        <v>117</v>
      </c>
      <c r="BN50" s="23" t="s">
        <v>118</v>
      </c>
      <c r="BO50" s="23" t="s">
        <v>119</v>
      </c>
      <c r="BP50" s="12"/>
      <c r="BQ50" s="23" t="s">
        <v>120</v>
      </c>
      <c r="BR50" s="23" t="s">
        <v>121</v>
      </c>
      <c r="BS50" s="23" t="s">
        <v>122</v>
      </c>
      <c r="BT50" s="23" t="s">
        <v>123</v>
      </c>
      <c r="BU50" s="12"/>
      <c r="BV50" s="29"/>
      <c r="BW50" s="25"/>
      <c r="BX50" s="29"/>
      <c r="BY50" s="29"/>
      <c r="BZ50" s="29"/>
      <c r="CA50" s="12"/>
      <c r="CB50" s="25"/>
      <c r="CC50" s="25"/>
      <c r="CD50" s="25"/>
      <c r="CE50" s="25"/>
      <c r="CF50" s="12"/>
      <c r="CG50" s="29" t="s">
        <v>396</v>
      </c>
      <c r="CH50" s="25" t="s">
        <v>397</v>
      </c>
      <c r="CI50" s="29" t="s">
        <v>398</v>
      </c>
      <c r="CJ50" s="29"/>
      <c r="CK50" s="29" t="s">
        <v>399</v>
      </c>
      <c r="CL50" s="25" t="s">
        <v>400</v>
      </c>
      <c r="CM50" s="12"/>
      <c r="CN50" s="23" t="s">
        <v>133</v>
      </c>
      <c r="CO50" s="23" t="s">
        <v>134</v>
      </c>
      <c r="CP50" s="23" t="s">
        <v>135</v>
      </c>
      <c r="CQ50" s="23" t="s">
        <v>136</v>
      </c>
    </row>
    <row r="51" spans="1:95" ht="14.5">
      <c r="A51" s="27" t="s">
        <v>310</v>
      </c>
      <c r="B51" s="27">
        <v>54850098200267</v>
      </c>
      <c r="C51" s="27" t="s">
        <v>311</v>
      </c>
      <c r="D51" s="27"/>
      <c r="E51" s="144" t="s">
        <v>2391</v>
      </c>
      <c r="F51" s="34">
        <v>40463</v>
      </c>
      <c r="G51" s="29"/>
      <c r="H51" s="22" t="s">
        <v>56</v>
      </c>
      <c r="I51" s="25" t="s">
        <v>2423</v>
      </c>
      <c r="J51" s="23" t="s">
        <v>419</v>
      </c>
      <c r="K51" s="12"/>
      <c r="L51" s="29" t="s">
        <v>112</v>
      </c>
      <c r="M51" s="29" t="s">
        <v>112</v>
      </c>
      <c r="N51" s="29" t="s">
        <v>112</v>
      </c>
      <c r="O51" s="29" t="s">
        <v>112</v>
      </c>
      <c r="P51" s="29" t="s">
        <v>112</v>
      </c>
      <c r="Q51" s="12"/>
      <c r="R51" s="12"/>
      <c r="S51" s="12"/>
      <c r="T51" s="13" t="s">
        <v>2436</v>
      </c>
      <c r="U51" s="25" t="s">
        <v>11</v>
      </c>
      <c r="V51" s="25" t="s">
        <v>12</v>
      </c>
      <c r="W51" s="23" t="s">
        <v>103</v>
      </c>
      <c r="X51" s="25" t="s">
        <v>13</v>
      </c>
      <c r="Y51" s="12"/>
      <c r="Z51" s="23" t="s">
        <v>104</v>
      </c>
      <c r="AA51" s="23" t="s">
        <v>105</v>
      </c>
      <c r="AB51" s="23" t="s">
        <v>106</v>
      </c>
      <c r="AC51" s="23" t="s">
        <v>107</v>
      </c>
      <c r="AD51" s="12"/>
      <c r="AE51" s="23" t="s">
        <v>201</v>
      </c>
      <c r="AF51" s="25" t="s">
        <v>2437</v>
      </c>
      <c r="AG51" s="25"/>
      <c r="AH51" s="25" t="s">
        <v>202</v>
      </c>
      <c r="AI51" s="25" t="s">
        <v>203</v>
      </c>
      <c r="AJ51" s="25">
        <v>2</v>
      </c>
      <c r="AK51" s="25" t="s">
        <v>274</v>
      </c>
      <c r="AL51" s="25" t="s">
        <v>275</v>
      </c>
      <c r="AM51" s="33" t="s">
        <v>276</v>
      </c>
      <c r="AN51" s="12"/>
      <c r="AO51" s="29" t="s">
        <v>112</v>
      </c>
      <c r="AP51" s="29" t="s">
        <v>112</v>
      </c>
      <c r="AQ51" s="12"/>
      <c r="AR51" s="29" t="s">
        <v>381</v>
      </c>
      <c r="AS51" s="25" t="s">
        <v>382</v>
      </c>
      <c r="AT51" s="25"/>
      <c r="AU51" s="29" t="s">
        <v>383</v>
      </c>
      <c r="AV51" s="12"/>
      <c r="AW51" s="23" t="s">
        <v>384</v>
      </c>
      <c r="AX51" s="23" t="s">
        <v>385</v>
      </c>
      <c r="AY51" s="23" t="s">
        <v>386</v>
      </c>
      <c r="AZ51" s="23" t="s">
        <v>387</v>
      </c>
      <c r="BA51" s="12"/>
      <c r="BB51" s="25" t="s">
        <v>388</v>
      </c>
      <c r="BC51" s="25" t="s">
        <v>389</v>
      </c>
      <c r="BD51" s="25" t="s">
        <v>390</v>
      </c>
      <c r="BE51" s="25" t="s">
        <v>391</v>
      </c>
      <c r="BF51" s="12"/>
      <c r="BG51" s="25" t="s">
        <v>420</v>
      </c>
      <c r="BH51" s="25" t="s">
        <v>393</v>
      </c>
      <c r="BI51" s="25" t="s">
        <v>412</v>
      </c>
      <c r="BJ51" s="25">
        <v>2367062</v>
      </c>
      <c r="BK51" s="12"/>
      <c r="BL51" s="23" t="s">
        <v>116</v>
      </c>
      <c r="BM51" s="23" t="s">
        <v>117</v>
      </c>
      <c r="BN51" s="23" t="s">
        <v>118</v>
      </c>
      <c r="BO51" s="23" t="s">
        <v>119</v>
      </c>
      <c r="BP51" s="12"/>
      <c r="BQ51" s="23" t="s">
        <v>120</v>
      </c>
      <c r="BR51" s="23" t="s">
        <v>121</v>
      </c>
      <c r="BS51" s="23" t="s">
        <v>122</v>
      </c>
      <c r="BT51" s="23" t="s">
        <v>123</v>
      </c>
      <c r="BU51" s="12"/>
      <c r="BV51" s="29"/>
      <c r="BW51" s="25"/>
      <c r="BX51" s="29"/>
      <c r="BY51" s="29"/>
      <c r="BZ51" s="29"/>
      <c r="CA51" s="12"/>
      <c r="CB51" s="25"/>
      <c r="CC51" s="25"/>
      <c r="CD51" s="25"/>
      <c r="CE51" s="25"/>
      <c r="CF51" s="12"/>
      <c r="CG51" s="29" t="s">
        <v>396</v>
      </c>
      <c r="CH51" s="25" t="s">
        <v>397</v>
      </c>
      <c r="CI51" s="29" t="s">
        <v>398</v>
      </c>
      <c r="CJ51" s="29"/>
      <c r="CK51" s="29" t="s">
        <v>399</v>
      </c>
      <c r="CL51" s="25" t="s">
        <v>400</v>
      </c>
      <c r="CM51" s="12"/>
      <c r="CN51" s="23" t="s">
        <v>133</v>
      </c>
      <c r="CO51" s="23" t="s">
        <v>134</v>
      </c>
      <c r="CP51" s="23" t="s">
        <v>135</v>
      </c>
      <c r="CQ51" s="23" t="s">
        <v>136</v>
      </c>
    </row>
    <row r="52" spans="1:95" ht="14.5">
      <c r="A52" s="22" t="s">
        <v>310</v>
      </c>
      <c r="B52" s="22">
        <v>54850098200267</v>
      </c>
      <c r="C52" s="22" t="s">
        <v>311</v>
      </c>
      <c r="D52" s="22"/>
      <c r="E52" s="145" t="s">
        <v>2391</v>
      </c>
      <c r="F52" s="34">
        <v>40463</v>
      </c>
      <c r="G52" s="25"/>
      <c r="H52" s="22" t="s">
        <v>56</v>
      </c>
      <c r="I52" s="25" t="s">
        <v>2423</v>
      </c>
      <c r="J52" s="23" t="s">
        <v>421</v>
      </c>
      <c r="K52" s="12"/>
      <c r="L52" s="29" t="s">
        <v>112</v>
      </c>
      <c r="M52" s="29" t="s">
        <v>112</v>
      </c>
      <c r="N52" s="29" t="s">
        <v>112</v>
      </c>
      <c r="O52" s="29" t="s">
        <v>112</v>
      </c>
      <c r="P52" s="29" t="s">
        <v>112</v>
      </c>
      <c r="Q52" s="12"/>
      <c r="R52" s="12"/>
      <c r="S52" s="12"/>
      <c r="T52" s="13" t="s">
        <v>2436</v>
      </c>
      <c r="U52" s="25" t="s">
        <v>11</v>
      </c>
      <c r="V52" s="25" t="s">
        <v>12</v>
      </c>
      <c r="W52" s="23" t="s">
        <v>103</v>
      </c>
      <c r="X52" s="25" t="s">
        <v>13</v>
      </c>
      <c r="Y52" s="12"/>
      <c r="Z52" s="23" t="s">
        <v>104</v>
      </c>
      <c r="AA52" s="23" t="s">
        <v>105</v>
      </c>
      <c r="AB52" s="23" t="s">
        <v>106</v>
      </c>
      <c r="AC52" s="23" t="s">
        <v>107</v>
      </c>
      <c r="AD52" s="12"/>
      <c r="AE52" s="23" t="s">
        <v>201</v>
      </c>
      <c r="AF52" s="25" t="s">
        <v>2437</v>
      </c>
      <c r="AG52" s="25"/>
      <c r="AH52" s="25" t="s">
        <v>202</v>
      </c>
      <c r="AI52" s="25" t="s">
        <v>203</v>
      </c>
      <c r="AJ52" s="25">
        <v>4</v>
      </c>
      <c r="AK52" s="25" t="s">
        <v>274</v>
      </c>
      <c r="AL52" s="25" t="s">
        <v>275</v>
      </c>
      <c r="AM52" s="33" t="s">
        <v>276</v>
      </c>
      <c r="AN52" s="12"/>
      <c r="AO52" s="29" t="s">
        <v>112</v>
      </c>
      <c r="AP52" s="29" t="s">
        <v>112</v>
      </c>
      <c r="AQ52" s="12"/>
      <c r="AR52" s="29" t="s">
        <v>381</v>
      </c>
      <c r="AS52" s="25" t="s">
        <v>382</v>
      </c>
      <c r="AT52" s="25"/>
      <c r="AU52" s="29" t="s">
        <v>383</v>
      </c>
      <c r="AV52" s="12"/>
      <c r="AW52" s="23" t="s">
        <v>384</v>
      </c>
      <c r="AX52" s="23" t="s">
        <v>385</v>
      </c>
      <c r="AY52" s="23" t="s">
        <v>386</v>
      </c>
      <c r="AZ52" s="23" t="s">
        <v>387</v>
      </c>
      <c r="BA52" s="12"/>
      <c r="BB52" s="25" t="s">
        <v>388</v>
      </c>
      <c r="BC52" s="25" t="s">
        <v>389</v>
      </c>
      <c r="BD52" s="25" t="s">
        <v>390</v>
      </c>
      <c r="BE52" s="25" t="s">
        <v>391</v>
      </c>
      <c r="BF52" s="12"/>
      <c r="BG52" s="25" t="s">
        <v>422</v>
      </c>
      <c r="BH52" s="25" t="s">
        <v>393</v>
      </c>
      <c r="BI52" s="25" t="s">
        <v>423</v>
      </c>
      <c r="BJ52" s="25" t="s">
        <v>424</v>
      </c>
      <c r="BK52" s="12"/>
      <c r="BL52" s="23" t="s">
        <v>116</v>
      </c>
      <c r="BM52" s="23" t="s">
        <v>117</v>
      </c>
      <c r="BN52" s="23" t="s">
        <v>118</v>
      </c>
      <c r="BO52" s="23" t="s">
        <v>119</v>
      </c>
      <c r="BP52" s="12"/>
      <c r="BQ52" s="23" t="s">
        <v>120</v>
      </c>
      <c r="BR52" s="23" t="s">
        <v>121</v>
      </c>
      <c r="BS52" s="23" t="s">
        <v>122</v>
      </c>
      <c r="BT52" s="23" t="s">
        <v>123</v>
      </c>
      <c r="BU52" s="12"/>
      <c r="BV52" s="29"/>
      <c r="BW52" s="25"/>
      <c r="BX52" s="29"/>
      <c r="BY52" s="29"/>
      <c r="BZ52" s="29"/>
      <c r="CA52" s="12"/>
      <c r="CB52" s="25"/>
      <c r="CC52" s="25"/>
      <c r="CD52" s="25"/>
      <c r="CE52" s="25"/>
      <c r="CF52" s="12"/>
      <c r="CG52" s="29" t="s">
        <v>396</v>
      </c>
      <c r="CH52" s="25" t="s">
        <v>397</v>
      </c>
      <c r="CI52" s="29" t="s">
        <v>398</v>
      </c>
      <c r="CJ52" s="29"/>
      <c r="CK52" s="29" t="s">
        <v>399</v>
      </c>
      <c r="CL52" s="25" t="s">
        <v>400</v>
      </c>
      <c r="CM52" s="12"/>
      <c r="CN52" s="23" t="s">
        <v>133</v>
      </c>
      <c r="CO52" s="23" t="s">
        <v>134</v>
      </c>
      <c r="CP52" s="23" t="s">
        <v>135</v>
      </c>
      <c r="CQ52" s="23" t="s">
        <v>136</v>
      </c>
    </row>
    <row r="53" spans="1:95" ht="14.5">
      <c r="A53" s="27" t="s">
        <v>310</v>
      </c>
      <c r="B53" s="27">
        <v>54850098200267</v>
      </c>
      <c r="C53" s="27" t="s">
        <v>311</v>
      </c>
      <c r="D53" s="27"/>
      <c r="E53" s="144" t="s">
        <v>2391</v>
      </c>
      <c r="F53" s="34">
        <v>40463</v>
      </c>
      <c r="G53" s="25"/>
      <c r="H53" s="22" t="s">
        <v>56</v>
      </c>
      <c r="I53" s="25" t="s">
        <v>2423</v>
      </c>
      <c r="J53" s="23" t="s">
        <v>425</v>
      </c>
      <c r="K53" s="12"/>
      <c r="L53" s="29" t="s">
        <v>112</v>
      </c>
      <c r="M53" s="29" t="s">
        <v>112</v>
      </c>
      <c r="N53" s="29" t="s">
        <v>112</v>
      </c>
      <c r="O53" s="29" t="s">
        <v>112</v>
      </c>
      <c r="P53" s="29" t="s">
        <v>112</v>
      </c>
      <c r="Q53" s="12"/>
      <c r="R53" s="12"/>
      <c r="S53" s="12"/>
      <c r="T53" s="13" t="s">
        <v>2436</v>
      </c>
      <c r="U53" s="25" t="s">
        <v>11</v>
      </c>
      <c r="V53" s="25" t="s">
        <v>12</v>
      </c>
      <c r="W53" s="23" t="s">
        <v>103</v>
      </c>
      <c r="X53" s="25" t="s">
        <v>13</v>
      </c>
      <c r="Y53" s="12"/>
      <c r="Z53" s="23" t="s">
        <v>104</v>
      </c>
      <c r="AA53" s="23" t="s">
        <v>105</v>
      </c>
      <c r="AB53" s="23" t="s">
        <v>106</v>
      </c>
      <c r="AC53" s="23" t="s">
        <v>107</v>
      </c>
      <c r="AD53" s="12"/>
      <c r="AE53" s="23" t="s">
        <v>201</v>
      </c>
      <c r="AF53" s="25" t="s">
        <v>2437</v>
      </c>
      <c r="AG53" s="25"/>
      <c r="AH53" s="25" t="s">
        <v>202</v>
      </c>
      <c r="AI53" s="25" t="s">
        <v>203</v>
      </c>
      <c r="AJ53" s="25">
        <v>4</v>
      </c>
      <c r="AK53" s="25" t="s">
        <v>274</v>
      </c>
      <c r="AL53" s="25" t="s">
        <v>275</v>
      </c>
      <c r="AM53" s="33" t="s">
        <v>276</v>
      </c>
      <c r="AN53" s="12"/>
      <c r="AO53" s="29" t="s">
        <v>112</v>
      </c>
      <c r="AP53" s="29" t="s">
        <v>112</v>
      </c>
      <c r="AQ53" s="12"/>
      <c r="AR53" s="29" t="s">
        <v>381</v>
      </c>
      <c r="AS53" s="25" t="s">
        <v>382</v>
      </c>
      <c r="AT53" s="25"/>
      <c r="AU53" s="29" t="s">
        <v>383</v>
      </c>
      <c r="AV53" s="12"/>
      <c r="AW53" s="23" t="s">
        <v>384</v>
      </c>
      <c r="AX53" s="23" t="s">
        <v>385</v>
      </c>
      <c r="AY53" s="23" t="s">
        <v>386</v>
      </c>
      <c r="AZ53" s="23" t="s">
        <v>387</v>
      </c>
      <c r="BA53" s="12"/>
      <c r="BB53" s="25" t="s">
        <v>388</v>
      </c>
      <c r="BC53" s="25" t="s">
        <v>389</v>
      </c>
      <c r="BD53" s="25" t="s">
        <v>390</v>
      </c>
      <c r="BE53" s="25" t="s">
        <v>391</v>
      </c>
      <c r="BF53" s="12"/>
      <c r="BG53" s="25" t="s">
        <v>426</v>
      </c>
      <c r="BH53" s="25" t="s">
        <v>393</v>
      </c>
      <c r="BI53" s="25" t="s">
        <v>427</v>
      </c>
      <c r="BJ53" s="25" t="s">
        <v>428</v>
      </c>
      <c r="BK53" s="12"/>
      <c r="BL53" s="23" t="s">
        <v>116</v>
      </c>
      <c r="BM53" s="23" t="s">
        <v>117</v>
      </c>
      <c r="BN53" s="23" t="s">
        <v>118</v>
      </c>
      <c r="BO53" s="23" t="s">
        <v>119</v>
      </c>
      <c r="BP53" s="12"/>
      <c r="BQ53" s="23" t="s">
        <v>120</v>
      </c>
      <c r="BR53" s="23" t="s">
        <v>121</v>
      </c>
      <c r="BS53" s="23" t="s">
        <v>122</v>
      </c>
      <c r="BT53" s="23" t="s">
        <v>123</v>
      </c>
      <c r="BU53" s="12"/>
      <c r="BV53" s="29"/>
      <c r="BW53" s="25"/>
      <c r="BX53" s="29"/>
      <c r="BY53" s="29"/>
      <c r="BZ53" s="29"/>
      <c r="CA53" s="12"/>
      <c r="CB53" s="25"/>
      <c r="CC53" s="25"/>
      <c r="CD53" s="25"/>
      <c r="CE53" s="25"/>
      <c r="CF53" s="12"/>
      <c r="CG53" s="29" t="s">
        <v>396</v>
      </c>
      <c r="CH53" s="25" t="s">
        <v>397</v>
      </c>
      <c r="CI53" s="29" t="s">
        <v>398</v>
      </c>
      <c r="CJ53" s="29"/>
      <c r="CK53" s="29" t="s">
        <v>399</v>
      </c>
      <c r="CL53" s="25" t="s">
        <v>400</v>
      </c>
      <c r="CM53" s="12"/>
      <c r="CN53" s="23" t="s">
        <v>133</v>
      </c>
      <c r="CO53" s="23" t="s">
        <v>134</v>
      </c>
      <c r="CP53" s="23" t="s">
        <v>135</v>
      </c>
      <c r="CQ53" s="23" t="s">
        <v>136</v>
      </c>
    </row>
    <row r="54" spans="1:95" ht="14.5">
      <c r="A54" s="22" t="s">
        <v>310</v>
      </c>
      <c r="B54" s="22">
        <v>54850098200267</v>
      </c>
      <c r="C54" s="22" t="s">
        <v>311</v>
      </c>
      <c r="D54" s="22"/>
      <c r="E54" s="145" t="s">
        <v>2391</v>
      </c>
      <c r="F54" s="34">
        <v>40463</v>
      </c>
      <c r="G54" s="25"/>
      <c r="H54" s="22" t="s">
        <v>56</v>
      </c>
      <c r="I54" s="25" t="s">
        <v>2423</v>
      </c>
      <c r="J54" s="23" t="s">
        <v>429</v>
      </c>
      <c r="K54" s="12"/>
      <c r="L54" s="29" t="s">
        <v>112</v>
      </c>
      <c r="M54" s="29" t="s">
        <v>112</v>
      </c>
      <c r="N54" s="29" t="s">
        <v>112</v>
      </c>
      <c r="O54" s="29" t="s">
        <v>112</v>
      </c>
      <c r="P54" s="29" t="s">
        <v>112</v>
      </c>
      <c r="Q54" s="12"/>
      <c r="R54" s="12"/>
      <c r="S54" s="12"/>
      <c r="T54" s="13" t="s">
        <v>2436</v>
      </c>
      <c r="U54" s="25" t="s">
        <v>11</v>
      </c>
      <c r="V54" s="25" t="s">
        <v>12</v>
      </c>
      <c r="W54" s="23" t="s">
        <v>103</v>
      </c>
      <c r="X54" s="25" t="s">
        <v>13</v>
      </c>
      <c r="Y54" s="12"/>
      <c r="Z54" s="23" t="s">
        <v>104</v>
      </c>
      <c r="AA54" s="23" t="s">
        <v>105</v>
      </c>
      <c r="AB54" s="23" t="s">
        <v>106</v>
      </c>
      <c r="AC54" s="23" t="s">
        <v>107</v>
      </c>
      <c r="AD54" s="12"/>
      <c r="AE54" s="23" t="s">
        <v>201</v>
      </c>
      <c r="AF54" s="25" t="s">
        <v>2437</v>
      </c>
      <c r="AG54" s="25"/>
      <c r="AH54" s="25" t="s">
        <v>202</v>
      </c>
      <c r="AI54" s="25" t="s">
        <v>203</v>
      </c>
      <c r="AJ54" s="25">
        <v>4</v>
      </c>
      <c r="AK54" s="25" t="s">
        <v>274</v>
      </c>
      <c r="AL54" s="25" t="s">
        <v>275</v>
      </c>
      <c r="AM54" s="33" t="s">
        <v>276</v>
      </c>
      <c r="AN54" s="12"/>
      <c r="AO54" s="29" t="s">
        <v>112</v>
      </c>
      <c r="AP54" s="29" t="s">
        <v>112</v>
      </c>
      <c r="AQ54" s="12"/>
      <c r="AR54" s="29" t="s">
        <v>381</v>
      </c>
      <c r="AS54" s="25" t="s">
        <v>382</v>
      </c>
      <c r="AT54" s="25"/>
      <c r="AU54" s="29" t="s">
        <v>383</v>
      </c>
      <c r="AV54" s="12"/>
      <c r="AW54" s="23" t="s">
        <v>384</v>
      </c>
      <c r="AX54" s="23" t="s">
        <v>385</v>
      </c>
      <c r="AY54" s="23" t="s">
        <v>386</v>
      </c>
      <c r="AZ54" s="23" t="s">
        <v>387</v>
      </c>
      <c r="BA54" s="12"/>
      <c r="BB54" s="25" t="s">
        <v>388</v>
      </c>
      <c r="BC54" s="25" t="s">
        <v>389</v>
      </c>
      <c r="BD54" s="25" t="s">
        <v>390</v>
      </c>
      <c r="BE54" s="25" t="s">
        <v>391</v>
      </c>
      <c r="BF54" s="12"/>
      <c r="BG54" s="25" t="s">
        <v>430</v>
      </c>
      <c r="BH54" s="25" t="s">
        <v>431</v>
      </c>
      <c r="BI54" s="29" t="s">
        <v>432</v>
      </c>
      <c r="BJ54" s="29">
        <v>2067040</v>
      </c>
      <c r="BK54" s="12"/>
      <c r="BL54" s="23" t="s">
        <v>116</v>
      </c>
      <c r="BM54" s="23" t="s">
        <v>117</v>
      </c>
      <c r="BN54" s="23" t="s">
        <v>118</v>
      </c>
      <c r="BO54" s="23" t="s">
        <v>119</v>
      </c>
      <c r="BP54" s="12"/>
      <c r="BQ54" s="23" t="s">
        <v>120</v>
      </c>
      <c r="BR54" s="23" t="s">
        <v>121</v>
      </c>
      <c r="BS54" s="23" t="s">
        <v>122</v>
      </c>
      <c r="BT54" s="23" t="s">
        <v>123</v>
      </c>
      <c r="BU54" s="12"/>
      <c r="BV54" s="29"/>
      <c r="BW54" s="25"/>
      <c r="BX54" s="29"/>
      <c r="BY54" s="29"/>
      <c r="BZ54" s="29"/>
      <c r="CA54" s="12"/>
      <c r="CB54" s="25"/>
      <c r="CC54" s="25"/>
      <c r="CD54" s="25"/>
      <c r="CE54" s="25"/>
      <c r="CF54" s="12"/>
      <c r="CG54" s="29" t="s">
        <v>396</v>
      </c>
      <c r="CH54" s="25" t="s">
        <v>397</v>
      </c>
      <c r="CI54" s="29" t="s">
        <v>398</v>
      </c>
      <c r="CJ54" s="29"/>
      <c r="CK54" s="29" t="s">
        <v>399</v>
      </c>
      <c r="CL54" s="25" t="s">
        <v>400</v>
      </c>
      <c r="CM54" s="12"/>
      <c r="CN54" s="23" t="s">
        <v>133</v>
      </c>
      <c r="CO54" s="23" t="s">
        <v>134</v>
      </c>
      <c r="CP54" s="23" t="s">
        <v>135</v>
      </c>
      <c r="CQ54" s="23" t="s">
        <v>136</v>
      </c>
    </row>
    <row r="55" spans="1:95" ht="14.5">
      <c r="A55" s="27" t="s">
        <v>310</v>
      </c>
      <c r="B55" s="27">
        <v>54850098200267</v>
      </c>
      <c r="C55" s="27" t="s">
        <v>311</v>
      </c>
      <c r="D55" s="27"/>
      <c r="E55" s="144" t="s">
        <v>2391</v>
      </c>
      <c r="F55" s="34">
        <v>40463</v>
      </c>
      <c r="G55" s="25"/>
      <c r="H55" s="22" t="s">
        <v>56</v>
      </c>
      <c r="I55" s="25" t="s">
        <v>2423</v>
      </c>
      <c r="J55" s="23" t="s">
        <v>433</v>
      </c>
      <c r="K55" s="12"/>
      <c r="L55" s="29" t="s">
        <v>112</v>
      </c>
      <c r="M55" s="29" t="s">
        <v>112</v>
      </c>
      <c r="N55" s="29" t="s">
        <v>112</v>
      </c>
      <c r="O55" s="29" t="s">
        <v>112</v>
      </c>
      <c r="P55" s="29" t="s">
        <v>112</v>
      </c>
      <c r="Q55" s="12"/>
      <c r="R55" s="12"/>
      <c r="S55" s="12"/>
      <c r="T55" s="13" t="s">
        <v>2436</v>
      </c>
      <c r="U55" s="25" t="s">
        <v>11</v>
      </c>
      <c r="V55" s="25" t="s">
        <v>12</v>
      </c>
      <c r="W55" s="23" t="s">
        <v>103</v>
      </c>
      <c r="X55" s="25" t="s">
        <v>13</v>
      </c>
      <c r="Y55" s="12"/>
      <c r="Z55" s="23" t="s">
        <v>104</v>
      </c>
      <c r="AA55" s="23" t="s">
        <v>105</v>
      </c>
      <c r="AB55" s="23" t="s">
        <v>106</v>
      </c>
      <c r="AC55" s="23" t="s">
        <v>107</v>
      </c>
      <c r="AD55" s="12"/>
      <c r="AE55" s="23" t="s">
        <v>305</v>
      </c>
      <c r="AF55" s="23" t="s">
        <v>268</v>
      </c>
      <c r="AG55" s="25"/>
      <c r="AH55" s="23" t="s">
        <v>306</v>
      </c>
      <c r="AI55" s="25" t="s">
        <v>307</v>
      </c>
      <c r="AJ55" s="25">
        <v>1</v>
      </c>
      <c r="AK55" s="25" t="s">
        <v>274</v>
      </c>
      <c r="AL55" s="25" t="s">
        <v>275</v>
      </c>
      <c r="AM55" s="33" t="s">
        <v>276</v>
      </c>
      <c r="AN55" s="12"/>
      <c r="AO55" s="29" t="s">
        <v>112</v>
      </c>
      <c r="AP55" s="29" t="s">
        <v>112</v>
      </c>
      <c r="AQ55" s="12"/>
      <c r="AR55" s="29" t="s">
        <v>381</v>
      </c>
      <c r="AS55" s="25" t="s">
        <v>382</v>
      </c>
      <c r="AT55" s="25"/>
      <c r="AU55" s="29" t="s">
        <v>383</v>
      </c>
      <c r="AV55" s="12"/>
      <c r="AW55" s="23" t="s">
        <v>384</v>
      </c>
      <c r="AX55" s="23" t="s">
        <v>385</v>
      </c>
      <c r="AY55" s="23" t="s">
        <v>386</v>
      </c>
      <c r="AZ55" s="23" t="s">
        <v>387</v>
      </c>
      <c r="BA55" s="12"/>
      <c r="BB55" s="25" t="s">
        <v>388</v>
      </c>
      <c r="BC55" s="25" t="s">
        <v>389</v>
      </c>
      <c r="BD55" s="25" t="s">
        <v>390</v>
      </c>
      <c r="BE55" s="25" t="s">
        <v>391</v>
      </c>
      <c r="BF55" s="12"/>
      <c r="BG55" s="25" t="s">
        <v>434</v>
      </c>
      <c r="BH55" s="25" t="s">
        <v>435</v>
      </c>
      <c r="BI55" s="25" t="s">
        <v>436</v>
      </c>
      <c r="BJ55" s="25" t="s">
        <v>437</v>
      </c>
      <c r="BK55" s="12"/>
      <c r="BL55" s="23" t="s">
        <v>116</v>
      </c>
      <c r="BM55" s="23" t="s">
        <v>117</v>
      </c>
      <c r="BN55" s="23" t="s">
        <v>118</v>
      </c>
      <c r="BO55" s="23" t="s">
        <v>119</v>
      </c>
      <c r="BP55" s="12"/>
      <c r="BQ55" s="23" t="s">
        <v>120</v>
      </c>
      <c r="BR55" s="23" t="s">
        <v>121</v>
      </c>
      <c r="BS55" s="23" t="s">
        <v>122</v>
      </c>
      <c r="BT55" s="23" t="s">
        <v>123</v>
      </c>
      <c r="BU55" s="12"/>
      <c r="BV55" s="29"/>
      <c r="BW55" s="25"/>
      <c r="BX55" s="29"/>
      <c r="BY55" s="29"/>
      <c r="BZ55" s="29"/>
      <c r="CA55" s="12"/>
      <c r="CB55" s="25"/>
      <c r="CC55" s="25"/>
      <c r="CD55" s="25"/>
      <c r="CE55" s="25"/>
      <c r="CF55" s="12"/>
      <c r="CG55" s="29" t="s">
        <v>396</v>
      </c>
      <c r="CH55" s="25" t="s">
        <v>397</v>
      </c>
      <c r="CI55" s="29" t="s">
        <v>398</v>
      </c>
      <c r="CJ55" s="29"/>
      <c r="CK55" s="29" t="s">
        <v>399</v>
      </c>
      <c r="CL55" s="25" t="s">
        <v>400</v>
      </c>
      <c r="CM55" s="12"/>
      <c r="CN55" s="23" t="s">
        <v>133</v>
      </c>
      <c r="CO55" s="23" t="s">
        <v>134</v>
      </c>
      <c r="CP55" s="23" t="s">
        <v>135</v>
      </c>
      <c r="CQ55" s="23" t="s">
        <v>136</v>
      </c>
    </row>
    <row r="56" spans="1:95" ht="14.5">
      <c r="A56" s="22" t="s">
        <v>310</v>
      </c>
      <c r="B56" s="22">
        <v>54850098200267</v>
      </c>
      <c r="C56" s="22" t="s">
        <v>311</v>
      </c>
      <c r="D56" s="22"/>
      <c r="E56" s="145" t="s">
        <v>2391</v>
      </c>
      <c r="F56" s="34">
        <v>40463</v>
      </c>
      <c r="G56" s="25"/>
      <c r="H56" s="22" t="s">
        <v>56</v>
      </c>
      <c r="I56" s="25" t="s">
        <v>2423</v>
      </c>
      <c r="J56" s="23" t="s">
        <v>438</v>
      </c>
      <c r="K56" s="12"/>
      <c r="L56" s="29" t="s">
        <v>112</v>
      </c>
      <c r="M56" s="29" t="s">
        <v>112</v>
      </c>
      <c r="N56" s="29" t="s">
        <v>112</v>
      </c>
      <c r="O56" s="29" t="s">
        <v>112</v>
      </c>
      <c r="P56" s="29" t="s">
        <v>112</v>
      </c>
      <c r="Q56" s="12"/>
      <c r="R56" s="12"/>
      <c r="S56" s="12"/>
      <c r="T56" s="13" t="s">
        <v>2436</v>
      </c>
      <c r="U56" s="25" t="s">
        <v>11</v>
      </c>
      <c r="V56" s="25" t="s">
        <v>12</v>
      </c>
      <c r="W56" s="23" t="s">
        <v>103</v>
      </c>
      <c r="X56" s="25" t="s">
        <v>13</v>
      </c>
      <c r="Y56" s="12"/>
      <c r="Z56" s="23" t="s">
        <v>104</v>
      </c>
      <c r="AA56" s="23" t="s">
        <v>105</v>
      </c>
      <c r="AB56" s="23" t="s">
        <v>106</v>
      </c>
      <c r="AC56" s="23" t="s">
        <v>107</v>
      </c>
      <c r="AD56" s="12"/>
      <c r="AE56" s="23" t="s">
        <v>305</v>
      </c>
      <c r="AF56" s="23" t="s">
        <v>268</v>
      </c>
      <c r="AG56" s="25"/>
      <c r="AH56" s="23" t="s">
        <v>306</v>
      </c>
      <c r="AI56" s="25" t="s">
        <v>307</v>
      </c>
      <c r="AJ56" s="25">
        <v>1</v>
      </c>
      <c r="AK56" s="25" t="s">
        <v>274</v>
      </c>
      <c r="AL56" s="25" t="s">
        <v>275</v>
      </c>
      <c r="AM56" s="33" t="s">
        <v>276</v>
      </c>
      <c r="AN56" s="12"/>
      <c r="AO56" s="29" t="s">
        <v>112</v>
      </c>
      <c r="AP56" s="29" t="s">
        <v>112</v>
      </c>
      <c r="AQ56" s="12"/>
      <c r="AR56" s="29" t="s">
        <v>381</v>
      </c>
      <c r="AS56" s="25" t="s">
        <v>382</v>
      </c>
      <c r="AT56" s="25"/>
      <c r="AU56" s="29" t="s">
        <v>383</v>
      </c>
      <c r="AV56" s="12"/>
      <c r="AW56" s="23" t="s">
        <v>384</v>
      </c>
      <c r="AX56" s="23" t="s">
        <v>385</v>
      </c>
      <c r="AY56" s="23" t="s">
        <v>386</v>
      </c>
      <c r="AZ56" s="23" t="s">
        <v>387</v>
      </c>
      <c r="BA56" s="12"/>
      <c r="BB56" s="25" t="s">
        <v>388</v>
      </c>
      <c r="BC56" s="25" t="s">
        <v>389</v>
      </c>
      <c r="BD56" s="25" t="s">
        <v>390</v>
      </c>
      <c r="BE56" s="25" t="s">
        <v>391</v>
      </c>
      <c r="BF56" s="12"/>
      <c r="BG56" s="25" t="s">
        <v>439</v>
      </c>
      <c r="BH56" s="25" t="s">
        <v>393</v>
      </c>
      <c r="BI56" s="25" t="s">
        <v>440</v>
      </c>
      <c r="BJ56" s="29">
        <v>272</v>
      </c>
      <c r="BK56" s="12"/>
      <c r="BL56" s="23" t="s">
        <v>116</v>
      </c>
      <c r="BM56" s="23" t="s">
        <v>117</v>
      </c>
      <c r="BN56" s="23" t="s">
        <v>118</v>
      </c>
      <c r="BO56" s="23" t="s">
        <v>119</v>
      </c>
      <c r="BP56" s="12"/>
      <c r="BQ56" s="23" t="s">
        <v>120</v>
      </c>
      <c r="BR56" s="23" t="s">
        <v>121</v>
      </c>
      <c r="BS56" s="23" t="s">
        <v>122</v>
      </c>
      <c r="BT56" s="23" t="s">
        <v>123</v>
      </c>
      <c r="BU56" s="12"/>
      <c r="BV56" s="29"/>
      <c r="BW56" s="25"/>
      <c r="BX56" s="29"/>
      <c r="BY56" s="29"/>
      <c r="BZ56" s="29"/>
      <c r="CA56" s="12"/>
      <c r="CB56" s="25"/>
      <c r="CC56" s="25"/>
      <c r="CD56" s="25"/>
      <c r="CE56" s="25"/>
      <c r="CF56" s="12"/>
      <c r="CG56" s="29" t="s">
        <v>396</v>
      </c>
      <c r="CH56" s="25" t="s">
        <v>397</v>
      </c>
      <c r="CI56" s="29" t="s">
        <v>398</v>
      </c>
      <c r="CJ56" s="29"/>
      <c r="CK56" s="29" t="s">
        <v>399</v>
      </c>
      <c r="CL56" s="25" t="s">
        <v>400</v>
      </c>
      <c r="CM56" s="12"/>
      <c r="CN56" s="23" t="s">
        <v>133</v>
      </c>
      <c r="CO56" s="23" t="s">
        <v>134</v>
      </c>
      <c r="CP56" s="23" t="s">
        <v>135</v>
      </c>
      <c r="CQ56" s="23" t="s">
        <v>136</v>
      </c>
    </row>
    <row r="57" spans="1:95" ht="14.5">
      <c r="A57" s="27" t="s">
        <v>310</v>
      </c>
      <c r="B57" s="27">
        <v>54850098200267</v>
      </c>
      <c r="C57" s="27" t="s">
        <v>311</v>
      </c>
      <c r="D57" s="27"/>
      <c r="E57" s="144" t="s">
        <v>2391</v>
      </c>
      <c r="F57" s="34">
        <v>40463</v>
      </c>
      <c r="G57" s="25"/>
      <c r="H57" s="22" t="s">
        <v>56</v>
      </c>
      <c r="I57" s="25" t="s">
        <v>2423</v>
      </c>
      <c r="J57" s="23" t="s">
        <v>441</v>
      </c>
      <c r="K57" s="12"/>
      <c r="L57" s="29" t="s">
        <v>112</v>
      </c>
      <c r="M57" s="29" t="s">
        <v>112</v>
      </c>
      <c r="N57" s="29" t="s">
        <v>112</v>
      </c>
      <c r="O57" s="29" t="s">
        <v>112</v>
      </c>
      <c r="P57" s="29" t="s">
        <v>112</v>
      </c>
      <c r="Q57" s="12"/>
      <c r="R57" s="12"/>
      <c r="S57" s="12"/>
      <c r="T57" s="13" t="s">
        <v>2436</v>
      </c>
      <c r="U57" s="25" t="s">
        <v>11</v>
      </c>
      <c r="V57" s="25" t="s">
        <v>12</v>
      </c>
      <c r="W57" s="23" t="s">
        <v>103</v>
      </c>
      <c r="X57" s="25" t="s">
        <v>13</v>
      </c>
      <c r="Y57" s="12"/>
      <c r="Z57" s="23" t="s">
        <v>104</v>
      </c>
      <c r="AA57" s="23" t="s">
        <v>105</v>
      </c>
      <c r="AB57" s="23" t="s">
        <v>106</v>
      </c>
      <c r="AC57" s="23" t="s">
        <v>107</v>
      </c>
      <c r="AD57" s="12"/>
      <c r="AE57" s="23" t="s">
        <v>305</v>
      </c>
      <c r="AF57" s="23" t="s">
        <v>268</v>
      </c>
      <c r="AG57" s="25"/>
      <c r="AH57" s="23" t="s">
        <v>306</v>
      </c>
      <c r="AI57" s="25" t="s">
        <v>307</v>
      </c>
      <c r="AJ57" s="25">
        <v>1</v>
      </c>
      <c r="AK57" s="25" t="s">
        <v>274</v>
      </c>
      <c r="AL57" s="25" t="s">
        <v>275</v>
      </c>
      <c r="AM57" s="33" t="s">
        <v>276</v>
      </c>
      <c r="AN57" s="12"/>
      <c r="AO57" s="29" t="s">
        <v>112</v>
      </c>
      <c r="AP57" s="29" t="s">
        <v>112</v>
      </c>
      <c r="AQ57" s="12"/>
      <c r="AR57" s="29" t="s">
        <v>381</v>
      </c>
      <c r="AS57" s="25" t="s">
        <v>382</v>
      </c>
      <c r="AT57" s="25"/>
      <c r="AU57" s="29" t="s">
        <v>383</v>
      </c>
      <c r="AV57" s="12"/>
      <c r="AW57" s="23" t="s">
        <v>384</v>
      </c>
      <c r="AX57" s="23" t="s">
        <v>385</v>
      </c>
      <c r="AY57" s="23" t="s">
        <v>386</v>
      </c>
      <c r="AZ57" s="23" t="s">
        <v>387</v>
      </c>
      <c r="BA57" s="12"/>
      <c r="BB57" s="25" t="s">
        <v>388</v>
      </c>
      <c r="BC57" s="25" t="s">
        <v>389</v>
      </c>
      <c r="BD57" s="25" t="s">
        <v>390</v>
      </c>
      <c r="BE57" s="25" t="s">
        <v>391</v>
      </c>
      <c r="BF57" s="12"/>
      <c r="BG57" s="25" t="s">
        <v>442</v>
      </c>
      <c r="BH57" s="25" t="s">
        <v>443</v>
      </c>
      <c r="BI57" s="25" t="s">
        <v>444</v>
      </c>
      <c r="BJ57" s="25" t="s">
        <v>445</v>
      </c>
      <c r="BK57" s="12"/>
      <c r="BL57" s="23" t="s">
        <v>116</v>
      </c>
      <c r="BM57" s="23" t="s">
        <v>117</v>
      </c>
      <c r="BN57" s="23" t="s">
        <v>118</v>
      </c>
      <c r="BO57" s="23" t="s">
        <v>119</v>
      </c>
      <c r="BP57" s="12"/>
      <c r="BQ57" s="23" t="s">
        <v>120</v>
      </c>
      <c r="BR57" s="23" t="s">
        <v>121</v>
      </c>
      <c r="BS57" s="23" t="s">
        <v>122</v>
      </c>
      <c r="BT57" s="23" t="s">
        <v>123</v>
      </c>
      <c r="BU57" s="12"/>
      <c r="BV57" s="29"/>
      <c r="BW57" s="25"/>
      <c r="BX57" s="29"/>
      <c r="BY57" s="29"/>
      <c r="BZ57" s="29"/>
      <c r="CA57" s="12"/>
      <c r="CB57" s="25"/>
      <c r="CC57" s="25"/>
      <c r="CD57" s="25"/>
      <c r="CE57" s="25"/>
      <c r="CF57" s="12"/>
      <c r="CG57" s="29" t="s">
        <v>396</v>
      </c>
      <c r="CH57" s="25" t="s">
        <v>397</v>
      </c>
      <c r="CI57" s="29" t="s">
        <v>398</v>
      </c>
      <c r="CJ57" s="29"/>
      <c r="CK57" s="29" t="s">
        <v>399</v>
      </c>
      <c r="CL57" s="25" t="s">
        <v>400</v>
      </c>
      <c r="CM57" s="12"/>
      <c r="CN57" s="23" t="s">
        <v>133</v>
      </c>
      <c r="CO57" s="23" t="s">
        <v>134</v>
      </c>
      <c r="CP57" s="23" t="s">
        <v>135</v>
      </c>
      <c r="CQ57" s="23" t="s">
        <v>136</v>
      </c>
    </row>
    <row r="58" spans="1:95" ht="14.5">
      <c r="A58" s="22" t="s">
        <v>310</v>
      </c>
      <c r="B58" s="22">
        <v>54850098200267</v>
      </c>
      <c r="C58" s="22" t="s">
        <v>311</v>
      </c>
      <c r="D58" s="22"/>
      <c r="E58" s="145" t="s">
        <v>2391</v>
      </c>
      <c r="F58" s="34">
        <v>40463</v>
      </c>
      <c r="G58" s="25"/>
      <c r="H58" s="22" t="s">
        <v>56</v>
      </c>
      <c r="I58" s="25" t="s">
        <v>2423</v>
      </c>
      <c r="J58" s="23" t="s">
        <v>446</v>
      </c>
      <c r="K58" s="12"/>
      <c r="L58" s="29" t="s">
        <v>112</v>
      </c>
      <c r="M58" s="29" t="s">
        <v>112</v>
      </c>
      <c r="N58" s="29" t="s">
        <v>112</v>
      </c>
      <c r="O58" s="29" t="s">
        <v>112</v>
      </c>
      <c r="P58" s="29" t="s">
        <v>112</v>
      </c>
      <c r="Q58" s="12"/>
      <c r="R58" s="12"/>
      <c r="S58" s="12"/>
      <c r="T58" s="13" t="s">
        <v>2436</v>
      </c>
      <c r="U58" s="25" t="s">
        <v>11</v>
      </c>
      <c r="V58" s="25" t="s">
        <v>12</v>
      </c>
      <c r="W58" s="23" t="s">
        <v>103</v>
      </c>
      <c r="X58" s="25" t="s">
        <v>13</v>
      </c>
      <c r="Y58" s="12"/>
      <c r="Z58" s="23" t="s">
        <v>104</v>
      </c>
      <c r="AA58" s="23" t="s">
        <v>105</v>
      </c>
      <c r="AB58" s="23" t="s">
        <v>106</v>
      </c>
      <c r="AC58" s="23" t="s">
        <v>107</v>
      </c>
      <c r="AD58" s="12"/>
      <c r="AE58" s="23" t="s">
        <v>305</v>
      </c>
      <c r="AF58" s="23" t="s">
        <v>268</v>
      </c>
      <c r="AG58" s="25"/>
      <c r="AH58" s="23" t="s">
        <v>306</v>
      </c>
      <c r="AI58" s="25" t="s">
        <v>307</v>
      </c>
      <c r="AJ58" s="25">
        <v>1</v>
      </c>
      <c r="AK58" s="25" t="s">
        <v>274</v>
      </c>
      <c r="AL58" s="25" t="s">
        <v>275</v>
      </c>
      <c r="AM58" s="33" t="s">
        <v>276</v>
      </c>
      <c r="AN58" s="12"/>
      <c r="AO58" s="29" t="s">
        <v>112</v>
      </c>
      <c r="AP58" s="29" t="s">
        <v>112</v>
      </c>
      <c r="AQ58" s="12"/>
      <c r="AR58" s="29" t="s">
        <v>381</v>
      </c>
      <c r="AS58" s="25" t="s">
        <v>382</v>
      </c>
      <c r="AT58" s="25"/>
      <c r="AU58" s="29" t="s">
        <v>383</v>
      </c>
      <c r="AV58" s="12"/>
      <c r="AW58" s="23" t="s">
        <v>384</v>
      </c>
      <c r="AX58" s="23" t="s">
        <v>385</v>
      </c>
      <c r="AY58" s="23" t="s">
        <v>386</v>
      </c>
      <c r="AZ58" s="23" t="s">
        <v>387</v>
      </c>
      <c r="BA58" s="12"/>
      <c r="BB58" s="25" t="s">
        <v>388</v>
      </c>
      <c r="BC58" s="25" t="s">
        <v>389</v>
      </c>
      <c r="BD58" s="25" t="s">
        <v>390</v>
      </c>
      <c r="BE58" s="25" t="s">
        <v>391</v>
      </c>
      <c r="BF58" s="12"/>
      <c r="BG58" s="25" t="s">
        <v>447</v>
      </c>
      <c r="BH58" s="25" t="s">
        <v>448</v>
      </c>
      <c r="BI58" s="25" t="s">
        <v>449</v>
      </c>
      <c r="BJ58" s="25" t="s">
        <v>450</v>
      </c>
      <c r="BK58" s="12"/>
      <c r="BL58" s="23" t="s">
        <v>116</v>
      </c>
      <c r="BM58" s="23" t="s">
        <v>117</v>
      </c>
      <c r="BN58" s="23" t="s">
        <v>118</v>
      </c>
      <c r="BO58" s="23" t="s">
        <v>119</v>
      </c>
      <c r="BP58" s="12"/>
      <c r="BQ58" s="23" t="s">
        <v>120</v>
      </c>
      <c r="BR58" s="23" t="s">
        <v>121</v>
      </c>
      <c r="BS58" s="23" t="s">
        <v>122</v>
      </c>
      <c r="BT58" s="23" t="s">
        <v>123</v>
      </c>
      <c r="BU58" s="12"/>
      <c r="BV58" s="29"/>
      <c r="BW58" s="25"/>
      <c r="BX58" s="29"/>
      <c r="BY58" s="29"/>
      <c r="BZ58" s="29"/>
      <c r="CA58" s="12"/>
      <c r="CB58" s="25"/>
      <c r="CC58" s="25"/>
      <c r="CD58" s="25"/>
      <c r="CE58" s="25"/>
      <c r="CF58" s="12"/>
      <c r="CG58" s="29" t="s">
        <v>396</v>
      </c>
      <c r="CH58" s="25" t="s">
        <v>397</v>
      </c>
      <c r="CI58" s="29" t="s">
        <v>398</v>
      </c>
      <c r="CJ58" s="29"/>
      <c r="CK58" s="29" t="s">
        <v>399</v>
      </c>
      <c r="CL58" s="25" t="s">
        <v>400</v>
      </c>
      <c r="CM58" s="12"/>
      <c r="CN58" s="23" t="s">
        <v>133</v>
      </c>
      <c r="CO58" s="23" t="s">
        <v>134</v>
      </c>
      <c r="CP58" s="23" t="s">
        <v>135</v>
      </c>
      <c r="CQ58" s="23" t="s">
        <v>136</v>
      </c>
    </row>
    <row r="59" spans="1:95" ht="14.5">
      <c r="A59" s="27" t="s">
        <v>310</v>
      </c>
      <c r="B59" s="27">
        <v>54850098200267</v>
      </c>
      <c r="C59" s="27" t="s">
        <v>311</v>
      </c>
      <c r="D59" s="27"/>
      <c r="E59" s="144" t="s">
        <v>2391</v>
      </c>
      <c r="F59" s="34">
        <v>40463</v>
      </c>
      <c r="G59" s="25"/>
      <c r="H59" s="22" t="s">
        <v>56</v>
      </c>
      <c r="I59" s="25" t="s">
        <v>2423</v>
      </c>
      <c r="J59" s="23" t="s">
        <v>451</v>
      </c>
      <c r="K59" s="12"/>
      <c r="L59" s="29" t="s">
        <v>112</v>
      </c>
      <c r="M59" s="29" t="s">
        <v>112</v>
      </c>
      <c r="N59" s="29" t="s">
        <v>112</v>
      </c>
      <c r="O59" s="29" t="s">
        <v>112</v>
      </c>
      <c r="P59" s="29" t="s">
        <v>112</v>
      </c>
      <c r="Q59" s="12"/>
      <c r="R59" s="12"/>
      <c r="S59" s="12"/>
      <c r="T59" s="13" t="s">
        <v>2436</v>
      </c>
      <c r="U59" s="25" t="s">
        <v>11</v>
      </c>
      <c r="V59" s="25" t="s">
        <v>12</v>
      </c>
      <c r="W59" s="23" t="s">
        <v>103</v>
      </c>
      <c r="X59" s="25" t="s">
        <v>13</v>
      </c>
      <c r="Y59" s="12"/>
      <c r="Z59" s="23" t="s">
        <v>104</v>
      </c>
      <c r="AA59" s="23" t="s">
        <v>105</v>
      </c>
      <c r="AB59" s="23" t="s">
        <v>106</v>
      </c>
      <c r="AC59" s="23" t="s">
        <v>107</v>
      </c>
      <c r="AD59" s="12"/>
      <c r="AE59" s="23" t="s">
        <v>305</v>
      </c>
      <c r="AF59" s="23" t="s">
        <v>268</v>
      </c>
      <c r="AG59" s="25"/>
      <c r="AH59" s="23" t="s">
        <v>306</v>
      </c>
      <c r="AI59" s="25" t="s">
        <v>307</v>
      </c>
      <c r="AJ59" s="25">
        <v>1</v>
      </c>
      <c r="AK59" s="25" t="s">
        <v>274</v>
      </c>
      <c r="AL59" s="25" t="s">
        <v>275</v>
      </c>
      <c r="AM59" s="33" t="s">
        <v>276</v>
      </c>
      <c r="AN59" s="12"/>
      <c r="AO59" s="29" t="s">
        <v>112</v>
      </c>
      <c r="AP59" s="29" t="s">
        <v>112</v>
      </c>
      <c r="AQ59" s="12"/>
      <c r="AR59" s="29" t="s">
        <v>381</v>
      </c>
      <c r="AS59" s="25" t="s">
        <v>382</v>
      </c>
      <c r="AT59" s="25"/>
      <c r="AU59" s="29" t="s">
        <v>383</v>
      </c>
      <c r="AV59" s="12"/>
      <c r="AW59" s="23" t="s">
        <v>384</v>
      </c>
      <c r="AX59" s="23" t="s">
        <v>385</v>
      </c>
      <c r="AY59" s="23" t="s">
        <v>386</v>
      </c>
      <c r="AZ59" s="23" t="s">
        <v>387</v>
      </c>
      <c r="BA59" s="12"/>
      <c r="BB59" s="25" t="s">
        <v>388</v>
      </c>
      <c r="BC59" s="25" t="s">
        <v>389</v>
      </c>
      <c r="BD59" s="25" t="s">
        <v>390</v>
      </c>
      <c r="BE59" s="25" t="s">
        <v>391</v>
      </c>
      <c r="BF59" s="12"/>
      <c r="BG59" s="25" t="s">
        <v>392</v>
      </c>
      <c r="BH59" s="25" t="s">
        <v>393</v>
      </c>
      <c r="BI59" s="25" t="s">
        <v>452</v>
      </c>
      <c r="BJ59" s="25" t="s">
        <v>395</v>
      </c>
      <c r="BK59" s="12"/>
      <c r="BL59" s="23" t="s">
        <v>116</v>
      </c>
      <c r="BM59" s="23" t="s">
        <v>117</v>
      </c>
      <c r="BN59" s="23" t="s">
        <v>118</v>
      </c>
      <c r="BO59" s="23" t="s">
        <v>119</v>
      </c>
      <c r="BP59" s="12"/>
      <c r="BQ59" s="23" t="s">
        <v>120</v>
      </c>
      <c r="BR59" s="23" t="s">
        <v>121</v>
      </c>
      <c r="BS59" s="23" t="s">
        <v>122</v>
      </c>
      <c r="BT59" s="23" t="s">
        <v>123</v>
      </c>
      <c r="BU59" s="12"/>
      <c r="BV59" s="29"/>
      <c r="BW59" s="25"/>
      <c r="BX59" s="29"/>
      <c r="BY59" s="29"/>
      <c r="BZ59" s="29"/>
      <c r="CA59" s="12"/>
      <c r="CB59" s="25"/>
      <c r="CC59" s="25"/>
      <c r="CD59" s="25"/>
      <c r="CE59" s="25"/>
      <c r="CF59" s="12"/>
      <c r="CG59" s="29" t="s">
        <v>396</v>
      </c>
      <c r="CH59" s="25" t="s">
        <v>397</v>
      </c>
      <c r="CI59" s="29" t="s">
        <v>398</v>
      </c>
      <c r="CJ59" s="29"/>
      <c r="CK59" s="29" t="s">
        <v>399</v>
      </c>
      <c r="CL59" s="25" t="s">
        <v>400</v>
      </c>
      <c r="CM59" s="12"/>
      <c r="CN59" s="23" t="s">
        <v>133</v>
      </c>
      <c r="CO59" s="23" t="s">
        <v>134</v>
      </c>
      <c r="CP59" s="23" t="s">
        <v>135</v>
      </c>
      <c r="CQ59" s="23" t="s">
        <v>136</v>
      </c>
    </row>
    <row r="60" spans="1:95" ht="14.5">
      <c r="A60" s="22" t="s">
        <v>310</v>
      </c>
      <c r="B60" s="22">
        <v>54850098200267</v>
      </c>
      <c r="C60" s="22" t="s">
        <v>311</v>
      </c>
      <c r="D60" s="22"/>
      <c r="E60" s="145" t="s">
        <v>2391</v>
      </c>
      <c r="F60" s="34">
        <v>40463</v>
      </c>
      <c r="G60" s="25"/>
      <c r="H60" s="22" t="s">
        <v>56</v>
      </c>
      <c r="I60" s="25" t="s">
        <v>2423</v>
      </c>
      <c r="J60" s="23" t="s">
        <v>453</v>
      </c>
      <c r="K60" s="12"/>
      <c r="L60" s="29" t="s">
        <v>112</v>
      </c>
      <c r="M60" s="29" t="s">
        <v>112</v>
      </c>
      <c r="N60" s="29" t="s">
        <v>112</v>
      </c>
      <c r="O60" s="29" t="s">
        <v>112</v>
      </c>
      <c r="P60" s="29" t="s">
        <v>112</v>
      </c>
      <c r="Q60" s="12"/>
      <c r="R60" s="12"/>
      <c r="S60" s="12"/>
      <c r="T60" s="13" t="s">
        <v>2436</v>
      </c>
      <c r="U60" s="25" t="s">
        <v>11</v>
      </c>
      <c r="V60" s="25" t="s">
        <v>12</v>
      </c>
      <c r="W60" s="23" t="s">
        <v>103</v>
      </c>
      <c r="X60" s="25" t="s">
        <v>13</v>
      </c>
      <c r="Y60" s="12"/>
      <c r="Z60" s="23" t="s">
        <v>104</v>
      </c>
      <c r="AA60" s="23" t="s">
        <v>105</v>
      </c>
      <c r="AB60" s="23" t="s">
        <v>106</v>
      </c>
      <c r="AC60" s="23" t="s">
        <v>107</v>
      </c>
      <c r="AD60" s="12"/>
      <c r="AE60" s="23" t="s">
        <v>305</v>
      </c>
      <c r="AF60" s="23" t="s">
        <v>268</v>
      </c>
      <c r="AG60" s="25"/>
      <c r="AH60" s="23" t="s">
        <v>306</v>
      </c>
      <c r="AI60" s="25" t="s">
        <v>307</v>
      </c>
      <c r="AJ60" s="25">
        <v>1</v>
      </c>
      <c r="AK60" s="25" t="s">
        <v>274</v>
      </c>
      <c r="AL60" s="25" t="s">
        <v>275</v>
      </c>
      <c r="AM60" s="33" t="s">
        <v>276</v>
      </c>
      <c r="AN60" s="12"/>
      <c r="AO60" s="29" t="s">
        <v>112</v>
      </c>
      <c r="AP60" s="29" t="s">
        <v>112</v>
      </c>
      <c r="AQ60" s="12"/>
      <c r="AR60" s="29" t="s">
        <v>381</v>
      </c>
      <c r="AS60" s="25" t="s">
        <v>382</v>
      </c>
      <c r="AT60" s="25"/>
      <c r="AU60" s="29" t="s">
        <v>383</v>
      </c>
      <c r="AV60" s="12"/>
      <c r="AW60" s="23" t="s">
        <v>384</v>
      </c>
      <c r="AX60" s="23" t="s">
        <v>385</v>
      </c>
      <c r="AY60" s="23" t="s">
        <v>386</v>
      </c>
      <c r="AZ60" s="23" t="s">
        <v>387</v>
      </c>
      <c r="BA60" s="12"/>
      <c r="BB60" s="25" t="s">
        <v>388</v>
      </c>
      <c r="BC60" s="25" t="s">
        <v>389</v>
      </c>
      <c r="BD60" s="25" t="s">
        <v>390</v>
      </c>
      <c r="BE60" s="25" t="s">
        <v>391</v>
      </c>
      <c r="BF60" s="12"/>
      <c r="BG60" s="25" t="s">
        <v>411</v>
      </c>
      <c r="BH60" s="25" t="s">
        <v>454</v>
      </c>
      <c r="BI60" s="25" t="s">
        <v>412</v>
      </c>
      <c r="BJ60" s="25">
        <v>2367063</v>
      </c>
      <c r="BK60" s="12"/>
      <c r="BL60" s="23" t="s">
        <v>116</v>
      </c>
      <c r="BM60" s="23" t="s">
        <v>117</v>
      </c>
      <c r="BN60" s="23" t="s">
        <v>118</v>
      </c>
      <c r="BO60" s="23" t="s">
        <v>119</v>
      </c>
      <c r="BP60" s="12"/>
      <c r="BQ60" s="23" t="s">
        <v>120</v>
      </c>
      <c r="BR60" s="23" t="s">
        <v>121</v>
      </c>
      <c r="BS60" s="23" t="s">
        <v>122</v>
      </c>
      <c r="BT60" s="23" t="s">
        <v>123</v>
      </c>
      <c r="BU60" s="12"/>
      <c r="BV60" s="29"/>
      <c r="BW60" s="25"/>
      <c r="BX60" s="29"/>
      <c r="BY60" s="29"/>
      <c r="BZ60" s="29"/>
      <c r="CA60" s="12"/>
      <c r="CB60" s="25"/>
      <c r="CC60" s="25"/>
      <c r="CD60" s="25"/>
      <c r="CE60" s="25"/>
      <c r="CF60" s="12"/>
      <c r="CG60" s="29" t="s">
        <v>396</v>
      </c>
      <c r="CH60" s="25" t="s">
        <v>397</v>
      </c>
      <c r="CI60" s="29" t="s">
        <v>398</v>
      </c>
      <c r="CJ60" s="29"/>
      <c r="CK60" s="29" t="s">
        <v>399</v>
      </c>
      <c r="CL60" s="25" t="s">
        <v>400</v>
      </c>
      <c r="CM60" s="12"/>
      <c r="CN60" s="23" t="s">
        <v>133</v>
      </c>
      <c r="CO60" s="23" t="s">
        <v>134</v>
      </c>
      <c r="CP60" s="23" t="s">
        <v>135</v>
      </c>
      <c r="CQ60" s="23" t="s">
        <v>136</v>
      </c>
    </row>
    <row r="61" spans="1:95" ht="14.5">
      <c r="A61" s="27" t="s">
        <v>310</v>
      </c>
      <c r="B61" s="27">
        <v>54850098200267</v>
      </c>
      <c r="C61" s="27" t="s">
        <v>311</v>
      </c>
      <c r="D61" s="27"/>
      <c r="E61" s="144" t="s">
        <v>2391</v>
      </c>
      <c r="F61" s="34">
        <v>40463</v>
      </c>
      <c r="G61" s="25"/>
      <c r="H61" s="22" t="s">
        <v>56</v>
      </c>
      <c r="I61" s="25" t="s">
        <v>2423</v>
      </c>
      <c r="J61" s="23" t="s">
        <v>455</v>
      </c>
      <c r="K61" s="12"/>
      <c r="L61" s="29" t="s">
        <v>112</v>
      </c>
      <c r="M61" s="29" t="s">
        <v>112</v>
      </c>
      <c r="N61" s="29" t="s">
        <v>112</v>
      </c>
      <c r="O61" s="29" t="s">
        <v>112</v>
      </c>
      <c r="P61" s="29" t="s">
        <v>112</v>
      </c>
      <c r="Q61" s="12"/>
      <c r="R61" s="12"/>
      <c r="S61" s="12"/>
      <c r="T61" s="13" t="s">
        <v>2436</v>
      </c>
      <c r="U61" s="25" t="s">
        <v>11</v>
      </c>
      <c r="V61" s="25" t="s">
        <v>12</v>
      </c>
      <c r="W61" s="23" t="s">
        <v>103</v>
      </c>
      <c r="X61" s="25" t="s">
        <v>13</v>
      </c>
      <c r="Y61" s="12"/>
      <c r="Z61" s="23" t="s">
        <v>104</v>
      </c>
      <c r="AA61" s="23" t="s">
        <v>105</v>
      </c>
      <c r="AB61" s="23" t="s">
        <v>106</v>
      </c>
      <c r="AC61" s="23" t="s">
        <v>107</v>
      </c>
      <c r="AD61" s="12"/>
      <c r="AE61" s="23" t="s">
        <v>305</v>
      </c>
      <c r="AF61" s="23" t="s">
        <v>268</v>
      </c>
      <c r="AG61" s="25"/>
      <c r="AH61" s="23" t="s">
        <v>306</v>
      </c>
      <c r="AI61" s="25" t="s">
        <v>307</v>
      </c>
      <c r="AJ61" s="25">
        <v>1</v>
      </c>
      <c r="AK61" s="25" t="s">
        <v>274</v>
      </c>
      <c r="AL61" s="25" t="s">
        <v>275</v>
      </c>
      <c r="AM61" s="33" t="s">
        <v>276</v>
      </c>
      <c r="AN61" s="12"/>
      <c r="AO61" s="29" t="s">
        <v>112</v>
      </c>
      <c r="AP61" s="29" t="s">
        <v>112</v>
      </c>
      <c r="AQ61" s="12"/>
      <c r="AR61" s="29" t="s">
        <v>381</v>
      </c>
      <c r="AS61" s="25" t="s">
        <v>382</v>
      </c>
      <c r="AT61" s="25"/>
      <c r="AU61" s="29" t="s">
        <v>383</v>
      </c>
      <c r="AV61" s="12"/>
      <c r="AW61" s="23" t="s">
        <v>384</v>
      </c>
      <c r="AX61" s="23" t="s">
        <v>385</v>
      </c>
      <c r="AY61" s="23" t="s">
        <v>386</v>
      </c>
      <c r="AZ61" s="23" t="s">
        <v>387</v>
      </c>
      <c r="BA61" s="12"/>
      <c r="BB61" s="25" t="s">
        <v>388</v>
      </c>
      <c r="BC61" s="25" t="s">
        <v>389</v>
      </c>
      <c r="BD61" s="25" t="s">
        <v>390</v>
      </c>
      <c r="BE61" s="25" t="s">
        <v>391</v>
      </c>
      <c r="BF61" s="12"/>
      <c r="BG61" s="25" t="s">
        <v>392</v>
      </c>
      <c r="BH61" s="25" t="s">
        <v>393</v>
      </c>
      <c r="BI61" s="25" t="s">
        <v>456</v>
      </c>
      <c r="BJ61" s="25" t="s">
        <v>395</v>
      </c>
      <c r="BK61" s="12"/>
      <c r="BL61" s="23" t="s">
        <v>116</v>
      </c>
      <c r="BM61" s="23" t="s">
        <v>117</v>
      </c>
      <c r="BN61" s="23" t="s">
        <v>118</v>
      </c>
      <c r="BO61" s="23" t="s">
        <v>119</v>
      </c>
      <c r="BP61" s="12"/>
      <c r="BQ61" s="23" t="s">
        <v>120</v>
      </c>
      <c r="BR61" s="23" t="s">
        <v>121</v>
      </c>
      <c r="BS61" s="23" t="s">
        <v>122</v>
      </c>
      <c r="BT61" s="23" t="s">
        <v>123</v>
      </c>
      <c r="BU61" s="12"/>
      <c r="BV61" s="29"/>
      <c r="BW61" s="25"/>
      <c r="BX61" s="29"/>
      <c r="BY61" s="29"/>
      <c r="BZ61" s="29"/>
      <c r="CA61" s="12"/>
      <c r="CB61" s="25"/>
      <c r="CC61" s="25"/>
      <c r="CD61" s="25"/>
      <c r="CE61" s="25"/>
      <c r="CF61" s="12"/>
      <c r="CG61" s="29" t="s">
        <v>396</v>
      </c>
      <c r="CH61" s="25" t="s">
        <v>397</v>
      </c>
      <c r="CI61" s="29" t="s">
        <v>398</v>
      </c>
      <c r="CJ61" s="29"/>
      <c r="CK61" s="29" t="s">
        <v>399</v>
      </c>
      <c r="CL61" s="25" t="s">
        <v>400</v>
      </c>
      <c r="CM61" s="12"/>
      <c r="CN61" s="23" t="s">
        <v>133</v>
      </c>
      <c r="CO61" s="23" t="s">
        <v>134</v>
      </c>
      <c r="CP61" s="23" t="s">
        <v>135</v>
      </c>
      <c r="CQ61" s="23" t="s">
        <v>136</v>
      </c>
    </row>
    <row r="62" spans="1:95" ht="14.5">
      <c r="A62" s="22" t="s">
        <v>310</v>
      </c>
      <c r="B62" s="22">
        <v>54850098200267</v>
      </c>
      <c r="C62" s="22" t="s">
        <v>311</v>
      </c>
      <c r="D62" s="22"/>
      <c r="E62" s="22" t="s">
        <v>2422</v>
      </c>
      <c r="F62" s="22" t="s">
        <v>212</v>
      </c>
      <c r="G62" s="23"/>
      <c r="H62" s="22" t="s">
        <v>56</v>
      </c>
      <c r="I62" s="23" t="s">
        <v>2421</v>
      </c>
      <c r="J62" s="23" t="s">
        <v>458</v>
      </c>
      <c r="K62" s="13"/>
      <c r="L62" s="23" t="s">
        <v>244</v>
      </c>
      <c r="M62" s="24">
        <v>1776</v>
      </c>
      <c r="N62" s="23" t="s">
        <v>101</v>
      </c>
      <c r="O62" s="23">
        <v>7</v>
      </c>
      <c r="P62" s="23" t="s">
        <v>102</v>
      </c>
      <c r="Q62" s="13"/>
      <c r="R62" s="13"/>
      <c r="S62" s="13"/>
      <c r="T62" s="13" t="s">
        <v>2436</v>
      </c>
      <c r="U62" s="23" t="s">
        <v>11</v>
      </c>
      <c r="V62" s="23" t="s">
        <v>12</v>
      </c>
      <c r="W62" s="23" t="s">
        <v>103</v>
      </c>
      <c r="X62" s="23" t="s">
        <v>13</v>
      </c>
      <c r="Y62" s="13"/>
      <c r="Z62" s="23" t="s">
        <v>104</v>
      </c>
      <c r="AA62" s="23" t="s">
        <v>105</v>
      </c>
      <c r="AB62" s="23" t="s">
        <v>106</v>
      </c>
      <c r="AC62" s="23" t="s">
        <v>107</v>
      </c>
      <c r="AD62" s="13"/>
      <c r="AE62" s="23" t="s">
        <v>305</v>
      </c>
      <c r="AF62" s="23" t="s">
        <v>268</v>
      </c>
      <c r="AG62" s="23"/>
      <c r="AH62" s="23" t="s">
        <v>306</v>
      </c>
      <c r="AI62" s="25" t="s">
        <v>307</v>
      </c>
      <c r="AJ62" s="25">
        <v>1</v>
      </c>
      <c r="AK62" s="25" t="s">
        <v>274</v>
      </c>
      <c r="AL62" s="25" t="s">
        <v>275</v>
      </c>
      <c r="AM62" s="33" t="s">
        <v>276</v>
      </c>
      <c r="AN62" s="13"/>
      <c r="AO62" s="26" t="s">
        <v>112</v>
      </c>
      <c r="AP62" s="26" t="s">
        <v>112</v>
      </c>
      <c r="AQ62" s="13"/>
      <c r="AR62" s="26"/>
      <c r="AS62" s="26"/>
      <c r="AT62" s="26"/>
      <c r="AU62" s="26"/>
      <c r="AV62" s="13"/>
      <c r="AW62" s="23"/>
      <c r="AX62" s="23"/>
      <c r="AY62" s="23"/>
      <c r="AZ62" s="23"/>
      <c r="BA62" s="13"/>
      <c r="BB62" s="23"/>
      <c r="BC62" s="23"/>
      <c r="BD62" s="23"/>
      <c r="BE62" s="23"/>
      <c r="BF62" s="13"/>
      <c r="BG62" s="26" t="s">
        <v>459</v>
      </c>
      <c r="BH62" s="23" t="s">
        <v>460</v>
      </c>
      <c r="BI62" s="26" t="s">
        <v>461</v>
      </c>
      <c r="BJ62" s="26" t="s">
        <v>462</v>
      </c>
      <c r="BK62" s="13"/>
      <c r="BL62" s="23" t="s">
        <v>116</v>
      </c>
      <c r="BM62" s="23" t="s">
        <v>117</v>
      </c>
      <c r="BN62" s="23" t="s">
        <v>118</v>
      </c>
      <c r="BO62" s="23" t="s">
        <v>119</v>
      </c>
      <c r="BP62" s="13"/>
      <c r="BQ62" s="23" t="s">
        <v>120</v>
      </c>
      <c r="BR62" s="23" t="s">
        <v>121</v>
      </c>
      <c r="BS62" s="23" t="s">
        <v>122</v>
      </c>
      <c r="BT62" s="23" t="s">
        <v>123</v>
      </c>
      <c r="BU62" s="13"/>
      <c r="BV62" s="26" t="s">
        <v>463</v>
      </c>
      <c r="BW62" s="26">
        <v>48011152500162</v>
      </c>
      <c r="BX62" s="26" t="s">
        <v>464</v>
      </c>
      <c r="BY62" s="26"/>
      <c r="BZ62" s="26" t="s">
        <v>165</v>
      </c>
      <c r="CA62" s="13"/>
      <c r="CB62" s="23" t="s">
        <v>126</v>
      </c>
      <c r="CC62" s="23" t="s">
        <v>127</v>
      </c>
      <c r="CD62" s="23" t="s">
        <v>128</v>
      </c>
      <c r="CE62" s="23" t="s">
        <v>129</v>
      </c>
      <c r="CF62" s="13"/>
      <c r="CG62" s="26" t="s">
        <v>465</v>
      </c>
      <c r="CH62" s="23" t="s">
        <v>466</v>
      </c>
      <c r="CI62" s="26" t="s">
        <v>467</v>
      </c>
      <c r="CJ62" s="26"/>
      <c r="CK62" s="26" t="s">
        <v>468</v>
      </c>
      <c r="CL62" s="26" t="s">
        <v>469</v>
      </c>
      <c r="CM62" s="13"/>
      <c r="CN62" s="23" t="s">
        <v>133</v>
      </c>
      <c r="CO62" s="23" t="s">
        <v>134</v>
      </c>
      <c r="CP62" s="23" t="s">
        <v>135</v>
      </c>
      <c r="CQ62" s="23" t="s">
        <v>136</v>
      </c>
    </row>
    <row r="63" spans="1:95" ht="14.5">
      <c r="A63" s="27" t="s">
        <v>310</v>
      </c>
      <c r="B63" s="27">
        <v>54850098200267</v>
      </c>
      <c r="C63" s="27" t="s">
        <v>311</v>
      </c>
      <c r="D63" s="27"/>
      <c r="E63" s="27" t="s">
        <v>2393</v>
      </c>
      <c r="F63" s="28" t="s">
        <v>195</v>
      </c>
      <c r="G63" s="25"/>
      <c r="H63" s="22" t="s">
        <v>56</v>
      </c>
      <c r="I63" s="25" t="s">
        <v>2423</v>
      </c>
      <c r="J63" s="23" t="s">
        <v>471</v>
      </c>
      <c r="K63" s="12"/>
      <c r="L63" s="23" t="s">
        <v>244</v>
      </c>
      <c r="M63" s="24">
        <v>1776</v>
      </c>
      <c r="N63" s="23" t="s">
        <v>101</v>
      </c>
      <c r="O63" s="23">
        <v>7</v>
      </c>
      <c r="P63" s="23" t="s">
        <v>102</v>
      </c>
      <c r="Q63" s="12"/>
      <c r="R63" s="12"/>
      <c r="S63" s="12"/>
      <c r="T63" s="13" t="s">
        <v>2436</v>
      </c>
      <c r="U63" s="25" t="s">
        <v>11</v>
      </c>
      <c r="V63" s="25" t="s">
        <v>12</v>
      </c>
      <c r="W63" s="23" t="s">
        <v>103</v>
      </c>
      <c r="X63" s="25" t="s">
        <v>13</v>
      </c>
      <c r="Y63" s="12"/>
      <c r="Z63" s="23" t="s">
        <v>104</v>
      </c>
      <c r="AA63" s="23" t="s">
        <v>105</v>
      </c>
      <c r="AB63" s="23" t="s">
        <v>106</v>
      </c>
      <c r="AC63" s="23" t="s">
        <v>107</v>
      </c>
      <c r="AD63" s="12"/>
      <c r="AE63" s="23" t="s">
        <v>305</v>
      </c>
      <c r="AF63" s="23" t="s">
        <v>268</v>
      </c>
      <c r="AG63" s="25"/>
      <c r="AH63" s="23" t="s">
        <v>306</v>
      </c>
      <c r="AI63" s="25" t="s">
        <v>307</v>
      </c>
      <c r="AJ63" s="25">
        <v>1</v>
      </c>
      <c r="AK63" s="25" t="s">
        <v>274</v>
      </c>
      <c r="AL63" s="25" t="s">
        <v>275</v>
      </c>
      <c r="AM63" s="33" t="s">
        <v>276</v>
      </c>
      <c r="AN63" s="12"/>
      <c r="AO63" s="29" t="s">
        <v>112</v>
      </c>
      <c r="AP63" s="29" t="s">
        <v>112</v>
      </c>
      <c r="AQ63" s="12"/>
      <c r="AR63" s="29"/>
      <c r="AS63" s="25"/>
      <c r="AT63" s="25"/>
      <c r="AU63" s="25"/>
      <c r="AV63" s="12"/>
      <c r="AW63" s="25"/>
      <c r="AX63" s="25"/>
      <c r="AY63" s="25"/>
      <c r="AZ63" s="25"/>
      <c r="BA63" s="12"/>
      <c r="BB63" s="25"/>
      <c r="BC63" s="25"/>
      <c r="BD63" s="25"/>
      <c r="BE63" s="25"/>
      <c r="BF63" s="12"/>
      <c r="BG63" s="29" t="s">
        <v>113</v>
      </c>
      <c r="BH63" s="25" t="s">
        <v>313</v>
      </c>
      <c r="BI63" s="29" t="s">
        <v>114</v>
      </c>
      <c r="BJ63" s="29" t="s">
        <v>115</v>
      </c>
      <c r="BK63" s="12"/>
      <c r="BL63" s="23" t="s">
        <v>116</v>
      </c>
      <c r="BM63" s="23" t="s">
        <v>117</v>
      </c>
      <c r="BN63" s="23" t="s">
        <v>118</v>
      </c>
      <c r="BO63" s="23" t="s">
        <v>119</v>
      </c>
      <c r="BP63" s="12"/>
      <c r="BQ63" s="23" t="s">
        <v>120</v>
      </c>
      <c r="BR63" s="23" t="s">
        <v>121</v>
      </c>
      <c r="BS63" s="23" t="s">
        <v>122</v>
      </c>
      <c r="BT63" s="23" t="s">
        <v>123</v>
      </c>
      <c r="BU63" s="12"/>
      <c r="BV63" s="29" t="s">
        <v>113</v>
      </c>
      <c r="BW63" s="25" t="s">
        <v>124</v>
      </c>
      <c r="BX63" s="29" t="s">
        <v>114</v>
      </c>
      <c r="BY63" s="29"/>
      <c r="BZ63" s="29" t="s">
        <v>125</v>
      </c>
      <c r="CA63" s="12"/>
      <c r="CB63" s="23" t="s">
        <v>126</v>
      </c>
      <c r="CC63" s="23" t="s">
        <v>127</v>
      </c>
      <c r="CD63" s="23" t="s">
        <v>128</v>
      </c>
      <c r="CE63" s="23" t="s">
        <v>129</v>
      </c>
      <c r="CF63" s="12"/>
      <c r="CG63" s="29" t="s">
        <v>130</v>
      </c>
      <c r="CH63" s="25"/>
      <c r="CI63" s="29"/>
      <c r="CJ63" s="29"/>
      <c r="CK63" s="29" t="s">
        <v>131</v>
      </c>
      <c r="CL63" s="29" t="s">
        <v>132</v>
      </c>
      <c r="CM63" s="12"/>
      <c r="CN63" s="23" t="s">
        <v>133</v>
      </c>
      <c r="CO63" s="23" t="s">
        <v>134</v>
      </c>
      <c r="CP63" s="23" t="s">
        <v>135</v>
      </c>
      <c r="CQ63" s="23" t="s">
        <v>136</v>
      </c>
    </row>
    <row r="64" spans="1:95" ht="14.5">
      <c r="A64" s="22" t="s">
        <v>310</v>
      </c>
      <c r="B64" s="22">
        <v>54850098200267</v>
      </c>
      <c r="C64" s="22" t="s">
        <v>311</v>
      </c>
      <c r="D64" s="22"/>
      <c r="E64" s="145" t="s">
        <v>2395</v>
      </c>
      <c r="F64" s="22" t="s">
        <v>198</v>
      </c>
      <c r="G64" s="23"/>
      <c r="H64" s="22" t="s">
        <v>56</v>
      </c>
      <c r="I64" s="25" t="s">
        <v>2423</v>
      </c>
      <c r="J64" s="23" t="s">
        <v>472</v>
      </c>
      <c r="K64" s="13"/>
      <c r="L64" s="26" t="s">
        <v>112</v>
      </c>
      <c r="M64" s="26" t="s">
        <v>112</v>
      </c>
      <c r="N64" s="26" t="s">
        <v>112</v>
      </c>
      <c r="O64" s="26" t="s">
        <v>112</v>
      </c>
      <c r="P64" s="26" t="s">
        <v>112</v>
      </c>
      <c r="Q64" s="13"/>
      <c r="R64" s="13"/>
      <c r="S64" s="13"/>
      <c r="T64" s="13" t="s">
        <v>2436</v>
      </c>
      <c r="U64" s="23" t="s">
        <v>11</v>
      </c>
      <c r="V64" s="23" t="s">
        <v>12</v>
      </c>
      <c r="W64" s="23" t="s">
        <v>103</v>
      </c>
      <c r="X64" s="23" t="s">
        <v>13</v>
      </c>
      <c r="Y64" s="13"/>
      <c r="Z64" s="23" t="s">
        <v>104</v>
      </c>
      <c r="AA64" s="23" t="s">
        <v>105</v>
      </c>
      <c r="AB64" s="23" t="s">
        <v>106</v>
      </c>
      <c r="AC64" s="23" t="s">
        <v>107</v>
      </c>
      <c r="AD64" s="13"/>
      <c r="AE64" s="23" t="s">
        <v>305</v>
      </c>
      <c r="AF64" s="23" t="s">
        <v>268</v>
      </c>
      <c r="AG64" s="23"/>
      <c r="AH64" s="23" t="s">
        <v>306</v>
      </c>
      <c r="AI64" s="25" t="s">
        <v>307</v>
      </c>
      <c r="AJ64" s="25">
        <v>1</v>
      </c>
      <c r="AK64" s="25" t="s">
        <v>274</v>
      </c>
      <c r="AL64" s="25" t="s">
        <v>275</v>
      </c>
      <c r="AM64" s="33" t="s">
        <v>276</v>
      </c>
      <c r="AN64" s="13"/>
      <c r="AO64" s="26" t="s">
        <v>112</v>
      </c>
      <c r="AP64" s="26" t="s">
        <v>112</v>
      </c>
      <c r="AQ64" s="13"/>
      <c r="AR64" s="26"/>
      <c r="AS64" s="23"/>
      <c r="AT64" s="23"/>
      <c r="AU64" s="26"/>
      <c r="AV64" s="13"/>
      <c r="AW64" s="23"/>
      <c r="AX64" s="23"/>
      <c r="AY64" s="23"/>
      <c r="AZ64" s="23"/>
      <c r="BA64" s="13"/>
      <c r="BB64" s="23"/>
      <c r="BC64" s="23"/>
      <c r="BD64" s="23"/>
      <c r="BE64" s="23"/>
      <c r="BF64" s="13"/>
      <c r="BG64" s="26" t="s">
        <v>325</v>
      </c>
      <c r="BH64" s="23" t="s">
        <v>141</v>
      </c>
      <c r="BI64" s="26" t="s">
        <v>326</v>
      </c>
      <c r="BJ64" s="23">
        <v>2167061</v>
      </c>
      <c r="BK64" s="13"/>
      <c r="BL64" s="23" t="s">
        <v>116</v>
      </c>
      <c r="BM64" s="23" t="s">
        <v>117</v>
      </c>
      <c r="BN64" s="23" t="s">
        <v>118</v>
      </c>
      <c r="BO64" s="23" t="s">
        <v>119</v>
      </c>
      <c r="BP64" s="13"/>
      <c r="BQ64" s="23" t="s">
        <v>120</v>
      </c>
      <c r="BR64" s="23" t="s">
        <v>121</v>
      </c>
      <c r="BS64" s="23" t="s">
        <v>122</v>
      </c>
      <c r="BT64" s="23" t="s">
        <v>123</v>
      </c>
      <c r="BU64" s="13"/>
      <c r="BV64" s="26"/>
      <c r="BW64" s="26"/>
      <c r="BX64" s="26"/>
      <c r="BY64" s="26"/>
      <c r="BZ64" s="26"/>
      <c r="CA64" s="13"/>
      <c r="CB64" s="23"/>
      <c r="CC64" s="23"/>
      <c r="CD64" s="23"/>
      <c r="CE64" s="23"/>
      <c r="CF64" s="13"/>
      <c r="CG64" s="26" t="s">
        <v>327</v>
      </c>
      <c r="CH64" s="26" t="s">
        <v>144</v>
      </c>
      <c r="CI64" s="26" t="s">
        <v>328</v>
      </c>
      <c r="CJ64" s="26"/>
      <c r="CK64" s="26" t="s">
        <v>473</v>
      </c>
      <c r="CL64" s="26" t="s">
        <v>210</v>
      </c>
      <c r="CM64" s="13"/>
      <c r="CN64" s="23" t="s">
        <v>133</v>
      </c>
      <c r="CO64" s="23" t="s">
        <v>134</v>
      </c>
      <c r="CP64" s="23" t="s">
        <v>135</v>
      </c>
      <c r="CQ64" s="23" t="s">
        <v>136</v>
      </c>
    </row>
    <row r="65" spans="1:95" ht="14.5">
      <c r="A65" s="27" t="s">
        <v>310</v>
      </c>
      <c r="B65" s="27">
        <v>54850098200267</v>
      </c>
      <c r="C65" s="27" t="s">
        <v>311</v>
      </c>
      <c r="D65" s="27"/>
      <c r="E65" s="144" t="s">
        <v>2395</v>
      </c>
      <c r="F65" s="22" t="s">
        <v>198</v>
      </c>
      <c r="G65" s="23"/>
      <c r="H65" s="22" t="s">
        <v>56</v>
      </c>
      <c r="I65" s="25" t="s">
        <v>2423</v>
      </c>
      <c r="J65" s="23" t="s">
        <v>474</v>
      </c>
      <c r="K65" s="13"/>
      <c r="L65" s="26" t="s">
        <v>112</v>
      </c>
      <c r="M65" s="26" t="s">
        <v>112</v>
      </c>
      <c r="N65" s="26" t="s">
        <v>112</v>
      </c>
      <c r="O65" s="26" t="s">
        <v>112</v>
      </c>
      <c r="P65" s="26" t="s">
        <v>112</v>
      </c>
      <c r="Q65" s="13"/>
      <c r="R65" s="13"/>
      <c r="S65" s="13"/>
      <c r="T65" s="13" t="s">
        <v>2436</v>
      </c>
      <c r="U65" s="23" t="s">
        <v>11</v>
      </c>
      <c r="V65" s="23" t="s">
        <v>12</v>
      </c>
      <c r="W65" s="23" t="s">
        <v>103</v>
      </c>
      <c r="X65" s="23" t="s">
        <v>13</v>
      </c>
      <c r="Y65" s="13"/>
      <c r="Z65" s="23" t="s">
        <v>104</v>
      </c>
      <c r="AA65" s="23" t="s">
        <v>105</v>
      </c>
      <c r="AB65" s="23" t="s">
        <v>106</v>
      </c>
      <c r="AC65" s="23" t="s">
        <v>107</v>
      </c>
      <c r="AD65" s="13"/>
      <c r="AE65" s="23" t="s">
        <v>305</v>
      </c>
      <c r="AF65" s="23" t="s">
        <v>268</v>
      </c>
      <c r="AG65" s="23"/>
      <c r="AH65" s="23" t="s">
        <v>306</v>
      </c>
      <c r="AI65" s="25" t="s">
        <v>307</v>
      </c>
      <c r="AJ65" s="25">
        <v>1</v>
      </c>
      <c r="AK65" s="25" t="s">
        <v>274</v>
      </c>
      <c r="AL65" s="25" t="s">
        <v>275</v>
      </c>
      <c r="AM65" s="33" t="s">
        <v>276</v>
      </c>
      <c r="AN65" s="13"/>
      <c r="AO65" s="26" t="s">
        <v>112</v>
      </c>
      <c r="AP65" s="26" t="s">
        <v>112</v>
      </c>
      <c r="AQ65" s="13"/>
      <c r="AR65" s="26"/>
      <c r="AS65" s="23"/>
      <c r="AT65" s="23"/>
      <c r="AU65" s="26"/>
      <c r="AV65" s="13"/>
      <c r="AW65" s="23"/>
      <c r="AX65" s="23"/>
      <c r="AY65" s="23"/>
      <c r="AZ65" s="23"/>
      <c r="BA65" s="13"/>
      <c r="BB65" s="23"/>
      <c r="BC65" s="23"/>
      <c r="BD65" s="23"/>
      <c r="BE65" s="23"/>
      <c r="BF65" s="13"/>
      <c r="BG65" s="26" t="s">
        <v>325</v>
      </c>
      <c r="BH65" s="23" t="s">
        <v>141</v>
      </c>
      <c r="BI65" s="26" t="s">
        <v>326</v>
      </c>
      <c r="BJ65" s="23">
        <v>2167061</v>
      </c>
      <c r="BK65" s="13"/>
      <c r="BL65" s="23" t="s">
        <v>116</v>
      </c>
      <c r="BM65" s="23" t="s">
        <v>117</v>
      </c>
      <c r="BN65" s="23" t="s">
        <v>118</v>
      </c>
      <c r="BO65" s="23" t="s">
        <v>119</v>
      </c>
      <c r="BP65" s="13"/>
      <c r="BQ65" s="23" t="s">
        <v>120</v>
      </c>
      <c r="BR65" s="23" t="s">
        <v>121</v>
      </c>
      <c r="BS65" s="23" t="s">
        <v>122</v>
      </c>
      <c r="BT65" s="23" t="s">
        <v>123</v>
      </c>
      <c r="BU65" s="13"/>
      <c r="BV65" s="26" t="s">
        <v>163</v>
      </c>
      <c r="BW65" s="26" t="s">
        <v>124</v>
      </c>
      <c r="BX65" s="26" t="s">
        <v>330</v>
      </c>
      <c r="BY65" s="26"/>
      <c r="BZ65" s="26" t="s">
        <v>475</v>
      </c>
      <c r="CA65" s="13"/>
      <c r="CB65" s="23" t="s">
        <v>126</v>
      </c>
      <c r="CC65" s="23" t="s">
        <v>127</v>
      </c>
      <c r="CD65" s="23" t="s">
        <v>128</v>
      </c>
      <c r="CE65" s="23" t="s">
        <v>129</v>
      </c>
      <c r="CF65" s="13"/>
      <c r="CG65" s="26" t="s">
        <v>163</v>
      </c>
      <c r="CH65" s="26" t="s">
        <v>331</v>
      </c>
      <c r="CI65" s="26" t="s">
        <v>330</v>
      </c>
      <c r="CJ65" s="26"/>
      <c r="CK65" s="26" t="s">
        <v>206</v>
      </c>
      <c r="CL65" s="26" t="s">
        <v>294</v>
      </c>
      <c r="CM65" s="13"/>
      <c r="CN65" s="23" t="s">
        <v>133</v>
      </c>
      <c r="CO65" s="23" t="s">
        <v>134</v>
      </c>
      <c r="CP65" s="23" t="s">
        <v>135</v>
      </c>
      <c r="CQ65" s="23" t="s">
        <v>136</v>
      </c>
    </row>
    <row r="66" spans="1:95" ht="14.5">
      <c r="A66" s="22" t="s">
        <v>310</v>
      </c>
      <c r="B66" s="22">
        <v>54850098200267</v>
      </c>
      <c r="C66" s="22" t="s">
        <v>311</v>
      </c>
      <c r="D66" s="22"/>
      <c r="E66" s="145" t="s">
        <v>2422</v>
      </c>
      <c r="F66" s="28" t="s">
        <v>183</v>
      </c>
      <c r="G66" s="25" t="s">
        <v>477</v>
      </c>
      <c r="H66" s="22" t="s">
        <v>56</v>
      </c>
      <c r="I66" s="23" t="s">
        <v>2421</v>
      </c>
      <c r="J66" s="23" t="s">
        <v>478</v>
      </c>
      <c r="K66" s="12"/>
      <c r="L66" s="23" t="s">
        <v>244</v>
      </c>
      <c r="M66" s="24">
        <v>1776</v>
      </c>
      <c r="N66" s="23" t="s">
        <v>101</v>
      </c>
      <c r="O66" s="23">
        <v>7</v>
      </c>
      <c r="P66" s="23" t="s">
        <v>102</v>
      </c>
      <c r="Q66" s="12"/>
      <c r="R66" s="12"/>
      <c r="S66" s="12"/>
      <c r="T66" s="13" t="s">
        <v>2436</v>
      </c>
      <c r="U66" s="25" t="s">
        <v>11</v>
      </c>
      <c r="V66" s="25" t="s">
        <v>12</v>
      </c>
      <c r="W66" s="23" t="s">
        <v>103</v>
      </c>
      <c r="X66" s="25" t="s">
        <v>13</v>
      </c>
      <c r="Y66" s="12"/>
      <c r="Z66" s="23" t="s">
        <v>104</v>
      </c>
      <c r="AA66" s="23" t="s">
        <v>105</v>
      </c>
      <c r="AB66" s="23" t="s">
        <v>106</v>
      </c>
      <c r="AC66" s="23" t="s">
        <v>107</v>
      </c>
      <c r="AD66" s="12"/>
      <c r="AE66" s="23" t="s">
        <v>305</v>
      </c>
      <c r="AF66" s="23" t="s">
        <v>268</v>
      </c>
      <c r="AG66" s="25"/>
      <c r="AH66" s="23" t="s">
        <v>306</v>
      </c>
      <c r="AI66" s="25" t="s">
        <v>307</v>
      </c>
      <c r="AJ66" s="25">
        <v>1</v>
      </c>
      <c r="AK66" s="25" t="s">
        <v>274</v>
      </c>
      <c r="AL66" s="25" t="s">
        <v>275</v>
      </c>
      <c r="AM66" s="33" t="s">
        <v>276</v>
      </c>
      <c r="AN66" s="12"/>
      <c r="AO66" s="29" t="s">
        <v>112</v>
      </c>
      <c r="AP66" s="29" t="s">
        <v>112</v>
      </c>
      <c r="AQ66" s="12"/>
      <c r="AR66" s="29"/>
      <c r="AS66" s="29"/>
      <c r="AT66" s="29"/>
      <c r="AU66" s="29"/>
      <c r="AV66" s="12"/>
      <c r="AW66" s="25"/>
      <c r="AX66" s="25"/>
      <c r="AY66" s="25"/>
      <c r="AZ66" s="25"/>
      <c r="BA66" s="12"/>
      <c r="BB66" s="25"/>
      <c r="BC66" s="25"/>
      <c r="BD66" s="25"/>
      <c r="BE66" s="25"/>
      <c r="BF66" s="12"/>
      <c r="BG66" s="29" t="s">
        <v>479</v>
      </c>
      <c r="BH66" s="25" t="s">
        <v>480</v>
      </c>
      <c r="BI66" s="29" t="s">
        <v>481</v>
      </c>
      <c r="BJ66" s="29">
        <v>2167013</v>
      </c>
      <c r="BK66" s="12"/>
      <c r="BL66" s="23" t="s">
        <v>116</v>
      </c>
      <c r="BM66" s="23" t="s">
        <v>117</v>
      </c>
      <c r="BN66" s="23" t="s">
        <v>118</v>
      </c>
      <c r="BO66" s="23" t="s">
        <v>119</v>
      </c>
      <c r="BP66" s="12"/>
      <c r="BQ66" s="23" t="s">
        <v>120</v>
      </c>
      <c r="BR66" s="23" t="s">
        <v>121</v>
      </c>
      <c r="BS66" s="23" t="s">
        <v>122</v>
      </c>
      <c r="BT66" s="23" t="s">
        <v>123</v>
      </c>
      <c r="BU66" s="12"/>
      <c r="BV66" s="29" t="s">
        <v>482</v>
      </c>
      <c r="BW66" s="25" t="s">
        <v>124</v>
      </c>
      <c r="BX66" s="29" t="s">
        <v>483</v>
      </c>
      <c r="BY66" s="29"/>
      <c r="BZ66" s="29" t="s">
        <v>125</v>
      </c>
      <c r="CA66" s="12"/>
      <c r="CB66" s="23" t="s">
        <v>126</v>
      </c>
      <c r="CC66" s="23" t="s">
        <v>127</v>
      </c>
      <c r="CD66" s="23" t="s">
        <v>128</v>
      </c>
      <c r="CE66" s="23" t="s">
        <v>129</v>
      </c>
      <c r="CF66" s="12"/>
      <c r="CG66" s="29" t="s">
        <v>484</v>
      </c>
      <c r="CH66" s="25"/>
      <c r="CI66" s="29"/>
      <c r="CJ66" s="29"/>
      <c r="CK66" s="29" t="s">
        <v>146</v>
      </c>
      <c r="CL66" s="29" t="s">
        <v>132</v>
      </c>
      <c r="CM66" s="12"/>
      <c r="CN66" s="23" t="s">
        <v>133</v>
      </c>
      <c r="CO66" s="23" t="s">
        <v>134</v>
      </c>
      <c r="CP66" s="23" t="s">
        <v>135</v>
      </c>
      <c r="CQ66" s="23" t="s">
        <v>136</v>
      </c>
    </row>
    <row r="67" spans="1:95" ht="14.5">
      <c r="A67" s="27" t="s">
        <v>310</v>
      </c>
      <c r="B67" s="27">
        <v>54850098200267</v>
      </c>
      <c r="C67" s="27" t="s">
        <v>311</v>
      </c>
      <c r="D67" s="27"/>
      <c r="E67" s="144" t="s">
        <v>2422</v>
      </c>
      <c r="F67" s="28" t="s">
        <v>485</v>
      </c>
      <c r="G67" s="25" t="s">
        <v>486</v>
      </c>
      <c r="H67" s="22" t="s">
        <v>56</v>
      </c>
      <c r="I67" s="23" t="s">
        <v>2421</v>
      </c>
      <c r="J67" s="23" t="s">
        <v>487</v>
      </c>
      <c r="K67" s="12"/>
      <c r="L67" s="23" t="s">
        <v>244</v>
      </c>
      <c r="M67" s="24">
        <v>1776</v>
      </c>
      <c r="N67" s="23" t="s">
        <v>101</v>
      </c>
      <c r="O67" s="23">
        <v>7</v>
      </c>
      <c r="P67" s="23" t="s">
        <v>102</v>
      </c>
      <c r="Q67" s="12"/>
      <c r="R67" s="12"/>
      <c r="S67" s="12"/>
      <c r="T67" s="13" t="s">
        <v>2436</v>
      </c>
      <c r="U67" s="25" t="s">
        <v>11</v>
      </c>
      <c r="V67" s="25" t="s">
        <v>12</v>
      </c>
      <c r="W67" s="23" t="s">
        <v>103</v>
      </c>
      <c r="X67" s="25" t="s">
        <v>13</v>
      </c>
      <c r="Y67" s="12"/>
      <c r="Z67" s="23" t="s">
        <v>104</v>
      </c>
      <c r="AA67" s="23" t="s">
        <v>105</v>
      </c>
      <c r="AB67" s="23" t="s">
        <v>106</v>
      </c>
      <c r="AC67" s="23" t="s">
        <v>107</v>
      </c>
      <c r="AD67" s="12"/>
      <c r="AE67" s="23" t="s">
        <v>305</v>
      </c>
      <c r="AF67" s="23" t="s">
        <v>268</v>
      </c>
      <c r="AG67" s="25"/>
      <c r="AH67" s="23" t="s">
        <v>306</v>
      </c>
      <c r="AI67" s="25" t="s">
        <v>307</v>
      </c>
      <c r="AJ67" s="25">
        <v>1</v>
      </c>
      <c r="AK67" s="25" t="s">
        <v>274</v>
      </c>
      <c r="AL67" s="25" t="s">
        <v>275</v>
      </c>
      <c r="AM67" s="33" t="s">
        <v>276</v>
      </c>
      <c r="AN67" s="12"/>
      <c r="AO67" s="29" t="s">
        <v>112</v>
      </c>
      <c r="AP67" s="29" t="s">
        <v>112</v>
      </c>
      <c r="AQ67" s="12"/>
      <c r="AR67" s="29"/>
      <c r="AS67" s="29"/>
      <c r="AT67" s="29"/>
      <c r="AU67" s="29"/>
      <c r="AV67" s="12"/>
      <c r="AW67" s="25"/>
      <c r="AX67" s="25"/>
      <c r="AY67" s="25"/>
      <c r="AZ67" s="25"/>
      <c r="BA67" s="12"/>
      <c r="BB67" s="25"/>
      <c r="BC67" s="25"/>
      <c r="BD67" s="25"/>
      <c r="BE67" s="25"/>
      <c r="BF67" s="12"/>
      <c r="BG67" s="29" t="s">
        <v>479</v>
      </c>
      <c r="BH67" s="25" t="s">
        <v>480</v>
      </c>
      <c r="BI67" s="29" t="s">
        <v>481</v>
      </c>
      <c r="BJ67" s="29">
        <v>2167013</v>
      </c>
      <c r="BK67" s="12"/>
      <c r="BL67" s="23" t="s">
        <v>116</v>
      </c>
      <c r="BM67" s="23" t="s">
        <v>117</v>
      </c>
      <c r="BN67" s="23" t="s">
        <v>118</v>
      </c>
      <c r="BO67" s="23" t="s">
        <v>119</v>
      </c>
      <c r="BP67" s="12"/>
      <c r="BQ67" s="23" t="s">
        <v>120</v>
      </c>
      <c r="BR67" s="23" t="s">
        <v>121</v>
      </c>
      <c r="BS67" s="23" t="s">
        <v>122</v>
      </c>
      <c r="BT67" s="23" t="s">
        <v>123</v>
      </c>
      <c r="BU67" s="12"/>
      <c r="BV67" s="29"/>
      <c r="BW67" s="25"/>
      <c r="BX67" s="29"/>
      <c r="BY67" s="29"/>
      <c r="BZ67" s="29"/>
      <c r="CA67" s="12"/>
      <c r="CB67" s="25"/>
      <c r="CC67" s="25"/>
      <c r="CD67" s="25"/>
      <c r="CE67" s="25"/>
      <c r="CF67" s="12"/>
      <c r="CG67" s="29" t="s">
        <v>488</v>
      </c>
      <c r="CH67" s="25" t="s">
        <v>489</v>
      </c>
      <c r="CI67" s="29" t="s">
        <v>490</v>
      </c>
      <c r="CJ67" s="29"/>
      <c r="CK67" s="29" t="s">
        <v>491</v>
      </c>
      <c r="CL67" s="25" t="s">
        <v>294</v>
      </c>
      <c r="CM67" s="12"/>
      <c r="CN67" s="23" t="s">
        <v>133</v>
      </c>
      <c r="CO67" s="23" t="s">
        <v>134</v>
      </c>
      <c r="CP67" s="23" t="s">
        <v>135</v>
      </c>
      <c r="CQ67" s="23" t="s">
        <v>136</v>
      </c>
    </row>
    <row r="68" spans="1:95" ht="14.5">
      <c r="A68" s="22" t="s">
        <v>310</v>
      </c>
      <c r="B68" s="22">
        <v>54850098200267</v>
      </c>
      <c r="C68" s="22" t="s">
        <v>311</v>
      </c>
      <c r="D68" s="22"/>
      <c r="E68" s="145" t="s">
        <v>2422</v>
      </c>
      <c r="F68" s="28" t="s">
        <v>485</v>
      </c>
      <c r="G68" s="25" t="s">
        <v>492</v>
      </c>
      <c r="H68" s="22" t="s">
        <v>56</v>
      </c>
      <c r="I68" s="23" t="s">
        <v>2421</v>
      </c>
      <c r="J68" s="23" t="s">
        <v>493</v>
      </c>
      <c r="K68" s="12"/>
      <c r="L68" s="23" t="s">
        <v>244</v>
      </c>
      <c r="M68" s="24">
        <v>1776</v>
      </c>
      <c r="N68" s="23" t="s">
        <v>101</v>
      </c>
      <c r="O68" s="23">
        <v>7</v>
      </c>
      <c r="P68" s="23" t="s">
        <v>102</v>
      </c>
      <c r="Q68" s="12"/>
      <c r="R68" s="12"/>
      <c r="S68" s="12"/>
      <c r="T68" s="13" t="s">
        <v>2436</v>
      </c>
      <c r="U68" s="25" t="s">
        <v>11</v>
      </c>
      <c r="V68" s="25" t="s">
        <v>12</v>
      </c>
      <c r="W68" s="23" t="s">
        <v>103</v>
      </c>
      <c r="X68" s="25" t="s">
        <v>13</v>
      </c>
      <c r="Y68" s="12"/>
      <c r="Z68" s="23" t="s">
        <v>104</v>
      </c>
      <c r="AA68" s="23" t="s">
        <v>105</v>
      </c>
      <c r="AB68" s="23" t="s">
        <v>106</v>
      </c>
      <c r="AC68" s="23" t="s">
        <v>107</v>
      </c>
      <c r="AD68" s="12"/>
      <c r="AE68" s="23" t="s">
        <v>305</v>
      </c>
      <c r="AF68" s="23" t="s">
        <v>268</v>
      </c>
      <c r="AG68" s="25"/>
      <c r="AH68" s="23" t="s">
        <v>306</v>
      </c>
      <c r="AI68" s="25" t="s">
        <v>307</v>
      </c>
      <c r="AJ68" s="25">
        <v>1</v>
      </c>
      <c r="AK68" s="23" t="s">
        <v>111</v>
      </c>
      <c r="AL68" s="25"/>
      <c r="AM68" s="12"/>
      <c r="AN68" s="12"/>
      <c r="AO68" s="29" t="s">
        <v>112</v>
      </c>
      <c r="AP68" s="29" t="s">
        <v>112</v>
      </c>
      <c r="AQ68" s="12"/>
      <c r="AR68" s="29"/>
      <c r="AS68" s="29"/>
      <c r="AT68" s="29"/>
      <c r="AU68" s="29"/>
      <c r="AV68" s="12"/>
      <c r="AW68" s="25"/>
      <c r="AX68" s="25"/>
      <c r="AY68" s="25"/>
      <c r="AZ68" s="25"/>
      <c r="BA68" s="12"/>
      <c r="BB68" s="25"/>
      <c r="BC68" s="25"/>
      <c r="BD68" s="25"/>
      <c r="BE68" s="25"/>
      <c r="BF68" s="12"/>
      <c r="BG68" s="29" t="s">
        <v>479</v>
      </c>
      <c r="BH68" s="25" t="s">
        <v>480</v>
      </c>
      <c r="BI68" s="29" t="s">
        <v>481</v>
      </c>
      <c r="BJ68" s="29">
        <v>2167013</v>
      </c>
      <c r="BK68" s="12"/>
      <c r="BL68" s="23" t="s">
        <v>116</v>
      </c>
      <c r="BM68" s="23" t="s">
        <v>117</v>
      </c>
      <c r="BN68" s="23" t="s">
        <v>118</v>
      </c>
      <c r="BO68" s="23" t="s">
        <v>119</v>
      </c>
      <c r="BP68" s="12"/>
      <c r="BQ68" s="23" t="s">
        <v>120</v>
      </c>
      <c r="BR68" s="23" t="s">
        <v>121</v>
      </c>
      <c r="BS68" s="23" t="s">
        <v>122</v>
      </c>
      <c r="BT68" s="23" t="s">
        <v>123</v>
      </c>
      <c r="BU68" s="12"/>
      <c r="BV68" s="29"/>
      <c r="BW68" s="25"/>
      <c r="BX68" s="29"/>
      <c r="BY68" s="29"/>
      <c r="BZ68" s="29"/>
      <c r="CA68" s="12"/>
      <c r="CB68" s="25"/>
      <c r="CC68" s="25"/>
      <c r="CD68" s="25"/>
      <c r="CE68" s="25"/>
      <c r="CF68" s="12"/>
      <c r="CG68" s="29" t="s">
        <v>488</v>
      </c>
      <c r="CH68" s="25" t="s">
        <v>489</v>
      </c>
      <c r="CI68" s="29" t="s">
        <v>490</v>
      </c>
      <c r="CJ68" s="29"/>
      <c r="CK68" s="29" t="s">
        <v>491</v>
      </c>
      <c r="CL68" s="25" t="s">
        <v>294</v>
      </c>
      <c r="CM68" s="12"/>
      <c r="CN68" s="23" t="s">
        <v>133</v>
      </c>
      <c r="CO68" s="23" t="s">
        <v>134</v>
      </c>
      <c r="CP68" s="23" t="s">
        <v>135</v>
      </c>
      <c r="CQ68" s="23" t="s">
        <v>136</v>
      </c>
    </row>
    <row r="69" spans="1:95" ht="14.5">
      <c r="A69" s="27" t="s">
        <v>310</v>
      </c>
      <c r="B69" s="27">
        <v>54850098200267</v>
      </c>
      <c r="C69" s="27" t="s">
        <v>311</v>
      </c>
      <c r="D69" s="27"/>
      <c r="E69" s="144" t="s">
        <v>2422</v>
      </c>
      <c r="F69" s="28" t="s">
        <v>494</v>
      </c>
      <c r="G69" s="29" t="s">
        <v>495</v>
      </c>
      <c r="H69" s="22" t="s">
        <v>56</v>
      </c>
      <c r="I69" s="23" t="s">
        <v>2421</v>
      </c>
      <c r="J69" s="23" t="s">
        <v>496</v>
      </c>
      <c r="K69" s="12"/>
      <c r="L69" s="23" t="s">
        <v>244</v>
      </c>
      <c r="M69" s="24">
        <v>1776</v>
      </c>
      <c r="N69" s="23" t="s">
        <v>101</v>
      </c>
      <c r="O69" s="23">
        <v>7</v>
      </c>
      <c r="P69" s="23" t="s">
        <v>102</v>
      </c>
      <c r="Q69" s="12"/>
      <c r="R69" s="12"/>
      <c r="S69" s="12"/>
      <c r="T69" s="13" t="s">
        <v>2436</v>
      </c>
      <c r="U69" s="25" t="s">
        <v>11</v>
      </c>
      <c r="V69" s="25" t="s">
        <v>12</v>
      </c>
      <c r="W69" s="23" t="s">
        <v>103</v>
      </c>
      <c r="X69" s="25" t="s">
        <v>13</v>
      </c>
      <c r="Y69" s="12"/>
      <c r="Z69" s="23" t="s">
        <v>104</v>
      </c>
      <c r="AA69" s="23" t="s">
        <v>105</v>
      </c>
      <c r="AB69" s="23" t="s">
        <v>106</v>
      </c>
      <c r="AC69" s="23" t="s">
        <v>107</v>
      </c>
      <c r="AD69" s="12"/>
      <c r="AE69" s="23" t="s">
        <v>305</v>
      </c>
      <c r="AF69" s="23" t="s">
        <v>268</v>
      </c>
      <c r="AG69" s="25"/>
      <c r="AH69" s="23" t="s">
        <v>306</v>
      </c>
      <c r="AI69" s="25" t="s">
        <v>307</v>
      </c>
      <c r="AJ69" s="25">
        <v>1</v>
      </c>
      <c r="AK69" s="23" t="s">
        <v>111</v>
      </c>
      <c r="AL69" s="25"/>
      <c r="AM69" s="12"/>
      <c r="AN69" s="12"/>
      <c r="AO69" s="29" t="s">
        <v>112</v>
      </c>
      <c r="AP69" s="29" t="s">
        <v>112</v>
      </c>
      <c r="AQ69" s="12"/>
      <c r="AR69" s="29"/>
      <c r="AS69" s="25"/>
      <c r="AT69" s="25"/>
      <c r="AU69" s="29"/>
      <c r="AV69" s="12"/>
      <c r="AW69" s="25"/>
      <c r="AX69" s="25"/>
      <c r="AY69" s="25"/>
      <c r="AZ69" s="25"/>
      <c r="BA69" s="12"/>
      <c r="BB69" s="25"/>
      <c r="BC69" s="25"/>
      <c r="BD69" s="25"/>
      <c r="BE69" s="25"/>
      <c r="BF69" s="12"/>
      <c r="BG69" s="25" t="s">
        <v>479</v>
      </c>
      <c r="BH69" s="25" t="s">
        <v>480</v>
      </c>
      <c r="BI69" s="29" t="s">
        <v>481</v>
      </c>
      <c r="BJ69" s="29">
        <v>2167013</v>
      </c>
      <c r="BK69" s="12"/>
      <c r="BL69" s="23" t="s">
        <v>116</v>
      </c>
      <c r="BM69" s="23" t="s">
        <v>117</v>
      </c>
      <c r="BN69" s="23" t="s">
        <v>118</v>
      </c>
      <c r="BO69" s="23" t="s">
        <v>119</v>
      </c>
      <c r="BP69" s="12"/>
      <c r="BQ69" s="23" t="s">
        <v>120</v>
      </c>
      <c r="BR69" s="23" t="s">
        <v>121</v>
      </c>
      <c r="BS69" s="23" t="s">
        <v>122</v>
      </c>
      <c r="BT69" s="23" t="s">
        <v>123</v>
      </c>
      <c r="BU69" s="12"/>
      <c r="BV69" s="29" t="s">
        <v>479</v>
      </c>
      <c r="BW69" s="25" t="s">
        <v>124</v>
      </c>
      <c r="BX69" s="29" t="s">
        <v>481</v>
      </c>
      <c r="BY69" s="29"/>
      <c r="BZ69" s="25" t="s">
        <v>165</v>
      </c>
      <c r="CA69" s="12"/>
      <c r="CB69" s="23" t="s">
        <v>126</v>
      </c>
      <c r="CC69" s="23" t="s">
        <v>127</v>
      </c>
      <c r="CD69" s="23" t="s">
        <v>128</v>
      </c>
      <c r="CE69" s="23" t="s">
        <v>129</v>
      </c>
      <c r="CF69" s="12"/>
      <c r="CG69" s="29" t="s">
        <v>497</v>
      </c>
      <c r="CH69" s="29" t="s">
        <v>498</v>
      </c>
      <c r="CI69" s="29" t="s">
        <v>499</v>
      </c>
      <c r="CJ69" s="29"/>
      <c r="CK69" s="25" t="s">
        <v>146</v>
      </c>
      <c r="CL69" s="29" t="s">
        <v>132</v>
      </c>
      <c r="CM69" s="12"/>
      <c r="CN69" s="23" t="s">
        <v>133</v>
      </c>
      <c r="CO69" s="23" t="s">
        <v>134</v>
      </c>
      <c r="CP69" s="23" t="s">
        <v>135</v>
      </c>
      <c r="CQ69" s="23" t="s">
        <v>136</v>
      </c>
    </row>
    <row r="70" spans="1:95" ht="14.5">
      <c r="A70" s="22" t="s">
        <v>310</v>
      </c>
      <c r="B70" s="22">
        <v>54850098200267</v>
      </c>
      <c r="C70" s="22" t="s">
        <v>311</v>
      </c>
      <c r="D70" s="22"/>
      <c r="E70" s="145" t="s">
        <v>2422</v>
      </c>
      <c r="F70" s="28" t="s">
        <v>500</v>
      </c>
      <c r="G70" s="29" t="s">
        <v>501</v>
      </c>
      <c r="H70" s="22" t="s">
        <v>56</v>
      </c>
      <c r="I70" s="23" t="s">
        <v>2421</v>
      </c>
      <c r="J70" s="23" t="s">
        <v>502</v>
      </c>
      <c r="K70" s="12"/>
      <c r="L70" s="23" t="s">
        <v>244</v>
      </c>
      <c r="M70" s="24">
        <v>1776</v>
      </c>
      <c r="N70" s="23" t="s">
        <v>101</v>
      </c>
      <c r="O70" s="23">
        <v>7</v>
      </c>
      <c r="P70" s="23" t="s">
        <v>102</v>
      </c>
      <c r="Q70" s="12"/>
      <c r="R70" s="12"/>
      <c r="S70" s="12"/>
      <c r="T70" s="13" t="s">
        <v>2436</v>
      </c>
      <c r="U70" s="25" t="s">
        <v>11</v>
      </c>
      <c r="V70" s="25" t="s">
        <v>12</v>
      </c>
      <c r="W70" s="23" t="s">
        <v>103</v>
      </c>
      <c r="X70" s="25" t="s">
        <v>13</v>
      </c>
      <c r="Y70" s="12"/>
      <c r="Z70" s="23" t="s">
        <v>104</v>
      </c>
      <c r="AA70" s="23" t="s">
        <v>105</v>
      </c>
      <c r="AB70" s="23" t="s">
        <v>106</v>
      </c>
      <c r="AC70" s="23" t="s">
        <v>107</v>
      </c>
      <c r="AD70" s="12"/>
      <c r="AE70" s="23" t="s">
        <v>305</v>
      </c>
      <c r="AF70" s="23" t="s">
        <v>268</v>
      </c>
      <c r="AG70" s="25"/>
      <c r="AH70" s="23" t="s">
        <v>306</v>
      </c>
      <c r="AI70" s="25" t="s">
        <v>307</v>
      </c>
      <c r="AJ70" s="25">
        <v>1</v>
      </c>
      <c r="AK70" s="23" t="s">
        <v>111</v>
      </c>
      <c r="AL70" s="25"/>
      <c r="AM70" s="12"/>
      <c r="AN70" s="12"/>
      <c r="AO70" s="29" t="s">
        <v>112</v>
      </c>
      <c r="AP70" s="29" t="s">
        <v>112</v>
      </c>
      <c r="AQ70" s="12"/>
      <c r="AR70" s="29"/>
      <c r="AS70" s="29"/>
      <c r="AT70" s="29"/>
      <c r="AU70" s="29"/>
      <c r="AV70" s="12"/>
      <c r="AW70" s="25"/>
      <c r="AX70" s="25"/>
      <c r="AY70" s="25"/>
      <c r="AZ70" s="25"/>
      <c r="BA70" s="12"/>
      <c r="BB70" s="25"/>
      <c r="BC70" s="25"/>
      <c r="BD70" s="25"/>
      <c r="BE70" s="25"/>
      <c r="BF70" s="12"/>
      <c r="BG70" s="29" t="s">
        <v>479</v>
      </c>
      <c r="BH70" s="25" t="s">
        <v>480</v>
      </c>
      <c r="BI70" s="29" t="s">
        <v>481</v>
      </c>
      <c r="BJ70" s="29">
        <v>2167013</v>
      </c>
      <c r="BK70" s="12"/>
      <c r="BL70" s="23" t="s">
        <v>116</v>
      </c>
      <c r="BM70" s="23" t="s">
        <v>117</v>
      </c>
      <c r="BN70" s="23" t="s">
        <v>118</v>
      </c>
      <c r="BO70" s="23" t="s">
        <v>119</v>
      </c>
      <c r="BP70" s="12"/>
      <c r="BQ70" s="23" t="s">
        <v>120</v>
      </c>
      <c r="BR70" s="23" t="s">
        <v>121</v>
      </c>
      <c r="BS70" s="23" t="s">
        <v>122</v>
      </c>
      <c r="BT70" s="23" t="s">
        <v>123</v>
      </c>
      <c r="BU70" s="12"/>
      <c r="BV70" s="29" t="s">
        <v>482</v>
      </c>
      <c r="BW70" s="25" t="s">
        <v>124</v>
      </c>
      <c r="BX70" s="29" t="s">
        <v>483</v>
      </c>
      <c r="BY70" s="29"/>
      <c r="BZ70" s="29" t="s">
        <v>125</v>
      </c>
      <c r="CA70" s="12"/>
      <c r="CB70" s="23" t="s">
        <v>126</v>
      </c>
      <c r="CC70" s="23" t="s">
        <v>127</v>
      </c>
      <c r="CD70" s="23" t="s">
        <v>128</v>
      </c>
      <c r="CE70" s="23" t="s">
        <v>129</v>
      </c>
      <c r="CF70" s="12"/>
      <c r="CG70" s="29" t="s">
        <v>484</v>
      </c>
      <c r="CH70" s="25"/>
      <c r="CI70" s="29"/>
      <c r="CJ70" s="29"/>
      <c r="CK70" s="29" t="s">
        <v>146</v>
      </c>
      <c r="CL70" s="29" t="s">
        <v>132</v>
      </c>
      <c r="CM70" s="12"/>
      <c r="CN70" s="23" t="s">
        <v>133</v>
      </c>
      <c r="CO70" s="23" t="s">
        <v>134</v>
      </c>
      <c r="CP70" s="23" t="s">
        <v>135</v>
      </c>
      <c r="CQ70" s="23" t="s">
        <v>136</v>
      </c>
    </row>
    <row r="71" spans="1:95" ht="14.5">
      <c r="A71" s="27" t="s">
        <v>310</v>
      </c>
      <c r="B71" s="27">
        <v>54850098200267</v>
      </c>
      <c r="C71" s="27" t="s">
        <v>311</v>
      </c>
      <c r="D71" s="27"/>
      <c r="E71" s="144" t="s">
        <v>2422</v>
      </c>
      <c r="F71" s="28" t="s">
        <v>503</v>
      </c>
      <c r="G71" s="29" t="s">
        <v>504</v>
      </c>
      <c r="H71" s="22" t="s">
        <v>56</v>
      </c>
      <c r="I71" s="23" t="s">
        <v>2421</v>
      </c>
      <c r="J71" s="23" t="s">
        <v>505</v>
      </c>
      <c r="K71" s="12"/>
      <c r="L71" s="23" t="s">
        <v>244</v>
      </c>
      <c r="M71" s="24">
        <v>1776</v>
      </c>
      <c r="N71" s="23" t="s">
        <v>101</v>
      </c>
      <c r="O71" s="23">
        <v>7</v>
      </c>
      <c r="P71" s="23" t="s">
        <v>102</v>
      </c>
      <c r="Q71" s="12"/>
      <c r="R71" s="12"/>
      <c r="S71" s="12"/>
      <c r="T71" s="13" t="s">
        <v>2436</v>
      </c>
      <c r="U71" s="25" t="s">
        <v>11</v>
      </c>
      <c r="V71" s="25" t="s">
        <v>12</v>
      </c>
      <c r="W71" s="23" t="s">
        <v>103</v>
      </c>
      <c r="X71" s="25" t="s">
        <v>13</v>
      </c>
      <c r="Y71" s="12"/>
      <c r="Z71" s="23" t="s">
        <v>104</v>
      </c>
      <c r="AA71" s="23" t="s">
        <v>105</v>
      </c>
      <c r="AB71" s="23" t="s">
        <v>106</v>
      </c>
      <c r="AC71" s="23" t="s">
        <v>107</v>
      </c>
      <c r="AD71" s="12"/>
      <c r="AE71" s="23" t="s">
        <v>267</v>
      </c>
      <c r="AF71" s="23" t="s">
        <v>268</v>
      </c>
      <c r="AG71" s="25"/>
      <c r="AH71" s="23" t="s">
        <v>269</v>
      </c>
      <c r="AI71" s="23" t="s">
        <v>270</v>
      </c>
      <c r="AJ71" s="25">
        <v>1</v>
      </c>
      <c r="AK71" s="23" t="s">
        <v>111</v>
      </c>
      <c r="AL71" s="25"/>
      <c r="AM71" s="12"/>
      <c r="AN71" s="12"/>
      <c r="AO71" s="29" t="s">
        <v>112</v>
      </c>
      <c r="AP71" s="29" t="s">
        <v>112</v>
      </c>
      <c r="AQ71" s="12"/>
      <c r="AR71" s="29"/>
      <c r="AS71" s="25"/>
      <c r="AT71" s="25"/>
      <c r="AU71" s="25"/>
      <c r="AV71" s="12"/>
      <c r="AW71" s="25"/>
      <c r="AX71" s="25"/>
      <c r="AY71" s="25"/>
      <c r="AZ71" s="25"/>
      <c r="BA71" s="12"/>
      <c r="BB71" s="25"/>
      <c r="BC71" s="25"/>
      <c r="BD71" s="25"/>
      <c r="BE71" s="25"/>
      <c r="BF71" s="12"/>
      <c r="BG71" s="29" t="s">
        <v>113</v>
      </c>
      <c r="BH71" s="25" t="s">
        <v>313</v>
      </c>
      <c r="BI71" s="29" t="s">
        <v>114</v>
      </c>
      <c r="BJ71" s="29" t="s">
        <v>115</v>
      </c>
      <c r="BK71" s="12"/>
      <c r="BL71" s="23" t="s">
        <v>116</v>
      </c>
      <c r="BM71" s="23" t="s">
        <v>117</v>
      </c>
      <c r="BN71" s="23" t="s">
        <v>118</v>
      </c>
      <c r="BO71" s="23" t="s">
        <v>119</v>
      </c>
      <c r="BP71" s="12"/>
      <c r="BQ71" s="23" t="s">
        <v>120</v>
      </c>
      <c r="BR71" s="23" t="s">
        <v>121</v>
      </c>
      <c r="BS71" s="23" t="s">
        <v>122</v>
      </c>
      <c r="BT71" s="23" t="s">
        <v>123</v>
      </c>
      <c r="BU71" s="12"/>
      <c r="BV71" s="29" t="s">
        <v>113</v>
      </c>
      <c r="BW71" s="25" t="s">
        <v>124</v>
      </c>
      <c r="BX71" s="29" t="s">
        <v>114</v>
      </c>
      <c r="BY71" s="29"/>
      <c r="BZ71" s="29" t="s">
        <v>215</v>
      </c>
      <c r="CA71" s="12"/>
      <c r="CB71" s="23" t="s">
        <v>126</v>
      </c>
      <c r="CC71" s="23" t="s">
        <v>127</v>
      </c>
      <c r="CD71" s="23" t="s">
        <v>128</v>
      </c>
      <c r="CE71" s="23" t="s">
        <v>129</v>
      </c>
      <c r="CF71" s="12"/>
      <c r="CG71" s="29" t="s">
        <v>130</v>
      </c>
      <c r="CH71" s="25"/>
      <c r="CI71" s="29"/>
      <c r="CJ71" s="29"/>
      <c r="CK71" s="29" t="s">
        <v>491</v>
      </c>
      <c r="CL71" s="29" t="s">
        <v>294</v>
      </c>
      <c r="CM71" s="12"/>
      <c r="CN71" s="23" t="s">
        <v>133</v>
      </c>
      <c r="CO71" s="23" t="s">
        <v>134</v>
      </c>
      <c r="CP71" s="23" t="s">
        <v>135</v>
      </c>
      <c r="CQ71" s="23" t="s">
        <v>136</v>
      </c>
    </row>
    <row r="72" spans="1:95" ht="14.5">
      <c r="A72" s="22" t="s">
        <v>310</v>
      </c>
      <c r="B72" s="22">
        <v>54850098200267</v>
      </c>
      <c r="C72" s="22" t="s">
        <v>311</v>
      </c>
      <c r="D72" s="22"/>
      <c r="E72" s="22" t="s">
        <v>2391</v>
      </c>
      <c r="F72" s="22" t="s">
        <v>159</v>
      </c>
      <c r="G72" s="23"/>
      <c r="H72" s="22" t="s">
        <v>56</v>
      </c>
      <c r="I72" s="25" t="s">
        <v>2423</v>
      </c>
      <c r="J72" s="23" t="s">
        <v>507</v>
      </c>
      <c r="K72" s="13"/>
      <c r="L72" s="23" t="s">
        <v>244</v>
      </c>
      <c r="M72" s="24">
        <v>1776</v>
      </c>
      <c r="N72" s="23" t="s">
        <v>101</v>
      </c>
      <c r="O72" s="23">
        <v>7</v>
      </c>
      <c r="P72" s="23" t="s">
        <v>102</v>
      </c>
      <c r="Q72" s="13"/>
      <c r="R72" s="13"/>
      <c r="S72" s="13"/>
      <c r="T72" s="13" t="s">
        <v>2436</v>
      </c>
      <c r="U72" s="23" t="s">
        <v>11</v>
      </c>
      <c r="V72" s="23" t="s">
        <v>12</v>
      </c>
      <c r="W72" s="23" t="s">
        <v>103</v>
      </c>
      <c r="X72" s="23" t="s">
        <v>13</v>
      </c>
      <c r="Y72" s="13"/>
      <c r="Z72" s="23" t="s">
        <v>104</v>
      </c>
      <c r="AA72" s="23" t="s">
        <v>105</v>
      </c>
      <c r="AB72" s="23" t="s">
        <v>106</v>
      </c>
      <c r="AC72" s="23" t="s">
        <v>107</v>
      </c>
      <c r="AD72" s="13"/>
      <c r="AE72" s="23" t="s">
        <v>267</v>
      </c>
      <c r="AF72" s="23" t="s">
        <v>268</v>
      </c>
      <c r="AG72" s="23"/>
      <c r="AH72" s="23" t="s">
        <v>269</v>
      </c>
      <c r="AI72" s="23" t="s">
        <v>270</v>
      </c>
      <c r="AJ72" s="25">
        <v>1</v>
      </c>
      <c r="AK72" s="23" t="s">
        <v>111</v>
      </c>
      <c r="AL72" s="23"/>
      <c r="AM72" s="13"/>
      <c r="AN72" s="13"/>
      <c r="AO72" s="26" t="s">
        <v>112</v>
      </c>
      <c r="AP72" s="26" t="s">
        <v>112</v>
      </c>
      <c r="AQ72" s="13"/>
      <c r="AR72" s="26"/>
      <c r="AS72" s="23"/>
      <c r="AT72" s="23"/>
      <c r="AU72" s="23"/>
      <c r="AV72" s="13"/>
      <c r="AW72" s="23"/>
      <c r="AX72" s="23"/>
      <c r="AY72" s="23"/>
      <c r="AZ72" s="23"/>
      <c r="BA72" s="13"/>
      <c r="BB72" s="23"/>
      <c r="BC72" s="23"/>
      <c r="BD72" s="23"/>
      <c r="BE72" s="23"/>
      <c r="BF72" s="13"/>
      <c r="BG72" s="26" t="s">
        <v>113</v>
      </c>
      <c r="BH72" s="23" t="s">
        <v>313</v>
      </c>
      <c r="BI72" s="26" t="s">
        <v>114</v>
      </c>
      <c r="BJ72" s="26" t="s">
        <v>115</v>
      </c>
      <c r="BK72" s="13"/>
      <c r="BL72" s="23" t="s">
        <v>116</v>
      </c>
      <c r="BM72" s="23" t="s">
        <v>117</v>
      </c>
      <c r="BN72" s="23" t="s">
        <v>118</v>
      </c>
      <c r="BO72" s="23" t="s">
        <v>119</v>
      </c>
      <c r="BP72" s="13"/>
      <c r="BQ72" s="23" t="s">
        <v>120</v>
      </c>
      <c r="BR72" s="23" t="s">
        <v>121</v>
      </c>
      <c r="BS72" s="23" t="s">
        <v>122</v>
      </c>
      <c r="BT72" s="23" t="s">
        <v>123</v>
      </c>
      <c r="BU72" s="13"/>
      <c r="BV72" s="26" t="s">
        <v>113</v>
      </c>
      <c r="BW72" s="23" t="s">
        <v>124</v>
      </c>
      <c r="BX72" s="26" t="s">
        <v>114</v>
      </c>
      <c r="BY72" s="23"/>
      <c r="BZ72" s="26" t="s">
        <v>125</v>
      </c>
      <c r="CA72" s="13"/>
      <c r="CB72" s="23" t="s">
        <v>126</v>
      </c>
      <c r="CC72" s="23" t="s">
        <v>127</v>
      </c>
      <c r="CD72" s="23" t="s">
        <v>128</v>
      </c>
      <c r="CE72" s="23" t="s">
        <v>129</v>
      </c>
      <c r="CF72" s="13"/>
      <c r="CG72" s="26" t="s">
        <v>130</v>
      </c>
      <c r="CH72" s="26"/>
      <c r="CI72" s="23"/>
      <c r="CJ72" s="23"/>
      <c r="CK72" s="26" t="s">
        <v>125</v>
      </c>
      <c r="CL72" s="26" t="s">
        <v>167</v>
      </c>
      <c r="CM72" s="13"/>
      <c r="CN72" s="23" t="s">
        <v>133</v>
      </c>
      <c r="CO72" s="23" t="s">
        <v>134</v>
      </c>
      <c r="CP72" s="23" t="s">
        <v>135</v>
      </c>
      <c r="CQ72" s="23" t="s">
        <v>136</v>
      </c>
    </row>
    <row r="73" spans="1:95" ht="14.5">
      <c r="A73" s="27" t="s">
        <v>310</v>
      </c>
      <c r="B73" s="27">
        <v>54850098200267</v>
      </c>
      <c r="C73" s="27" t="s">
        <v>311</v>
      </c>
      <c r="D73" s="27"/>
      <c r="E73" s="144" t="s">
        <v>2392</v>
      </c>
      <c r="F73" s="28" t="s">
        <v>159</v>
      </c>
      <c r="G73" s="29" t="s">
        <v>508</v>
      </c>
      <c r="H73" s="22" t="s">
        <v>56</v>
      </c>
      <c r="I73" s="25" t="s">
        <v>2423</v>
      </c>
      <c r="J73" s="23" t="s">
        <v>509</v>
      </c>
      <c r="K73" s="12"/>
      <c r="L73" s="23" t="s">
        <v>244</v>
      </c>
      <c r="M73" s="24">
        <v>1776</v>
      </c>
      <c r="N73" s="23" t="s">
        <v>101</v>
      </c>
      <c r="O73" s="23">
        <v>7</v>
      </c>
      <c r="P73" s="23" t="s">
        <v>102</v>
      </c>
      <c r="Q73" s="12"/>
      <c r="R73" s="12"/>
      <c r="S73" s="12"/>
      <c r="T73" s="13" t="s">
        <v>2436</v>
      </c>
      <c r="U73" s="25" t="s">
        <v>11</v>
      </c>
      <c r="V73" s="25" t="s">
        <v>12</v>
      </c>
      <c r="W73" s="23" t="s">
        <v>103</v>
      </c>
      <c r="X73" s="25" t="s">
        <v>13</v>
      </c>
      <c r="Y73" s="12"/>
      <c r="Z73" s="23" t="s">
        <v>104</v>
      </c>
      <c r="AA73" s="23" t="s">
        <v>105</v>
      </c>
      <c r="AB73" s="23" t="s">
        <v>106</v>
      </c>
      <c r="AC73" s="23" t="s">
        <v>107</v>
      </c>
      <c r="AD73" s="12"/>
      <c r="AE73" s="23" t="s">
        <v>267</v>
      </c>
      <c r="AF73" s="23" t="s">
        <v>268</v>
      </c>
      <c r="AG73" s="25"/>
      <c r="AH73" s="23" t="s">
        <v>269</v>
      </c>
      <c r="AI73" s="23" t="s">
        <v>270</v>
      </c>
      <c r="AJ73" s="25">
        <v>1</v>
      </c>
      <c r="AK73" s="23" t="s">
        <v>111</v>
      </c>
      <c r="AL73" s="25"/>
      <c r="AM73" s="12"/>
      <c r="AN73" s="12"/>
      <c r="AO73" s="29" t="s">
        <v>112</v>
      </c>
      <c r="AP73" s="29" t="s">
        <v>112</v>
      </c>
      <c r="AQ73" s="12"/>
      <c r="AR73" s="29"/>
      <c r="AS73" s="25"/>
      <c r="AT73" s="25"/>
      <c r="AU73" s="25"/>
      <c r="AV73" s="12"/>
      <c r="AW73" s="25"/>
      <c r="AX73" s="25"/>
      <c r="AY73" s="25"/>
      <c r="AZ73" s="25"/>
      <c r="BA73" s="12"/>
      <c r="BB73" s="25"/>
      <c r="BC73" s="25"/>
      <c r="BD73" s="25"/>
      <c r="BE73" s="25"/>
      <c r="BF73" s="12"/>
      <c r="BG73" s="29" t="s">
        <v>113</v>
      </c>
      <c r="BH73" s="25" t="s">
        <v>313</v>
      </c>
      <c r="BI73" s="29" t="s">
        <v>114</v>
      </c>
      <c r="BJ73" s="29" t="s">
        <v>115</v>
      </c>
      <c r="BK73" s="12"/>
      <c r="BL73" s="23" t="s">
        <v>116</v>
      </c>
      <c r="BM73" s="23" t="s">
        <v>117</v>
      </c>
      <c r="BN73" s="23" t="s">
        <v>118</v>
      </c>
      <c r="BO73" s="23" t="s">
        <v>119</v>
      </c>
      <c r="BP73" s="12"/>
      <c r="BQ73" s="23" t="s">
        <v>120</v>
      </c>
      <c r="BR73" s="23" t="s">
        <v>121</v>
      </c>
      <c r="BS73" s="23" t="s">
        <v>122</v>
      </c>
      <c r="BT73" s="23" t="s">
        <v>123</v>
      </c>
      <c r="BU73" s="12"/>
      <c r="BV73" s="29" t="s">
        <v>113</v>
      </c>
      <c r="BW73" s="25" t="s">
        <v>124</v>
      </c>
      <c r="BX73" s="29" t="s">
        <v>114</v>
      </c>
      <c r="BY73" s="29"/>
      <c r="BZ73" s="29" t="s">
        <v>125</v>
      </c>
      <c r="CA73" s="12"/>
      <c r="CB73" s="23" t="s">
        <v>126</v>
      </c>
      <c r="CC73" s="23" t="s">
        <v>127</v>
      </c>
      <c r="CD73" s="23" t="s">
        <v>128</v>
      </c>
      <c r="CE73" s="23" t="s">
        <v>129</v>
      </c>
      <c r="CF73" s="12"/>
      <c r="CG73" s="29" t="s">
        <v>130</v>
      </c>
      <c r="CH73" s="25"/>
      <c r="CI73" s="29"/>
      <c r="CJ73" s="29"/>
      <c r="CK73" s="29" t="s">
        <v>191</v>
      </c>
      <c r="CL73" s="29" t="s">
        <v>132</v>
      </c>
      <c r="CM73" s="12"/>
      <c r="CN73" s="23" t="s">
        <v>133</v>
      </c>
      <c r="CO73" s="23" t="s">
        <v>134</v>
      </c>
      <c r="CP73" s="23" t="s">
        <v>135</v>
      </c>
      <c r="CQ73" s="23" t="s">
        <v>136</v>
      </c>
    </row>
    <row r="74" spans="1:95" ht="14.5">
      <c r="A74" s="22" t="s">
        <v>310</v>
      </c>
      <c r="B74" s="22">
        <v>54850098200267</v>
      </c>
      <c r="C74" s="22" t="s">
        <v>311</v>
      </c>
      <c r="D74" s="22"/>
      <c r="E74" s="145" t="s">
        <v>2392</v>
      </c>
      <c r="F74" s="28" t="s">
        <v>159</v>
      </c>
      <c r="G74" s="29" t="s">
        <v>510</v>
      </c>
      <c r="H74" s="22" t="s">
        <v>56</v>
      </c>
      <c r="I74" s="25" t="s">
        <v>2423</v>
      </c>
      <c r="J74" s="23" t="s">
        <v>511</v>
      </c>
      <c r="K74" s="12"/>
      <c r="L74" s="23" t="s">
        <v>244</v>
      </c>
      <c r="M74" s="24">
        <v>1776</v>
      </c>
      <c r="N74" s="23" t="s">
        <v>101</v>
      </c>
      <c r="O74" s="23">
        <v>7</v>
      </c>
      <c r="P74" s="23" t="s">
        <v>102</v>
      </c>
      <c r="Q74" s="12"/>
      <c r="R74" s="12"/>
      <c r="S74" s="12"/>
      <c r="T74" s="13" t="s">
        <v>2436</v>
      </c>
      <c r="U74" s="25" t="s">
        <v>11</v>
      </c>
      <c r="V74" s="25" t="s">
        <v>12</v>
      </c>
      <c r="W74" s="23" t="s">
        <v>103</v>
      </c>
      <c r="X74" s="25" t="s">
        <v>13</v>
      </c>
      <c r="Y74" s="12"/>
      <c r="Z74" s="23" t="s">
        <v>104</v>
      </c>
      <c r="AA74" s="23" t="s">
        <v>105</v>
      </c>
      <c r="AB74" s="23" t="s">
        <v>106</v>
      </c>
      <c r="AC74" s="23" t="s">
        <v>107</v>
      </c>
      <c r="AD74" s="12"/>
      <c r="AE74" s="23" t="s">
        <v>267</v>
      </c>
      <c r="AF74" s="23" t="s">
        <v>268</v>
      </c>
      <c r="AG74" s="25"/>
      <c r="AH74" s="23" t="s">
        <v>269</v>
      </c>
      <c r="AI74" s="23" t="s">
        <v>270</v>
      </c>
      <c r="AJ74" s="25">
        <v>1</v>
      </c>
      <c r="AK74" s="23" t="s">
        <v>111</v>
      </c>
      <c r="AL74" s="25"/>
      <c r="AM74" s="12"/>
      <c r="AN74" s="12"/>
      <c r="AO74" s="29" t="s">
        <v>112</v>
      </c>
      <c r="AP74" s="29" t="s">
        <v>112</v>
      </c>
      <c r="AQ74" s="12"/>
      <c r="AR74" s="29"/>
      <c r="AS74" s="25"/>
      <c r="AT74" s="25"/>
      <c r="AU74" s="25"/>
      <c r="AV74" s="12"/>
      <c r="AW74" s="25"/>
      <c r="AX74" s="25"/>
      <c r="AY74" s="25"/>
      <c r="AZ74" s="25"/>
      <c r="BA74" s="12"/>
      <c r="BB74" s="25"/>
      <c r="BC74" s="25"/>
      <c r="BD74" s="25"/>
      <c r="BE74" s="25"/>
      <c r="BF74" s="12"/>
      <c r="BG74" s="29" t="s">
        <v>113</v>
      </c>
      <c r="BH74" s="25" t="s">
        <v>313</v>
      </c>
      <c r="BI74" s="29" t="s">
        <v>114</v>
      </c>
      <c r="BJ74" s="29" t="s">
        <v>258</v>
      </c>
      <c r="BK74" s="12"/>
      <c r="BL74" s="23" t="s">
        <v>116</v>
      </c>
      <c r="BM74" s="23" t="s">
        <v>117</v>
      </c>
      <c r="BN74" s="23" t="s">
        <v>118</v>
      </c>
      <c r="BO74" s="23" t="s">
        <v>119</v>
      </c>
      <c r="BP74" s="12"/>
      <c r="BQ74" s="23" t="s">
        <v>120</v>
      </c>
      <c r="BR74" s="23" t="s">
        <v>121</v>
      </c>
      <c r="BS74" s="23" t="s">
        <v>122</v>
      </c>
      <c r="BT74" s="23" t="s">
        <v>123</v>
      </c>
      <c r="BU74" s="12"/>
      <c r="BV74" s="29" t="s">
        <v>113</v>
      </c>
      <c r="BW74" s="25" t="s">
        <v>124</v>
      </c>
      <c r="BX74" s="29" t="s">
        <v>114</v>
      </c>
      <c r="BY74" s="29"/>
      <c r="BZ74" s="29" t="s">
        <v>125</v>
      </c>
      <c r="CA74" s="12"/>
      <c r="CB74" s="23" t="s">
        <v>126</v>
      </c>
      <c r="CC74" s="23" t="s">
        <v>127</v>
      </c>
      <c r="CD74" s="23" t="s">
        <v>128</v>
      </c>
      <c r="CE74" s="23" t="s">
        <v>129</v>
      </c>
      <c r="CF74" s="12"/>
      <c r="CG74" s="29" t="s">
        <v>130</v>
      </c>
      <c r="CH74" s="25"/>
      <c r="CI74" s="29"/>
      <c r="CJ74" s="29"/>
      <c r="CK74" s="29" t="s">
        <v>191</v>
      </c>
      <c r="CL74" s="29" t="s">
        <v>132</v>
      </c>
      <c r="CM74" s="12"/>
      <c r="CN74" s="23" t="s">
        <v>133</v>
      </c>
      <c r="CO74" s="23" t="s">
        <v>134</v>
      </c>
      <c r="CP74" s="23" t="s">
        <v>135</v>
      </c>
      <c r="CQ74" s="23" t="s">
        <v>136</v>
      </c>
    </row>
    <row r="75" spans="1:95" ht="14.5">
      <c r="A75" s="27" t="s">
        <v>310</v>
      </c>
      <c r="B75" s="27">
        <v>54850098200267</v>
      </c>
      <c r="C75" s="27" t="s">
        <v>311</v>
      </c>
      <c r="D75" s="27"/>
      <c r="E75" s="27" t="s">
        <v>2391</v>
      </c>
      <c r="F75" s="22" t="s">
        <v>159</v>
      </c>
      <c r="G75" s="23"/>
      <c r="H75" s="22" t="s">
        <v>56</v>
      </c>
      <c r="I75" s="25" t="s">
        <v>2423</v>
      </c>
      <c r="J75" s="23" t="s">
        <v>513</v>
      </c>
      <c r="K75" s="13"/>
      <c r="L75" s="23" t="s">
        <v>244</v>
      </c>
      <c r="M75" s="24">
        <v>1776</v>
      </c>
      <c r="N75" s="23" t="s">
        <v>101</v>
      </c>
      <c r="O75" s="23">
        <v>7</v>
      </c>
      <c r="P75" s="23" t="s">
        <v>102</v>
      </c>
      <c r="Q75" s="13"/>
      <c r="R75" s="13"/>
      <c r="S75" s="13"/>
      <c r="T75" s="13" t="s">
        <v>2436</v>
      </c>
      <c r="U75" s="23" t="s">
        <v>11</v>
      </c>
      <c r="V75" s="23" t="s">
        <v>12</v>
      </c>
      <c r="W75" s="23" t="s">
        <v>103</v>
      </c>
      <c r="X75" s="23" t="s">
        <v>13</v>
      </c>
      <c r="Y75" s="13"/>
      <c r="Z75" s="23" t="s">
        <v>104</v>
      </c>
      <c r="AA75" s="23" t="s">
        <v>105</v>
      </c>
      <c r="AB75" s="23" t="s">
        <v>106</v>
      </c>
      <c r="AC75" s="23" t="s">
        <v>107</v>
      </c>
      <c r="AD75" s="13"/>
      <c r="AE75" s="23" t="s">
        <v>267</v>
      </c>
      <c r="AF75" s="23" t="s">
        <v>268</v>
      </c>
      <c r="AG75" s="23"/>
      <c r="AH75" s="23" t="s">
        <v>269</v>
      </c>
      <c r="AI75" s="23" t="s">
        <v>270</v>
      </c>
      <c r="AJ75" s="25">
        <v>1</v>
      </c>
      <c r="AK75" s="23" t="s">
        <v>111</v>
      </c>
      <c r="AL75" s="23"/>
      <c r="AM75" s="13"/>
      <c r="AN75" s="13"/>
      <c r="AO75" s="26" t="s">
        <v>112</v>
      </c>
      <c r="AP75" s="26" t="s">
        <v>112</v>
      </c>
      <c r="AQ75" s="13"/>
      <c r="AR75" s="26"/>
      <c r="AS75" s="23"/>
      <c r="AT75" s="23"/>
      <c r="AU75" s="23"/>
      <c r="AV75" s="13"/>
      <c r="AW75" s="23"/>
      <c r="AX75" s="23"/>
      <c r="AY75" s="23"/>
      <c r="AZ75" s="23"/>
      <c r="BA75" s="13"/>
      <c r="BB75" s="23"/>
      <c r="BC75" s="23"/>
      <c r="BD75" s="23"/>
      <c r="BE75" s="23"/>
      <c r="BF75" s="13"/>
      <c r="BG75" s="26" t="s">
        <v>113</v>
      </c>
      <c r="BH75" s="23" t="s">
        <v>313</v>
      </c>
      <c r="BI75" s="26" t="s">
        <v>114</v>
      </c>
      <c r="BJ75" s="26" t="s">
        <v>258</v>
      </c>
      <c r="BK75" s="13"/>
      <c r="BL75" s="23" t="s">
        <v>116</v>
      </c>
      <c r="BM75" s="23" t="s">
        <v>117</v>
      </c>
      <c r="BN75" s="23" t="s">
        <v>118</v>
      </c>
      <c r="BO75" s="23" t="s">
        <v>119</v>
      </c>
      <c r="BP75" s="13"/>
      <c r="BQ75" s="23" t="s">
        <v>120</v>
      </c>
      <c r="BR75" s="23" t="s">
        <v>121</v>
      </c>
      <c r="BS75" s="23" t="s">
        <v>122</v>
      </c>
      <c r="BT75" s="23" t="s">
        <v>123</v>
      </c>
      <c r="BU75" s="13"/>
      <c r="BV75" s="26" t="s">
        <v>113</v>
      </c>
      <c r="BW75" s="23" t="s">
        <v>124</v>
      </c>
      <c r="BX75" s="26" t="s">
        <v>114</v>
      </c>
      <c r="BY75" s="26"/>
      <c r="BZ75" s="26" t="s">
        <v>125</v>
      </c>
      <c r="CA75" s="13"/>
      <c r="CB75" s="23" t="s">
        <v>126</v>
      </c>
      <c r="CC75" s="23" t="s">
        <v>127</v>
      </c>
      <c r="CD75" s="23" t="s">
        <v>128</v>
      </c>
      <c r="CE75" s="23" t="s">
        <v>129</v>
      </c>
      <c r="CF75" s="13"/>
      <c r="CG75" s="26" t="s">
        <v>130</v>
      </c>
      <c r="CH75" s="23" t="s">
        <v>489</v>
      </c>
      <c r="CI75" s="26" t="s">
        <v>490</v>
      </c>
      <c r="CJ75" s="26"/>
      <c r="CK75" s="26" t="s">
        <v>166</v>
      </c>
      <c r="CL75" s="26" t="s">
        <v>167</v>
      </c>
      <c r="CM75" s="13"/>
      <c r="CN75" s="23" t="s">
        <v>133</v>
      </c>
      <c r="CO75" s="23" t="s">
        <v>134</v>
      </c>
      <c r="CP75" s="23" t="s">
        <v>135</v>
      </c>
      <c r="CQ75" s="23" t="s">
        <v>136</v>
      </c>
    </row>
    <row r="76" spans="1:95" ht="14.5">
      <c r="A76" s="22" t="s">
        <v>310</v>
      </c>
      <c r="B76" s="22">
        <v>54850098200267</v>
      </c>
      <c r="C76" s="22" t="s">
        <v>311</v>
      </c>
      <c r="D76" s="22"/>
      <c r="E76" s="22" t="s">
        <v>2396</v>
      </c>
      <c r="F76" s="28" t="s">
        <v>225</v>
      </c>
      <c r="G76" s="25"/>
      <c r="H76" s="22" t="s">
        <v>56</v>
      </c>
      <c r="I76" s="25" t="s">
        <v>2423</v>
      </c>
      <c r="J76" s="23" t="s">
        <v>514</v>
      </c>
      <c r="K76" s="12"/>
      <c r="L76" s="29" t="s">
        <v>112</v>
      </c>
      <c r="M76" s="29" t="s">
        <v>112</v>
      </c>
      <c r="N76" s="29" t="s">
        <v>112</v>
      </c>
      <c r="O76" s="29" t="s">
        <v>112</v>
      </c>
      <c r="P76" s="29" t="s">
        <v>112</v>
      </c>
      <c r="Q76" s="12"/>
      <c r="R76" s="12"/>
      <c r="S76" s="12"/>
      <c r="T76" s="13" t="s">
        <v>2436</v>
      </c>
      <c r="U76" s="25" t="s">
        <v>11</v>
      </c>
      <c r="V76" s="25" t="s">
        <v>12</v>
      </c>
      <c r="W76" s="23" t="s">
        <v>103</v>
      </c>
      <c r="X76" s="25" t="s">
        <v>13</v>
      </c>
      <c r="Y76" s="12"/>
      <c r="Z76" s="23" t="s">
        <v>104</v>
      </c>
      <c r="AA76" s="23" t="s">
        <v>105</v>
      </c>
      <c r="AB76" s="23" t="s">
        <v>106</v>
      </c>
      <c r="AC76" s="23" t="s">
        <v>107</v>
      </c>
      <c r="AD76" s="12"/>
      <c r="AE76" s="23" t="s">
        <v>267</v>
      </c>
      <c r="AF76" s="23" t="s">
        <v>268</v>
      </c>
      <c r="AG76" s="25"/>
      <c r="AH76" s="23" t="s">
        <v>269</v>
      </c>
      <c r="AI76" s="23" t="s">
        <v>270</v>
      </c>
      <c r="AJ76" s="25">
        <v>1</v>
      </c>
      <c r="AK76" s="25" t="s">
        <v>274</v>
      </c>
      <c r="AL76" s="25" t="s">
        <v>275</v>
      </c>
      <c r="AM76" s="33" t="s">
        <v>276</v>
      </c>
      <c r="AN76" s="12"/>
      <c r="AO76" s="29" t="s">
        <v>112</v>
      </c>
      <c r="AP76" s="29" t="s">
        <v>112</v>
      </c>
      <c r="AQ76" s="12"/>
      <c r="AR76" s="29"/>
      <c r="AS76" s="25"/>
      <c r="AT76" s="25"/>
      <c r="AU76" s="29"/>
      <c r="AV76" s="12"/>
      <c r="AW76" s="25"/>
      <c r="AX76" s="25"/>
      <c r="AY76" s="25"/>
      <c r="AZ76" s="25"/>
      <c r="BA76" s="12"/>
      <c r="BB76" s="25"/>
      <c r="BC76" s="25"/>
      <c r="BD76" s="25"/>
      <c r="BE76" s="25"/>
      <c r="BF76" s="12"/>
      <c r="BG76" s="29" t="s">
        <v>317</v>
      </c>
      <c r="BH76" s="25" t="s">
        <v>318</v>
      </c>
      <c r="BI76" s="29" t="s">
        <v>319</v>
      </c>
      <c r="BJ76" s="25" t="s">
        <v>320</v>
      </c>
      <c r="BK76" s="12"/>
      <c r="BL76" s="23" t="s">
        <v>116</v>
      </c>
      <c r="BM76" s="23" t="s">
        <v>117</v>
      </c>
      <c r="BN76" s="23" t="s">
        <v>118</v>
      </c>
      <c r="BO76" s="23" t="s">
        <v>119</v>
      </c>
      <c r="BP76" s="12"/>
      <c r="BQ76" s="23" t="s">
        <v>120</v>
      </c>
      <c r="BR76" s="23" t="s">
        <v>121</v>
      </c>
      <c r="BS76" s="23" t="s">
        <v>122</v>
      </c>
      <c r="BT76" s="23" t="s">
        <v>123</v>
      </c>
      <c r="BU76" s="12"/>
      <c r="BV76" s="29" t="s">
        <v>321</v>
      </c>
      <c r="BW76" s="29" t="s">
        <v>124</v>
      </c>
      <c r="BX76" s="29" t="s">
        <v>322</v>
      </c>
      <c r="BY76" s="29"/>
      <c r="BZ76" s="29" t="s">
        <v>165</v>
      </c>
      <c r="CA76" s="12"/>
      <c r="CB76" s="23" t="s">
        <v>126</v>
      </c>
      <c r="CC76" s="23" t="s">
        <v>127</v>
      </c>
      <c r="CD76" s="23" t="s">
        <v>128</v>
      </c>
      <c r="CE76" s="23" t="s">
        <v>129</v>
      </c>
      <c r="CF76" s="12"/>
      <c r="CG76" s="29" t="s">
        <v>321</v>
      </c>
      <c r="CH76" s="29" t="s">
        <v>323</v>
      </c>
      <c r="CI76" s="29" t="s">
        <v>322</v>
      </c>
      <c r="CJ76" s="29"/>
      <c r="CK76" s="29" t="s">
        <v>131</v>
      </c>
      <c r="CL76" s="29" t="s">
        <v>132</v>
      </c>
      <c r="CM76" s="12"/>
      <c r="CN76" s="23" t="s">
        <v>133</v>
      </c>
      <c r="CO76" s="23" t="s">
        <v>134</v>
      </c>
      <c r="CP76" s="23" t="s">
        <v>135</v>
      </c>
      <c r="CQ76" s="23" t="s">
        <v>136</v>
      </c>
    </row>
    <row r="77" spans="1:95" ht="14.5">
      <c r="A77" s="27" t="s">
        <v>310</v>
      </c>
      <c r="B77" s="27">
        <v>54850098200267</v>
      </c>
      <c r="C77" s="27" t="s">
        <v>311</v>
      </c>
      <c r="D77" s="27"/>
      <c r="E77" s="27" t="s">
        <v>2395</v>
      </c>
      <c r="F77" s="22" t="s">
        <v>242</v>
      </c>
      <c r="G77" s="23"/>
      <c r="H77" s="22" t="s">
        <v>56</v>
      </c>
      <c r="I77" s="25" t="s">
        <v>2423</v>
      </c>
      <c r="J77" s="23" t="s">
        <v>516</v>
      </c>
      <c r="K77" s="13"/>
      <c r="L77" s="23" t="s">
        <v>244</v>
      </c>
      <c r="M77" s="24">
        <v>1776</v>
      </c>
      <c r="N77" s="23" t="s">
        <v>101</v>
      </c>
      <c r="O77" s="23">
        <v>7</v>
      </c>
      <c r="P77" s="23" t="s">
        <v>102</v>
      </c>
      <c r="Q77" s="13"/>
      <c r="R77" s="13"/>
      <c r="S77" s="13"/>
      <c r="T77" s="13" t="s">
        <v>2436</v>
      </c>
      <c r="U77" s="23" t="s">
        <v>11</v>
      </c>
      <c r="V77" s="23" t="s">
        <v>12</v>
      </c>
      <c r="W77" s="23" t="s">
        <v>103</v>
      </c>
      <c r="X77" s="23" t="s">
        <v>13</v>
      </c>
      <c r="Y77" s="13"/>
      <c r="Z77" s="23" t="s">
        <v>104</v>
      </c>
      <c r="AA77" s="23" t="s">
        <v>105</v>
      </c>
      <c r="AB77" s="23" t="s">
        <v>106</v>
      </c>
      <c r="AC77" s="23" t="s">
        <v>107</v>
      </c>
      <c r="AD77" s="13"/>
      <c r="AE77" s="23" t="s">
        <v>267</v>
      </c>
      <c r="AF77" s="23" t="s">
        <v>268</v>
      </c>
      <c r="AG77" s="23"/>
      <c r="AH77" s="23" t="s">
        <v>269</v>
      </c>
      <c r="AI77" s="23" t="s">
        <v>270</v>
      </c>
      <c r="AJ77" s="25">
        <v>1</v>
      </c>
      <c r="AK77" s="25" t="s">
        <v>274</v>
      </c>
      <c r="AL77" s="25" t="s">
        <v>275</v>
      </c>
      <c r="AM77" s="33" t="s">
        <v>276</v>
      </c>
      <c r="AN77" s="13"/>
      <c r="AO77" s="26" t="s">
        <v>112</v>
      </c>
      <c r="AP77" s="26" t="s">
        <v>112</v>
      </c>
      <c r="AQ77" s="13"/>
      <c r="AR77" s="26"/>
      <c r="AS77" s="23"/>
      <c r="AT77" s="23"/>
      <c r="AU77" s="23"/>
      <c r="AV77" s="13"/>
      <c r="AW77" s="23"/>
      <c r="AX77" s="23"/>
      <c r="AY77" s="23"/>
      <c r="AZ77" s="23"/>
      <c r="BA77" s="13"/>
      <c r="BB77" s="23"/>
      <c r="BC77" s="23"/>
      <c r="BD77" s="23"/>
      <c r="BE77" s="23"/>
      <c r="BF77" s="13"/>
      <c r="BG77" s="26" t="s">
        <v>113</v>
      </c>
      <c r="BH77" s="23" t="s">
        <v>313</v>
      </c>
      <c r="BI77" s="26" t="s">
        <v>114</v>
      </c>
      <c r="BJ77" s="26" t="s">
        <v>258</v>
      </c>
      <c r="BK77" s="13"/>
      <c r="BL77" s="23" t="s">
        <v>116</v>
      </c>
      <c r="BM77" s="23" t="s">
        <v>117</v>
      </c>
      <c r="BN77" s="23" t="s">
        <v>118</v>
      </c>
      <c r="BO77" s="23" t="s">
        <v>119</v>
      </c>
      <c r="BP77" s="13"/>
      <c r="BQ77" s="23" t="s">
        <v>120</v>
      </c>
      <c r="BR77" s="23" t="s">
        <v>121</v>
      </c>
      <c r="BS77" s="23" t="s">
        <v>122</v>
      </c>
      <c r="BT77" s="23" t="s">
        <v>123</v>
      </c>
      <c r="BU77" s="13"/>
      <c r="BV77" s="26" t="s">
        <v>113</v>
      </c>
      <c r="BW77" s="23" t="s">
        <v>124</v>
      </c>
      <c r="BX77" s="26" t="s">
        <v>114</v>
      </c>
      <c r="BY77" s="26"/>
      <c r="BZ77" s="26" t="s">
        <v>517</v>
      </c>
      <c r="CA77" s="13"/>
      <c r="CB77" s="23" t="s">
        <v>126</v>
      </c>
      <c r="CC77" s="23" t="s">
        <v>127</v>
      </c>
      <c r="CD77" s="23" t="s">
        <v>128</v>
      </c>
      <c r="CE77" s="23" t="s">
        <v>129</v>
      </c>
      <c r="CF77" s="13"/>
      <c r="CG77" s="26" t="s">
        <v>518</v>
      </c>
      <c r="CH77" s="26">
        <v>43331348300177</v>
      </c>
      <c r="CI77" s="26" t="s">
        <v>519</v>
      </c>
      <c r="CJ77" s="26"/>
      <c r="CK77" s="26" t="s">
        <v>216</v>
      </c>
      <c r="CL77" s="23" t="s">
        <v>294</v>
      </c>
      <c r="CM77" s="13"/>
      <c r="CN77" s="23" t="s">
        <v>133</v>
      </c>
      <c r="CO77" s="23" t="s">
        <v>134</v>
      </c>
      <c r="CP77" s="23" t="s">
        <v>135</v>
      </c>
      <c r="CQ77" s="23" t="s">
        <v>136</v>
      </c>
    </row>
    <row r="78" spans="1:95" ht="14.5">
      <c r="A78" s="22" t="s">
        <v>310</v>
      </c>
      <c r="B78" s="22">
        <v>54850098200267</v>
      </c>
      <c r="C78" s="22" t="s">
        <v>311</v>
      </c>
      <c r="D78" s="22"/>
      <c r="E78" s="145" t="s">
        <v>2422</v>
      </c>
      <c r="F78" s="28" t="s">
        <v>521</v>
      </c>
      <c r="G78" s="25"/>
      <c r="H78" s="22" t="s">
        <v>56</v>
      </c>
      <c r="I78" s="23" t="s">
        <v>2421</v>
      </c>
      <c r="J78" s="23" t="s">
        <v>522</v>
      </c>
      <c r="K78" s="12"/>
      <c r="L78" s="29" t="s">
        <v>112</v>
      </c>
      <c r="M78" s="29" t="s">
        <v>112</v>
      </c>
      <c r="N78" s="29" t="s">
        <v>112</v>
      </c>
      <c r="O78" s="29" t="s">
        <v>112</v>
      </c>
      <c r="P78" s="29" t="s">
        <v>112</v>
      </c>
      <c r="Q78" s="12"/>
      <c r="R78" s="12"/>
      <c r="S78" s="12"/>
      <c r="T78" s="13" t="s">
        <v>2436</v>
      </c>
      <c r="U78" s="25" t="s">
        <v>11</v>
      </c>
      <c r="V78" s="25" t="s">
        <v>12</v>
      </c>
      <c r="W78" s="23" t="s">
        <v>103</v>
      </c>
      <c r="X78" s="25" t="s">
        <v>13</v>
      </c>
      <c r="Y78" s="12"/>
      <c r="Z78" s="23" t="s">
        <v>104</v>
      </c>
      <c r="AA78" s="23" t="s">
        <v>105</v>
      </c>
      <c r="AB78" s="23" t="s">
        <v>106</v>
      </c>
      <c r="AC78" s="23" t="s">
        <v>107</v>
      </c>
      <c r="AD78" s="12"/>
      <c r="AE78" s="23" t="s">
        <v>267</v>
      </c>
      <c r="AF78" s="23" t="s">
        <v>268</v>
      </c>
      <c r="AG78" s="25"/>
      <c r="AH78" s="23" t="s">
        <v>269</v>
      </c>
      <c r="AI78" s="23" t="s">
        <v>270</v>
      </c>
      <c r="AJ78" s="25">
        <v>1</v>
      </c>
      <c r="AK78" s="25" t="s">
        <v>274</v>
      </c>
      <c r="AL78" s="25" t="s">
        <v>275</v>
      </c>
      <c r="AM78" s="33" t="s">
        <v>276</v>
      </c>
      <c r="AN78" s="12"/>
      <c r="AO78" s="29" t="s">
        <v>112</v>
      </c>
      <c r="AP78" s="29" t="s">
        <v>112</v>
      </c>
      <c r="AQ78" s="12"/>
      <c r="AR78" s="29"/>
      <c r="AS78" s="25"/>
      <c r="AT78" s="25"/>
      <c r="AU78" s="29"/>
      <c r="AV78" s="12"/>
      <c r="AW78" s="25"/>
      <c r="AX78" s="25"/>
      <c r="AY78" s="25"/>
      <c r="AZ78" s="25"/>
      <c r="BA78" s="12"/>
      <c r="BB78" s="25"/>
      <c r="BC78" s="25"/>
      <c r="BD78" s="25"/>
      <c r="BE78" s="25"/>
      <c r="BF78" s="12"/>
      <c r="BG78" s="25" t="s">
        <v>479</v>
      </c>
      <c r="BH78" s="25" t="s">
        <v>480</v>
      </c>
      <c r="BI78" s="29" t="s">
        <v>481</v>
      </c>
      <c r="BJ78" s="29">
        <v>2167013</v>
      </c>
      <c r="BK78" s="12"/>
      <c r="BL78" s="23" t="s">
        <v>116</v>
      </c>
      <c r="BM78" s="23" t="s">
        <v>117</v>
      </c>
      <c r="BN78" s="23" t="s">
        <v>118</v>
      </c>
      <c r="BO78" s="23" t="s">
        <v>119</v>
      </c>
      <c r="BP78" s="12"/>
      <c r="BQ78" s="23" t="s">
        <v>120</v>
      </c>
      <c r="BR78" s="23" t="s">
        <v>121</v>
      </c>
      <c r="BS78" s="23" t="s">
        <v>122</v>
      </c>
      <c r="BT78" s="23" t="s">
        <v>123</v>
      </c>
      <c r="BU78" s="12"/>
      <c r="BV78" s="29" t="s">
        <v>479</v>
      </c>
      <c r="BW78" s="25" t="s">
        <v>124</v>
      </c>
      <c r="BX78" s="29" t="s">
        <v>481</v>
      </c>
      <c r="BY78" s="29"/>
      <c r="BZ78" s="25" t="s">
        <v>215</v>
      </c>
      <c r="CA78" s="12"/>
      <c r="CB78" s="23" t="s">
        <v>126</v>
      </c>
      <c r="CC78" s="23" t="s">
        <v>127</v>
      </c>
      <c r="CD78" s="23" t="s">
        <v>128</v>
      </c>
      <c r="CE78" s="23" t="s">
        <v>129</v>
      </c>
      <c r="CF78" s="12"/>
      <c r="CG78" s="29" t="s">
        <v>523</v>
      </c>
      <c r="CH78" s="25" t="s">
        <v>524</v>
      </c>
      <c r="CI78" s="29" t="s">
        <v>525</v>
      </c>
      <c r="CJ78" s="29"/>
      <c r="CK78" s="29" t="s">
        <v>526</v>
      </c>
      <c r="CL78" s="29" t="s">
        <v>527</v>
      </c>
      <c r="CM78" s="12"/>
      <c r="CN78" s="23" t="s">
        <v>133</v>
      </c>
      <c r="CO78" s="23" t="s">
        <v>134</v>
      </c>
      <c r="CP78" s="23" t="s">
        <v>135</v>
      </c>
      <c r="CQ78" s="23" t="s">
        <v>136</v>
      </c>
    </row>
    <row r="79" spans="1:95" ht="14.5">
      <c r="A79" s="27" t="s">
        <v>310</v>
      </c>
      <c r="B79" s="27">
        <v>54850098200267</v>
      </c>
      <c r="C79" s="27" t="s">
        <v>311</v>
      </c>
      <c r="D79" s="27"/>
      <c r="E79" s="144" t="s">
        <v>2422</v>
      </c>
      <c r="F79" s="28" t="s">
        <v>521</v>
      </c>
      <c r="G79" s="25"/>
      <c r="H79" s="22" t="s">
        <v>56</v>
      </c>
      <c r="I79" s="23" t="s">
        <v>2421</v>
      </c>
      <c r="J79" s="23" t="s">
        <v>528</v>
      </c>
      <c r="K79" s="12"/>
      <c r="L79" s="29" t="s">
        <v>112</v>
      </c>
      <c r="M79" s="29" t="s">
        <v>112</v>
      </c>
      <c r="N79" s="29" t="s">
        <v>112</v>
      </c>
      <c r="O79" s="29" t="s">
        <v>112</v>
      </c>
      <c r="P79" s="29" t="s">
        <v>112</v>
      </c>
      <c r="Q79" s="12"/>
      <c r="R79" s="12" t="s">
        <v>200</v>
      </c>
      <c r="S79" s="12"/>
      <c r="T79" s="13" t="s">
        <v>2436</v>
      </c>
      <c r="U79" s="25" t="s">
        <v>11</v>
      </c>
      <c r="V79" s="25" t="s">
        <v>12</v>
      </c>
      <c r="W79" s="23" t="s">
        <v>103</v>
      </c>
      <c r="X79" s="25" t="s">
        <v>13</v>
      </c>
      <c r="Y79" s="12"/>
      <c r="Z79" s="23" t="s">
        <v>104</v>
      </c>
      <c r="AA79" s="23" t="s">
        <v>105</v>
      </c>
      <c r="AB79" s="23" t="s">
        <v>106</v>
      </c>
      <c r="AC79" s="23" t="s">
        <v>107</v>
      </c>
      <c r="AD79" s="12"/>
      <c r="AE79" s="25" t="s">
        <v>108</v>
      </c>
      <c r="AF79" s="23" t="s">
        <v>108</v>
      </c>
      <c r="AG79" s="25"/>
      <c r="AH79" s="23" t="s">
        <v>109</v>
      </c>
      <c r="AI79" s="23" t="s">
        <v>110</v>
      </c>
      <c r="AJ79" s="25">
        <v>1</v>
      </c>
      <c r="AK79" s="25" t="s">
        <v>274</v>
      </c>
      <c r="AL79" s="25" t="s">
        <v>275</v>
      </c>
      <c r="AM79" s="33" t="s">
        <v>276</v>
      </c>
      <c r="AN79" s="12"/>
      <c r="AO79" s="29" t="s">
        <v>112</v>
      </c>
      <c r="AP79" s="29" t="s">
        <v>112</v>
      </c>
      <c r="AQ79" s="12"/>
      <c r="AR79" s="29"/>
      <c r="AS79" s="29"/>
      <c r="AT79" s="29"/>
      <c r="AU79" s="29"/>
      <c r="AV79" s="12"/>
      <c r="AW79" s="25"/>
      <c r="AX79" s="25"/>
      <c r="AY79" s="25"/>
      <c r="AZ79" s="25"/>
      <c r="BA79" s="12"/>
      <c r="BB79" s="25"/>
      <c r="BC79" s="25"/>
      <c r="BD79" s="25"/>
      <c r="BE79" s="25"/>
      <c r="BF79" s="12"/>
      <c r="BG79" s="25" t="s">
        <v>479</v>
      </c>
      <c r="BH79" s="25" t="s">
        <v>480</v>
      </c>
      <c r="BI79" s="29" t="s">
        <v>481</v>
      </c>
      <c r="BJ79" s="29">
        <v>2167013</v>
      </c>
      <c r="BK79" s="12"/>
      <c r="BL79" s="23" t="s">
        <v>116</v>
      </c>
      <c r="BM79" s="23" t="s">
        <v>117</v>
      </c>
      <c r="BN79" s="23" t="s">
        <v>118</v>
      </c>
      <c r="BO79" s="23" t="s">
        <v>119</v>
      </c>
      <c r="BP79" s="12"/>
      <c r="BQ79" s="23" t="s">
        <v>120</v>
      </c>
      <c r="BR79" s="23" t="s">
        <v>121</v>
      </c>
      <c r="BS79" s="23" t="s">
        <v>122</v>
      </c>
      <c r="BT79" s="23" t="s">
        <v>123</v>
      </c>
      <c r="BU79" s="12"/>
      <c r="BV79" s="29" t="s">
        <v>479</v>
      </c>
      <c r="BW79" s="25" t="s">
        <v>124</v>
      </c>
      <c r="BX79" s="29" t="s">
        <v>481</v>
      </c>
      <c r="BY79" s="29"/>
      <c r="BZ79" s="25" t="s">
        <v>215</v>
      </c>
      <c r="CA79" s="12"/>
      <c r="CB79" s="23" t="s">
        <v>126</v>
      </c>
      <c r="CC79" s="23" t="s">
        <v>127</v>
      </c>
      <c r="CD79" s="23" t="s">
        <v>128</v>
      </c>
      <c r="CE79" s="23" t="s">
        <v>129</v>
      </c>
      <c r="CF79" s="12"/>
      <c r="CG79" s="29" t="s">
        <v>529</v>
      </c>
      <c r="CH79" s="25" t="s">
        <v>530</v>
      </c>
      <c r="CI79" s="29" t="s">
        <v>531</v>
      </c>
      <c r="CJ79" s="29"/>
      <c r="CK79" s="29" t="s">
        <v>532</v>
      </c>
      <c r="CL79" s="29" t="s">
        <v>533</v>
      </c>
      <c r="CM79" s="12"/>
      <c r="CN79" s="23" t="s">
        <v>133</v>
      </c>
      <c r="CO79" s="23" t="s">
        <v>134</v>
      </c>
      <c r="CP79" s="23" t="s">
        <v>135</v>
      </c>
      <c r="CQ79" s="23" t="s">
        <v>136</v>
      </c>
    </row>
    <row r="80" spans="1:95" ht="14.5">
      <c r="A80" s="22" t="s">
        <v>310</v>
      </c>
      <c r="B80" s="22">
        <v>54850098200267</v>
      </c>
      <c r="C80" s="22" t="s">
        <v>311</v>
      </c>
      <c r="D80" s="22"/>
      <c r="E80" s="22" t="s">
        <v>2398</v>
      </c>
      <c r="F80" s="22" t="s">
        <v>255</v>
      </c>
      <c r="G80" s="23"/>
      <c r="H80" s="22" t="s">
        <v>56</v>
      </c>
      <c r="I80" s="23" t="s">
        <v>2421</v>
      </c>
      <c r="J80" s="23" t="s">
        <v>534</v>
      </c>
      <c r="K80" s="13"/>
      <c r="L80" s="23" t="s">
        <v>244</v>
      </c>
      <c r="M80" s="24">
        <v>1776</v>
      </c>
      <c r="N80" s="23" t="s">
        <v>101</v>
      </c>
      <c r="O80" s="23">
        <v>7</v>
      </c>
      <c r="P80" s="23" t="s">
        <v>102</v>
      </c>
      <c r="Q80" s="13"/>
      <c r="R80" s="12" t="s">
        <v>200</v>
      </c>
      <c r="S80" s="13"/>
      <c r="T80" s="13" t="s">
        <v>2436</v>
      </c>
      <c r="U80" s="23" t="s">
        <v>11</v>
      </c>
      <c r="V80" s="23" t="s">
        <v>12</v>
      </c>
      <c r="W80" s="23" t="s">
        <v>103</v>
      </c>
      <c r="X80" s="23" t="s">
        <v>13</v>
      </c>
      <c r="Y80" s="13"/>
      <c r="Z80" s="23" t="s">
        <v>104</v>
      </c>
      <c r="AA80" s="23" t="s">
        <v>105</v>
      </c>
      <c r="AB80" s="23" t="s">
        <v>106</v>
      </c>
      <c r="AC80" s="23" t="s">
        <v>107</v>
      </c>
      <c r="AD80" s="13"/>
      <c r="AE80" s="25" t="s">
        <v>108</v>
      </c>
      <c r="AF80" s="23" t="s">
        <v>108</v>
      </c>
      <c r="AG80" s="23"/>
      <c r="AH80" s="23" t="s">
        <v>109</v>
      </c>
      <c r="AI80" s="23" t="s">
        <v>110</v>
      </c>
      <c r="AJ80" s="25">
        <v>1</v>
      </c>
      <c r="AK80" s="25" t="s">
        <v>274</v>
      </c>
      <c r="AL80" s="25" t="s">
        <v>275</v>
      </c>
      <c r="AM80" s="33" t="s">
        <v>276</v>
      </c>
      <c r="AN80" s="13"/>
      <c r="AO80" s="26" t="s">
        <v>112</v>
      </c>
      <c r="AP80" s="26" t="s">
        <v>112</v>
      </c>
      <c r="AQ80" s="13"/>
      <c r="AR80" s="26"/>
      <c r="AS80" s="23"/>
      <c r="AT80" s="23"/>
      <c r="AU80" s="23"/>
      <c r="AV80" s="13"/>
      <c r="AW80" s="23"/>
      <c r="AX80" s="23"/>
      <c r="AY80" s="23"/>
      <c r="AZ80" s="23"/>
      <c r="BA80" s="13"/>
      <c r="BB80" s="23"/>
      <c r="BC80" s="23"/>
      <c r="BD80" s="23"/>
      <c r="BE80" s="23"/>
      <c r="BF80" s="13"/>
      <c r="BG80" s="26" t="s">
        <v>113</v>
      </c>
      <c r="BH80" s="23" t="s">
        <v>313</v>
      </c>
      <c r="BI80" s="26" t="s">
        <v>114</v>
      </c>
      <c r="BJ80" s="26" t="s">
        <v>258</v>
      </c>
      <c r="BK80" s="13"/>
      <c r="BL80" s="23" t="s">
        <v>116</v>
      </c>
      <c r="BM80" s="23" t="s">
        <v>117</v>
      </c>
      <c r="BN80" s="23" t="s">
        <v>118</v>
      </c>
      <c r="BO80" s="23" t="s">
        <v>119</v>
      </c>
      <c r="BP80" s="13"/>
      <c r="BQ80" s="23" t="s">
        <v>120</v>
      </c>
      <c r="BR80" s="23" t="s">
        <v>121</v>
      </c>
      <c r="BS80" s="23" t="s">
        <v>122</v>
      </c>
      <c r="BT80" s="23" t="s">
        <v>123</v>
      </c>
      <c r="BU80" s="13"/>
      <c r="BV80" s="26" t="s">
        <v>113</v>
      </c>
      <c r="BW80" s="23" t="s">
        <v>124</v>
      </c>
      <c r="BX80" s="26" t="s">
        <v>114</v>
      </c>
      <c r="BY80" s="26"/>
      <c r="BZ80" s="26" t="s">
        <v>125</v>
      </c>
      <c r="CA80" s="13"/>
      <c r="CB80" s="23" t="s">
        <v>126</v>
      </c>
      <c r="CC80" s="23" t="s">
        <v>127</v>
      </c>
      <c r="CD80" s="23" t="s">
        <v>128</v>
      </c>
      <c r="CE80" s="23" t="s">
        <v>129</v>
      </c>
      <c r="CF80" s="13"/>
      <c r="CG80" s="26" t="s">
        <v>130</v>
      </c>
      <c r="CH80" s="23"/>
      <c r="CI80" s="26"/>
      <c r="CJ80" s="26"/>
      <c r="CK80" s="26" t="s">
        <v>166</v>
      </c>
      <c r="CL80" s="26" t="s">
        <v>167</v>
      </c>
      <c r="CM80" s="13"/>
      <c r="CN80" s="23" t="s">
        <v>133</v>
      </c>
      <c r="CO80" s="23" t="s">
        <v>134</v>
      </c>
      <c r="CP80" s="23" t="s">
        <v>135</v>
      </c>
      <c r="CQ80" s="23" t="s">
        <v>136</v>
      </c>
    </row>
    <row r="81" spans="1:95" ht="14.5">
      <c r="A81" s="27" t="s">
        <v>310</v>
      </c>
      <c r="B81" s="27">
        <v>54850098200267</v>
      </c>
      <c r="C81" s="27" t="s">
        <v>311</v>
      </c>
      <c r="D81" s="27"/>
      <c r="E81" s="144" t="s">
        <v>2395</v>
      </c>
      <c r="F81" s="28" t="s">
        <v>261</v>
      </c>
      <c r="G81" s="29" t="s">
        <v>536</v>
      </c>
      <c r="H81" s="22" t="s">
        <v>56</v>
      </c>
      <c r="I81" s="25" t="s">
        <v>2423</v>
      </c>
      <c r="J81" s="23" t="s">
        <v>537</v>
      </c>
      <c r="K81" s="12"/>
      <c r="L81" s="23" t="s">
        <v>244</v>
      </c>
      <c r="M81" s="24">
        <v>1776</v>
      </c>
      <c r="N81" s="23" t="s">
        <v>101</v>
      </c>
      <c r="O81" s="23">
        <v>7</v>
      </c>
      <c r="P81" s="23" t="s">
        <v>102</v>
      </c>
      <c r="Q81" s="12"/>
      <c r="R81" s="12"/>
      <c r="S81" s="12"/>
      <c r="T81" s="13" t="s">
        <v>2436</v>
      </c>
      <c r="U81" s="25" t="s">
        <v>11</v>
      </c>
      <c r="V81" s="25" t="s">
        <v>12</v>
      </c>
      <c r="W81" s="23" t="s">
        <v>103</v>
      </c>
      <c r="X81" s="25" t="s">
        <v>13</v>
      </c>
      <c r="Y81" s="12"/>
      <c r="Z81" s="23" t="s">
        <v>104</v>
      </c>
      <c r="AA81" s="23" t="s">
        <v>105</v>
      </c>
      <c r="AB81" s="23" t="s">
        <v>106</v>
      </c>
      <c r="AC81" s="23" t="s">
        <v>107</v>
      </c>
      <c r="AD81" s="12"/>
      <c r="AE81" s="25" t="s">
        <v>538</v>
      </c>
      <c r="AF81" s="25" t="s">
        <v>2437</v>
      </c>
      <c r="AG81" s="25"/>
      <c r="AH81" s="25" t="s">
        <v>202</v>
      </c>
      <c r="AI81" s="25" t="s">
        <v>203</v>
      </c>
      <c r="AJ81" s="25">
        <v>3</v>
      </c>
      <c r="AK81" s="25" t="s">
        <v>274</v>
      </c>
      <c r="AL81" s="25" t="s">
        <v>275</v>
      </c>
      <c r="AM81" s="33" t="s">
        <v>276</v>
      </c>
      <c r="AN81" s="12"/>
      <c r="AO81" s="29" t="s">
        <v>112</v>
      </c>
      <c r="AP81" s="29" t="s">
        <v>112</v>
      </c>
      <c r="AQ81" s="12"/>
      <c r="AR81" s="29"/>
      <c r="AS81" s="25"/>
      <c r="AT81" s="25"/>
      <c r="AU81" s="25"/>
      <c r="AV81" s="12"/>
      <c r="AW81" s="25"/>
      <c r="AX81" s="25"/>
      <c r="AY81" s="25"/>
      <c r="AZ81" s="25"/>
      <c r="BA81" s="12"/>
      <c r="BB81" s="25"/>
      <c r="BC81" s="25"/>
      <c r="BD81" s="25"/>
      <c r="BE81" s="25"/>
      <c r="BF81" s="12"/>
      <c r="BG81" s="29" t="s">
        <v>113</v>
      </c>
      <c r="BH81" s="25" t="s">
        <v>313</v>
      </c>
      <c r="BI81" s="29" t="s">
        <v>114</v>
      </c>
      <c r="BJ81" s="29" t="s">
        <v>258</v>
      </c>
      <c r="BK81" s="12"/>
      <c r="BL81" s="23" t="s">
        <v>116</v>
      </c>
      <c r="BM81" s="23" t="s">
        <v>117</v>
      </c>
      <c r="BN81" s="23" t="s">
        <v>118</v>
      </c>
      <c r="BO81" s="23" t="s">
        <v>119</v>
      </c>
      <c r="BP81" s="12"/>
      <c r="BQ81" s="23" t="s">
        <v>120</v>
      </c>
      <c r="BR81" s="23" t="s">
        <v>121</v>
      </c>
      <c r="BS81" s="23" t="s">
        <v>122</v>
      </c>
      <c r="BT81" s="23" t="s">
        <v>123</v>
      </c>
      <c r="BU81" s="12"/>
      <c r="BV81" s="29" t="s">
        <v>113</v>
      </c>
      <c r="BW81" s="25" t="s">
        <v>124</v>
      </c>
      <c r="BX81" s="29" t="s">
        <v>114</v>
      </c>
      <c r="BY81" s="29"/>
      <c r="BZ81" s="29" t="s">
        <v>125</v>
      </c>
      <c r="CA81" s="12"/>
      <c r="CB81" s="23" t="s">
        <v>126</v>
      </c>
      <c r="CC81" s="23" t="s">
        <v>127</v>
      </c>
      <c r="CD81" s="23" t="s">
        <v>128</v>
      </c>
      <c r="CE81" s="23" t="s">
        <v>129</v>
      </c>
      <c r="CF81" s="12"/>
      <c r="CG81" s="29" t="s">
        <v>130</v>
      </c>
      <c r="CH81" s="25"/>
      <c r="CI81" s="29"/>
      <c r="CJ81" s="29"/>
      <c r="CK81" s="29" t="s">
        <v>166</v>
      </c>
      <c r="CL81" s="29" t="s">
        <v>167</v>
      </c>
      <c r="CM81" s="12"/>
      <c r="CN81" s="23" t="s">
        <v>133</v>
      </c>
      <c r="CO81" s="23" t="s">
        <v>134</v>
      </c>
      <c r="CP81" s="23" t="s">
        <v>135</v>
      </c>
      <c r="CQ81" s="23" t="s">
        <v>136</v>
      </c>
    </row>
    <row r="82" spans="1:95" ht="14.5">
      <c r="A82" s="22" t="s">
        <v>310</v>
      </c>
      <c r="B82" s="22">
        <v>54850098200267</v>
      </c>
      <c r="C82" s="22" t="s">
        <v>311</v>
      </c>
      <c r="D82" s="22"/>
      <c r="E82" s="145" t="s">
        <v>2395</v>
      </c>
      <c r="F82" s="28" t="s">
        <v>261</v>
      </c>
      <c r="G82" s="29" t="s">
        <v>536</v>
      </c>
      <c r="H82" s="22" t="s">
        <v>56</v>
      </c>
      <c r="I82" s="25" t="s">
        <v>2423</v>
      </c>
      <c r="J82" s="23" t="s">
        <v>539</v>
      </c>
      <c r="K82" s="12"/>
      <c r="L82" s="23" t="s">
        <v>244</v>
      </c>
      <c r="M82" s="24">
        <v>1776</v>
      </c>
      <c r="N82" s="23" t="s">
        <v>101</v>
      </c>
      <c r="O82" s="23">
        <v>7</v>
      </c>
      <c r="P82" s="23" t="s">
        <v>102</v>
      </c>
      <c r="Q82" s="12"/>
      <c r="R82" s="12"/>
      <c r="S82" s="12"/>
      <c r="T82" s="13" t="s">
        <v>2436</v>
      </c>
      <c r="U82" s="25" t="s">
        <v>11</v>
      </c>
      <c r="V82" s="25" t="s">
        <v>12</v>
      </c>
      <c r="W82" s="23" t="s">
        <v>103</v>
      </c>
      <c r="X82" s="25" t="s">
        <v>13</v>
      </c>
      <c r="Y82" s="12"/>
      <c r="Z82" s="23" t="s">
        <v>104</v>
      </c>
      <c r="AA82" s="23" t="s">
        <v>105</v>
      </c>
      <c r="AB82" s="23" t="s">
        <v>106</v>
      </c>
      <c r="AC82" s="23" t="s">
        <v>107</v>
      </c>
      <c r="AD82" s="12"/>
      <c r="AE82" s="25" t="s">
        <v>538</v>
      </c>
      <c r="AF82" s="25" t="s">
        <v>2437</v>
      </c>
      <c r="AG82" s="25"/>
      <c r="AH82" s="25" t="s">
        <v>202</v>
      </c>
      <c r="AI82" s="25" t="s">
        <v>203</v>
      </c>
      <c r="AJ82" s="25">
        <v>3</v>
      </c>
      <c r="AK82" s="25" t="s">
        <v>274</v>
      </c>
      <c r="AL82" s="25" t="s">
        <v>275</v>
      </c>
      <c r="AM82" s="33" t="s">
        <v>276</v>
      </c>
      <c r="AN82" s="12"/>
      <c r="AO82" s="29" t="s">
        <v>112</v>
      </c>
      <c r="AP82" s="29" t="s">
        <v>112</v>
      </c>
      <c r="AQ82" s="12"/>
      <c r="AR82" s="29"/>
      <c r="AS82" s="25"/>
      <c r="AT82" s="25"/>
      <c r="AU82" s="25"/>
      <c r="AV82" s="12"/>
      <c r="AW82" s="25"/>
      <c r="AX82" s="25"/>
      <c r="AY82" s="25"/>
      <c r="AZ82" s="25"/>
      <c r="BA82" s="12"/>
      <c r="BB82" s="25"/>
      <c r="BC82" s="25"/>
      <c r="BD82" s="25"/>
      <c r="BE82" s="25"/>
      <c r="BF82" s="12"/>
      <c r="BG82" s="29" t="s">
        <v>113</v>
      </c>
      <c r="BH82" s="25" t="s">
        <v>313</v>
      </c>
      <c r="BI82" s="29" t="s">
        <v>114</v>
      </c>
      <c r="BJ82" s="29" t="s">
        <v>115</v>
      </c>
      <c r="BK82" s="12"/>
      <c r="BL82" s="23" t="s">
        <v>116</v>
      </c>
      <c r="BM82" s="23" t="s">
        <v>117</v>
      </c>
      <c r="BN82" s="23" t="s">
        <v>118</v>
      </c>
      <c r="BO82" s="23" t="s">
        <v>119</v>
      </c>
      <c r="BP82" s="12"/>
      <c r="BQ82" s="23" t="s">
        <v>120</v>
      </c>
      <c r="BR82" s="23" t="s">
        <v>121</v>
      </c>
      <c r="BS82" s="23" t="s">
        <v>122</v>
      </c>
      <c r="BT82" s="23" t="s">
        <v>123</v>
      </c>
      <c r="BU82" s="12"/>
      <c r="BV82" s="29" t="s">
        <v>113</v>
      </c>
      <c r="BW82" s="25" t="s">
        <v>124</v>
      </c>
      <c r="BX82" s="29" t="s">
        <v>114</v>
      </c>
      <c r="BY82" s="29"/>
      <c r="BZ82" s="29" t="s">
        <v>125</v>
      </c>
      <c r="CA82" s="12"/>
      <c r="CB82" s="23" t="s">
        <v>126</v>
      </c>
      <c r="CC82" s="23" t="s">
        <v>127</v>
      </c>
      <c r="CD82" s="23" t="s">
        <v>128</v>
      </c>
      <c r="CE82" s="23" t="s">
        <v>129</v>
      </c>
      <c r="CF82" s="12"/>
      <c r="CG82" s="29" t="s">
        <v>130</v>
      </c>
      <c r="CH82" s="25"/>
      <c r="CI82" s="29"/>
      <c r="CJ82" s="29"/>
      <c r="CK82" s="29" t="s">
        <v>166</v>
      </c>
      <c r="CL82" s="29" t="s">
        <v>167</v>
      </c>
      <c r="CM82" s="12"/>
      <c r="CN82" s="23" t="s">
        <v>133</v>
      </c>
      <c r="CO82" s="23" t="s">
        <v>134</v>
      </c>
      <c r="CP82" s="23" t="s">
        <v>135</v>
      </c>
      <c r="CQ82" s="23" t="s">
        <v>136</v>
      </c>
    </row>
    <row r="83" spans="1:95" ht="14.5">
      <c r="A83" s="27" t="s">
        <v>310</v>
      </c>
      <c r="B83" s="27">
        <v>54850098200267</v>
      </c>
      <c r="C83" s="27" t="s">
        <v>311</v>
      </c>
      <c r="D83" s="27"/>
      <c r="E83" s="144" t="s">
        <v>2395</v>
      </c>
      <c r="F83" s="28" t="s">
        <v>261</v>
      </c>
      <c r="G83" s="29" t="s">
        <v>540</v>
      </c>
      <c r="H83" s="22" t="s">
        <v>56</v>
      </c>
      <c r="I83" s="25" t="s">
        <v>2423</v>
      </c>
      <c r="J83" s="23" t="s">
        <v>541</v>
      </c>
      <c r="K83" s="12"/>
      <c r="L83" s="23" t="s">
        <v>244</v>
      </c>
      <c r="M83" s="24">
        <v>1776</v>
      </c>
      <c r="N83" s="23" t="s">
        <v>101</v>
      </c>
      <c r="O83" s="23">
        <v>7</v>
      </c>
      <c r="P83" s="23" t="s">
        <v>102</v>
      </c>
      <c r="Q83" s="12"/>
      <c r="R83" s="12"/>
      <c r="S83" s="12"/>
      <c r="T83" s="13" t="s">
        <v>2436</v>
      </c>
      <c r="U83" s="25" t="s">
        <v>11</v>
      </c>
      <c r="V83" s="25" t="s">
        <v>12</v>
      </c>
      <c r="W83" s="23" t="s">
        <v>103</v>
      </c>
      <c r="X83" s="25" t="s">
        <v>13</v>
      </c>
      <c r="Y83" s="12"/>
      <c r="Z83" s="23" t="s">
        <v>104</v>
      </c>
      <c r="AA83" s="23" t="s">
        <v>105</v>
      </c>
      <c r="AB83" s="23" t="s">
        <v>106</v>
      </c>
      <c r="AC83" s="23" t="s">
        <v>107</v>
      </c>
      <c r="AD83" s="12"/>
      <c r="AE83" s="25" t="s">
        <v>108</v>
      </c>
      <c r="AF83" s="23" t="s">
        <v>108</v>
      </c>
      <c r="AG83" s="25"/>
      <c r="AH83" s="23" t="s">
        <v>109</v>
      </c>
      <c r="AI83" s="23" t="s">
        <v>110</v>
      </c>
      <c r="AJ83" s="25">
        <v>2</v>
      </c>
      <c r="AK83" s="25" t="s">
        <v>274</v>
      </c>
      <c r="AL83" s="25" t="s">
        <v>275</v>
      </c>
      <c r="AM83" s="33" t="s">
        <v>276</v>
      </c>
      <c r="AN83" s="12"/>
      <c r="AO83" s="29" t="s">
        <v>112</v>
      </c>
      <c r="AP83" s="29" t="s">
        <v>112</v>
      </c>
      <c r="AQ83" s="12"/>
      <c r="AR83" s="29"/>
      <c r="AS83" s="25"/>
      <c r="AT83" s="25"/>
      <c r="AU83" s="25"/>
      <c r="AV83" s="12"/>
      <c r="AW83" s="25"/>
      <c r="AX83" s="25"/>
      <c r="AY83" s="25"/>
      <c r="AZ83" s="25"/>
      <c r="BA83" s="12"/>
      <c r="BB83" s="25"/>
      <c r="BC83" s="25"/>
      <c r="BD83" s="25"/>
      <c r="BE83" s="25"/>
      <c r="BF83" s="12"/>
      <c r="BG83" s="29" t="s">
        <v>113</v>
      </c>
      <c r="BH83" s="25" t="s">
        <v>313</v>
      </c>
      <c r="BI83" s="29" t="s">
        <v>114</v>
      </c>
      <c r="BJ83" s="29" t="s">
        <v>258</v>
      </c>
      <c r="BK83" s="12"/>
      <c r="BL83" s="23" t="s">
        <v>116</v>
      </c>
      <c r="BM83" s="23" t="s">
        <v>117</v>
      </c>
      <c r="BN83" s="23" t="s">
        <v>118</v>
      </c>
      <c r="BO83" s="23" t="s">
        <v>119</v>
      </c>
      <c r="BP83" s="12"/>
      <c r="BQ83" s="23" t="s">
        <v>120</v>
      </c>
      <c r="BR83" s="23" t="s">
        <v>121</v>
      </c>
      <c r="BS83" s="23" t="s">
        <v>122</v>
      </c>
      <c r="BT83" s="23" t="s">
        <v>123</v>
      </c>
      <c r="BU83" s="12"/>
      <c r="BV83" s="29" t="s">
        <v>113</v>
      </c>
      <c r="BW83" s="25" t="s">
        <v>124</v>
      </c>
      <c r="BX83" s="29" t="s">
        <v>114</v>
      </c>
      <c r="BY83" s="29"/>
      <c r="BZ83" s="29" t="s">
        <v>125</v>
      </c>
      <c r="CA83" s="12"/>
      <c r="CB83" s="23" t="s">
        <v>126</v>
      </c>
      <c r="CC83" s="23" t="s">
        <v>127</v>
      </c>
      <c r="CD83" s="23" t="s">
        <v>128</v>
      </c>
      <c r="CE83" s="23" t="s">
        <v>129</v>
      </c>
      <c r="CF83" s="12"/>
      <c r="CG83" s="29" t="s">
        <v>130</v>
      </c>
      <c r="CH83" s="25"/>
      <c r="CI83" s="29"/>
      <c r="CJ83" s="29"/>
      <c r="CK83" s="29" t="s">
        <v>166</v>
      </c>
      <c r="CL83" s="29" t="s">
        <v>167</v>
      </c>
      <c r="CM83" s="12"/>
      <c r="CN83" s="23" t="s">
        <v>133</v>
      </c>
      <c r="CO83" s="23" t="s">
        <v>134</v>
      </c>
      <c r="CP83" s="23" t="s">
        <v>135</v>
      </c>
      <c r="CQ83" s="23" t="s">
        <v>136</v>
      </c>
    </row>
    <row r="84" spans="1:95" ht="14.5">
      <c r="A84" s="22" t="s">
        <v>310</v>
      </c>
      <c r="B84" s="22">
        <v>54850098200267</v>
      </c>
      <c r="C84" s="22" t="s">
        <v>311</v>
      </c>
      <c r="D84" s="22"/>
      <c r="E84" s="145" t="s">
        <v>2395</v>
      </c>
      <c r="F84" s="28" t="s">
        <v>261</v>
      </c>
      <c r="G84" s="29" t="s">
        <v>540</v>
      </c>
      <c r="H84" s="22" t="s">
        <v>56</v>
      </c>
      <c r="I84" s="25" t="s">
        <v>2423</v>
      </c>
      <c r="J84" s="23" t="s">
        <v>542</v>
      </c>
      <c r="K84" s="12"/>
      <c r="L84" s="23" t="s">
        <v>244</v>
      </c>
      <c r="M84" s="24">
        <v>1776</v>
      </c>
      <c r="N84" s="23" t="s">
        <v>101</v>
      </c>
      <c r="O84" s="23">
        <v>7</v>
      </c>
      <c r="P84" s="23" t="s">
        <v>102</v>
      </c>
      <c r="Q84" s="12"/>
      <c r="R84" s="12"/>
      <c r="S84" s="12"/>
      <c r="T84" s="13" t="s">
        <v>2436</v>
      </c>
      <c r="U84" s="25" t="s">
        <v>11</v>
      </c>
      <c r="V84" s="25" t="s">
        <v>12</v>
      </c>
      <c r="W84" s="23" t="s">
        <v>103</v>
      </c>
      <c r="X84" s="25" t="s">
        <v>13</v>
      </c>
      <c r="Y84" s="12"/>
      <c r="Z84" s="23" t="s">
        <v>104</v>
      </c>
      <c r="AA84" s="23" t="s">
        <v>105</v>
      </c>
      <c r="AB84" s="23" t="s">
        <v>106</v>
      </c>
      <c r="AC84" s="23" t="s">
        <v>107</v>
      </c>
      <c r="AD84" s="12"/>
      <c r="AE84" s="25" t="s">
        <v>108</v>
      </c>
      <c r="AF84" s="23" t="s">
        <v>108</v>
      </c>
      <c r="AG84" s="25"/>
      <c r="AH84" s="23" t="s">
        <v>109</v>
      </c>
      <c r="AI84" s="23" t="s">
        <v>110</v>
      </c>
      <c r="AJ84" s="25">
        <v>2</v>
      </c>
      <c r="AK84" s="25" t="s">
        <v>274</v>
      </c>
      <c r="AL84" s="25" t="s">
        <v>275</v>
      </c>
      <c r="AM84" s="33" t="s">
        <v>276</v>
      </c>
      <c r="AN84" s="12"/>
      <c r="AO84" s="29" t="s">
        <v>112</v>
      </c>
      <c r="AP84" s="29" t="s">
        <v>112</v>
      </c>
      <c r="AQ84" s="12"/>
      <c r="AR84" s="29"/>
      <c r="AS84" s="25"/>
      <c r="AT84" s="25"/>
      <c r="AU84" s="25"/>
      <c r="AV84" s="12"/>
      <c r="AW84" s="25"/>
      <c r="AX84" s="25"/>
      <c r="AY84" s="25"/>
      <c r="AZ84" s="25"/>
      <c r="BA84" s="12"/>
      <c r="BB84" s="25"/>
      <c r="BC84" s="25"/>
      <c r="BD84" s="25"/>
      <c r="BE84" s="25"/>
      <c r="BF84" s="12"/>
      <c r="BG84" s="29" t="s">
        <v>113</v>
      </c>
      <c r="BH84" s="25" t="s">
        <v>313</v>
      </c>
      <c r="BI84" s="29" t="s">
        <v>114</v>
      </c>
      <c r="BJ84" s="29" t="s">
        <v>115</v>
      </c>
      <c r="BK84" s="12"/>
      <c r="BL84" s="23" t="s">
        <v>116</v>
      </c>
      <c r="BM84" s="23" t="s">
        <v>117</v>
      </c>
      <c r="BN84" s="23" t="s">
        <v>118</v>
      </c>
      <c r="BO84" s="23" t="s">
        <v>119</v>
      </c>
      <c r="BP84" s="12"/>
      <c r="BQ84" s="23" t="s">
        <v>120</v>
      </c>
      <c r="BR84" s="23" t="s">
        <v>121</v>
      </c>
      <c r="BS84" s="23" t="s">
        <v>122</v>
      </c>
      <c r="BT84" s="23" t="s">
        <v>123</v>
      </c>
      <c r="BU84" s="12"/>
      <c r="BV84" s="29" t="s">
        <v>113</v>
      </c>
      <c r="BW84" s="25" t="s">
        <v>124</v>
      </c>
      <c r="BX84" s="29" t="s">
        <v>114</v>
      </c>
      <c r="BY84" s="29"/>
      <c r="BZ84" s="29" t="s">
        <v>125</v>
      </c>
      <c r="CA84" s="12"/>
      <c r="CB84" s="23" t="s">
        <v>126</v>
      </c>
      <c r="CC84" s="23" t="s">
        <v>127</v>
      </c>
      <c r="CD84" s="23" t="s">
        <v>128</v>
      </c>
      <c r="CE84" s="23" t="s">
        <v>129</v>
      </c>
      <c r="CF84" s="12"/>
      <c r="CG84" s="29" t="s">
        <v>130</v>
      </c>
      <c r="CH84" s="25"/>
      <c r="CI84" s="29"/>
      <c r="CJ84" s="29"/>
      <c r="CK84" s="29" t="s">
        <v>166</v>
      </c>
      <c r="CL84" s="29" t="s">
        <v>167</v>
      </c>
      <c r="CM84" s="12"/>
      <c r="CN84" s="23" t="s">
        <v>133</v>
      </c>
      <c r="CO84" s="23" t="s">
        <v>134</v>
      </c>
      <c r="CP84" s="23" t="s">
        <v>135</v>
      </c>
      <c r="CQ84" s="23" t="s">
        <v>136</v>
      </c>
    </row>
    <row r="85" spans="1:95" ht="14.5">
      <c r="A85" s="27" t="s">
        <v>310</v>
      </c>
      <c r="B85" s="27">
        <v>54850098200267</v>
      </c>
      <c r="C85" s="27" t="s">
        <v>311</v>
      </c>
      <c r="D85" s="27"/>
      <c r="E85" s="144" t="s">
        <v>2395</v>
      </c>
      <c r="F85" s="22" t="s">
        <v>264</v>
      </c>
      <c r="G85" s="26" t="s">
        <v>544</v>
      </c>
      <c r="H85" s="22" t="s">
        <v>56</v>
      </c>
      <c r="I85" s="23" t="s">
        <v>2421</v>
      </c>
      <c r="J85" s="23" t="s">
        <v>545</v>
      </c>
      <c r="K85" s="13"/>
      <c r="L85" s="23" t="s">
        <v>244</v>
      </c>
      <c r="M85" s="24">
        <v>1776</v>
      </c>
      <c r="N85" s="23" t="s">
        <v>101</v>
      </c>
      <c r="O85" s="23">
        <v>7</v>
      </c>
      <c r="P85" s="23" t="s">
        <v>102</v>
      </c>
      <c r="Q85" s="13"/>
      <c r="R85" s="13"/>
      <c r="S85" s="13"/>
      <c r="T85" s="13" t="s">
        <v>2436</v>
      </c>
      <c r="U85" s="23" t="s">
        <v>11</v>
      </c>
      <c r="V85" s="23" t="s">
        <v>12</v>
      </c>
      <c r="W85" s="23" t="s">
        <v>103</v>
      </c>
      <c r="X85" s="23" t="s">
        <v>13</v>
      </c>
      <c r="Y85" s="13"/>
      <c r="Z85" s="23" t="s">
        <v>104</v>
      </c>
      <c r="AA85" s="23" t="s">
        <v>105</v>
      </c>
      <c r="AB85" s="23" t="s">
        <v>106</v>
      </c>
      <c r="AC85" s="23" t="s">
        <v>107</v>
      </c>
      <c r="AD85" s="13"/>
      <c r="AE85" s="23" t="s">
        <v>538</v>
      </c>
      <c r="AF85" s="25" t="s">
        <v>2437</v>
      </c>
      <c r="AG85" s="23"/>
      <c r="AH85" s="25" t="s">
        <v>202</v>
      </c>
      <c r="AI85" s="25" t="s">
        <v>203</v>
      </c>
      <c r="AJ85" s="23">
        <v>3</v>
      </c>
      <c r="AK85" s="25" t="s">
        <v>274</v>
      </c>
      <c r="AL85" s="25" t="s">
        <v>275</v>
      </c>
      <c r="AM85" s="33" t="s">
        <v>276</v>
      </c>
      <c r="AN85" s="13"/>
      <c r="AO85" s="26" t="s">
        <v>112</v>
      </c>
      <c r="AP85" s="26" t="s">
        <v>112</v>
      </c>
      <c r="AQ85" s="13"/>
      <c r="AR85" s="26"/>
      <c r="AS85" s="23"/>
      <c r="AT85" s="23"/>
      <c r="AU85" s="23"/>
      <c r="AV85" s="13"/>
      <c r="AW85" s="23"/>
      <c r="AX85" s="23"/>
      <c r="AY85" s="23"/>
      <c r="AZ85" s="23"/>
      <c r="BA85" s="13"/>
      <c r="BB85" s="23"/>
      <c r="BC85" s="23"/>
      <c r="BD85" s="23"/>
      <c r="BE85" s="23"/>
      <c r="BF85" s="13"/>
      <c r="BG85" s="26" t="s">
        <v>113</v>
      </c>
      <c r="BH85" s="23" t="s">
        <v>313</v>
      </c>
      <c r="BI85" s="26" t="s">
        <v>114</v>
      </c>
      <c r="BJ85" s="26" t="s">
        <v>115</v>
      </c>
      <c r="BK85" s="13"/>
      <c r="BL85" s="23" t="s">
        <v>116</v>
      </c>
      <c r="BM85" s="23" t="s">
        <v>117</v>
      </c>
      <c r="BN85" s="23" t="s">
        <v>118</v>
      </c>
      <c r="BO85" s="23" t="s">
        <v>119</v>
      </c>
      <c r="BP85" s="13"/>
      <c r="BQ85" s="23" t="s">
        <v>120</v>
      </c>
      <c r="BR85" s="23" t="s">
        <v>121</v>
      </c>
      <c r="BS85" s="23" t="s">
        <v>122</v>
      </c>
      <c r="BT85" s="23" t="s">
        <v>123</v>
      </c>
      <c r="BU85" s="13"/>
      <c r="BV85" s="26" t="s">
        <v>113</v>
      </c>
      <c r="BW85" s="23" t="s">
        <v>124</v>
      </c>
      <c r="BX85" s="26" t="s">
        <v>114</v>
      </c>
      <c r="BY85" s="26"/>
      <c r="BZ85" s="26" t="s">
        <v>125</v>
      </c>
      <c r="CA85" s="13"/>
      <c r="CB85" s="23" t="s">
        <v>126</v>
      </c>
      <c r="CC85" s="23" t="s">
        <v>127</v>
      </c>
      <c r="CD85" s="23" t="s">
        <v>128</v>
      </c>
      <c r="CE85" s="23" t="s">
        <v>129</v>
      </c>
      <c r="CF85" s="13"/>
      <c r="CG85" s="26" t="s">
        <v>130</v>
      </c>
      <c r="CH85" s="23"/>
      <c r="CI85" s="26"/>
      <c r="CJ85" s="26"/>
      <c r="CK85" s="26" t="s">
        <v>166</v>
      </c>
      <c r="CL85" s="26" t="s">
        <v>167</v>
      </c>
      <c r="CM85" s="13"/>
      <c r="CN85" s="23" t="s">
        <v>133</v>
      </c>
      <c r="CO85" s="23" t="s">
        <v>134</v>
      </c>
      <c r="CP85" s="23" t="s">
        <v>135</v>
      </c>
      <c r="CQ85" s="23" t="s">
        <v>136</v>
      </c>
    </row>
    <row r="86" spans="1:95" ht="14.5">
      <c r="A86" s="22" t="s">
        <v>310</v>
      </c>
      <c r="B86" s="22">
        <v>54850098200267</v>
      </c>
      <c r="C86" s="22" t="s">
        <v>311</v>
      </c>
      <c r="D86" s="22"/>
      <c r="E86" s="145" t="s">
        <v>2395</v>
      </c>
      <c r="F86" s="22" t="s">
        <v>264</v>
      </c>
      <c r="G86" s="26" t="s">
        <v>546</v>
      </c>
      <c r="H86" s="22" t="s">
        <v>56</v>
      </c>
      <c r="I86" s="23" t="s">
        <v>2421</v>
      </c>
      <c r="J86" s="23" t="s">
        <v>547</v>
      </c>
      <c r="K86" s="13"/>
      <c r="L86" s="23" t="s">
        <v>244</v>
      </c>
      <c r="M86" s="24">
        <v>1776</v>
      </c>
      <c r="N86" s="23" t="s">
        <v>101</v>
      </c>
      <c r="O86" s="23">
        <v>7</v>
      </c>
      <c r="P86" s="23" t="s">
        <v>102</v>
      </c>
      <c r="Q86" s="13"/>
      <c r="R86" s="13"/>
      <c r="S86" s="13"/>
      <c r="T86" s="13" t="s">
        <v>2436</v>
      </c>
      <c r="U86" s="23" t="s">
        <v>11</v>
      </c>
      <c r="V86" s="23" t="s">
        <v>12</v>
      </c>
      <c r="W86" s="23" t="s">
        <v>103</v>
      </c>
      <c r="X86" s="23" t="s">
        <v>13</v>
      </c>
      <c r="Y86" s="13"/>
      <c r="Z86" s="23" t="s">
        <v>104</v>
      </c>
      <c r="AA86" s="23" t="s">
        <v>105</v>
      </c>
      <c r="AB86" s="23" t="s">
        <v>106</v>
      </c>
      <c r="AC86" s="23" t="s">
        <v>107</v>
      </c>
      <c r="AD86" s="13"/>
      <c r="AE86" s="23" t="s">
        <v>108</v>
      </c>
      <c r="AF86" s="23" t="s">
        <v>108</v>
      </c>
      <c r="AG86" s="23"/>
      <c r="AH86" s="23" t="s">
        <v>109</v>
      </c>
      <c r="AI86" s="23" t="s">
        <v>110</v>
      </c>
      <c r="AJ86" s="23">
        <v>4</v>
      </c>
      <c r="AK86" s="25" t="s">
        <v>274</v>
      </c>
      <c r="AL86" s="25" t="s">
        <v>275</v>
      </c>
      <c r="AM86" s="33" t="s">
        <v>276</v>
      </c>
      <c r="AN86" s="13"/>
      <c r="AO86" s="26" t="s">
        <v>112</v>
      </c>
      <c r="AP86" s="26" t="s">
        <v>112</v>
      </c>
      <c r="AQ86" s="13"/>
      <c r="AR86" s="26"/>
      <c r="AS86" s="23"/>
      <c r="AT86" s="23"/>
      <c r="AU86" s="23"/>
      <c r="AV86" s="13"/>
      <c r="AW86" s="23"/>
      <c r="AX86" s="23"/>
      <c r="AY86" s="23"/>
      <c r="AZ86" s="23"/>
      <c r="BA86" s="13"/>
      <c r="BB86" s="23"/>
      <c r="BC86" s="23"/>
      <c r="BD86" s="23"/>
      <c r="BE86" s="23"/>
      <c r="BF86" s="13"/>
      <c r="BG86" s="26" t="s">
        <v>113</v>
      </c>
      <c r="BH86" s="23" t="s">
        <v>313</v>
      </c>
      <c r="BI86" s="26" t="s">
        <v>114</v>
      </c>
      <c r="BJ86" s="26" t="s">
        <v>115</v>
      </c>
      <c r="BK86" s="13"/>
      <c r="BL86" s="23" t="s">
        <v>116</v>
      </c>
      <c r="BM86" s="23" t="s">
        <v>117</v>
      </c>
      <c r="BN86" s="23" t="s">
        <v>118</v>
      </c>
      <c r="BO86" s="23" t="s">
        <v>119</v>
      </c>
      <c r="BP86" s="13"/>
      <c r="BQ86" s="23" t="s">
        <v>120</v>
      </c>
      <c r="BR86" s="23" t="s">
        <v>121</v>
      </c>
      <c r="BS86" s="23" t="s">
        <v>122</v>
      </c>
      <c r="BT86" s="23" t="s">
        <v>123</v>
      </c>
      <c r="BU86" s="13"/>
      <c r="BV86" s="26" t="s">
        <v>113</v>
      </c>
      <c r="BW86" s="23" t="s">
        <v>124</v>
      </c>
      <c r="BX86" s="26" t="s">
        <v>114</v>
      </c>
      <c r="BY86" s="26"/>
      <c r="BZ86" s="26" t="s">
        <v>215</v>
      </c>
      <c r="CA86" s="13"/>
      <c r="CB86" s="23" t="s">
        <v>126</v>
      </c>
      <c r="CC86" s="23" t="s">
        <v>127</v>
      </c>
      <c r="CD86" s="23" t="s">
        <v>128</v>
      </c>
      <c r="CE86" s="23" t="s">
        <v>129</v>
      </c>
      <c r="CF86" s="13"/>
      <c r="CG86" s="26" t="s">
        <v>130</v>
      </c>
      <c r="CH86" s="23"/>
      <c r="CI86" s="26"/>
      <c r="CJ86" s="26"/>
      <c r="CK86" s="26" t="s">
        <v>491</v>
      </c>
      <c r="CL86" s="26" t="s">
        <v>294</v>
      </c>
      <c r="CM86" s="13"/>
      <c r="CN86" s="23" t="s">
        <v>133</v>
      </c>
      <c r="CO86" s="23" t="s">
        <v>134</v>
      </c>
      <c r="CP86" s="23" t="s">
        <v>135</v>
      </c>
      <c r="CQ86" s="23" t="s">
        <v>136</v>
      </c>
    </row>
    <row r="87" spans="1:95" ht="14.5">
      <c r="A87" s="27" t="s">
        <v>310</v>
      </c>
      <c r="B87" s="27">
        <v>54850098200267</v>
      </c>
      <c r="C87" s="27" t="s">
        <v>311</v>
      </c>
      <c r="D87" s="27"/>
      <c r="E87" s="27" t="s">
        <v>2396</v>
      </c>
      <c r="F87" s="28" t="s">
        <v>549</v>
      </c>
      <c r="G87" s="25"/>
      <c r="H87" s="22" t="s">
        <v>56</v>
      </c>
      <c r="I87" s="25" t="s">
        <v>2423</v>
      </c>
      <c r="J87" s="23" t="s">
        <v>550</v>
      </c>
      <c r="K87" s="12"/>
      <c r="L87" s="29" t="s">
        <v>112</v>
      </c>
      <c r="M87" s="29" t="s">
        <v>112</v>
      </c>
      <c r="N87" s="29" t="s">
        <v>112</v>
      </c>
      <c r="O87" s="29" t="s">
        <v>112</v>
      </c>
      <c r="P87" s="29" t="s">
        <v>112</v>
      </c>
      <c r="Q87" s="12"/>
      <c r="R87" s="12"/>
      <c r="S87" s="12"/>
      <c r="T87" s="13" t="s">
        <v>2436</v>
      </c>
      <c r="U87" s="25" t="s">
        <v>11</v>
      </c>
      <c r="V87" s="25" t="s">
        <v>12</v>
      </c>
      <c r="W87" s="23" t="s">
        <v>103</v>
      </c>
      <c r="X87" s="25" t="s">
        <v>13</v>
      </c>
      <c r="Y87" s="12"/>
      <c r="Z87" s="23" t="s">
        <v>104</v>
      </c>
      <c r="AA87" s="23" t="s">
        <v>105</v>
      </c>
      <c r="AB87" s="23" t="s">
        <v>106</v>
      </c>
      <c r="AC87" s="23" t="s">
        <v>107</v>
      </c>
      <c r="AD87" s="12"/>
      <c r="AE87" s="25" t="s">
        <v>108</v>
      </c>
      <c r="AF87" s="23" t="s">
        <v>108</v>
      </c>
      <c r="AG87" s="25"/>
      <c r="AH87" s="23" t="s">
        <v>109</v>
      </c>
      <c r="AI87" s="23" t="s">
        <v>110</v>
      </c>
      <c r="AJ87" s="25">
        <v>4</v>
      </c>
      <c r="AK87" s="25" t="s">
        <v>274</v>
      </c>
      <c r="AL87" s="25" t="s">
        <v>275</v>
      </c>
      <c r="AM87" s="33" t="s">
        <v>276</v>
      </c>
      <c r="AN87" s="12"/>
      <c r="AO87" s="29" t="s">
        <v>112</v>
      </c>
      <c r="AP87" s="29" t="s">
        <v>112</v>
      </c>
      <c r="AQ87" s="12"/>
      <c r="AR87" s="29"/>
      <c r="AS87" s="29"/>
      <c r="AT87" s="29"/>
      <c r="AU87" s="29"/>
      <c r="AV87" s="12"/>
      <c r="AW87" s="25"/>
      <c r="AX87" s="25"/>
      <c r="AY87" s="25"/>
      <c r="AZ87" s="25"/>
      <c r="BA87" s="12"/>
      <c r="BB87" s="25"/>
      <c r="BC87" s="25"/>
      <c r="BD87" s="25"/>
      <c r="BE87" s="25"/>
      <c r="BF87" s="12"/>
      <c r="BG87" s="29" t="s">
        <v>317</v>
      </c>
      <c r="BH87" s="25" t="s">
        <v>318</v>
      </c>
      <c r="BI87" s="29" t="s">
        <v>319</v>
      </c>
      <c r="BJ87" s="25" t="s">
        <v>320</v>
      </c>
      <c r="BK87" s="12"/>
      <c r="BL87" s="23" t="s">
        <v>116</v>
      </c>
      <c r="BM87" s="23" t="s">
        <v>117</v>
      </c>
      <c r="BN87" s="23" t="s">
        <v>118</v>
      </c>
      <c r="BO87" s="23" t="s">
        <v>119</v>
      </c>
      <c r="BP87" s="12"/>
      <c r="BQ87" s="23" t="s">
        <v>120</v>
      </c>
      <c r="BR87" s="23" t="s">
        <v>121</v>
      </c>
      <c r="BS87" s="23" t="s">
        <v>122</v>
      </c>
      <c r="BT87" s="23" t="s">
        <v>123</v>
      </c>
      <c r="BU87" s="12"/>
      <c r="BV87" s="29" t="s">
        <v>321</v>
      </c>
      <c r="BW87" s="29" t="s">
        <v>124</v>
      </c>
      <c r="BX87" s="29" t="s">
        <v>322</v>
      </c>
      <c r="BY87" s="29"/>
      <c r="BZ87" s="29" t="s">
        <v>165</v>
      </c>
      <c r="CA87" s="12"/>
      <c r="CB87" s="23" t="s">
        <v>126</v>
      </c>
      <c r="CC87" s="23" t="s">
        <v>127</v>
      </c>
      <c r="CD87" s="23" t="s">
        <v>128</v>
      </c>
      <c r="CE87" s="23" t="s">
        <v>129</v>
      </c>
      <c r="CF87" s="12"/>
      <c r="CG87" s="29" t="s">
        <v>321</v>
      </c>
      <c r="CH87" s="29" t="s">
        <v>323</v>
      </c>
      <c r="CI87" s="29" t="s">
        <v>322</v>
      </c>
      <c r="CJ87" s="29"/>
      <c r="CK87" s="29" t="s">
        <v>131</v>
      </c>
      <c r="CL87" s="29" t="s">
        <v>132</v>
      </c>
      <c r="CM87" s="12"/>
      <c r="CN87" s="23" t="s">
        <v>133</v>
      </c>
      <c r="CO87" s="23" t="s">
        <v>134</v>
      </c>
      <c r="CP87" s="23" t="s">
        <v>135</v>
      </c>
      <c r="CQ87" s="23" t="s">
        <v>136</v>
      </c>
    </row>
    <row r="88" spans="1:95" ht="14.5">
      <c r="A88" s="22" t="s">
        <v>310</v>
      </c>
      <c r="B88" s="22">
        <v>54850098200267</v>
      </c>
      <c r="C88" s="22" t="s">
        <v>311</v>
      </c>
      <c r="D88" s="22"/>
      <c r="E88" s="145" t="s">
        <v>2391</v>
      </c>
      <c r="F88" s="22" t="s">
        <v>219</v>
      </c>
      <c r="G88" s="26" t="s">
        <v>552</v>
      </c>
      <c r="H88" s="22" t="s">
        <v>56</v>
      </c>
      <c r="I88" s="25" t="s">
        <v>2423</v>
      </c>
      <c r="J88" s="23" t="s">
        <v>553</v>
      </c>
      <c r="K88" s="13"/>
      <c r="L88" s="26" t="s">
        <v>112</v>
      </c>
      <c r="M88" s="26" t="s">
        <v>112</v>
      </c>
      <c r="N88" s="26" t="s">
        <v>112</v>
      </c>
      <c r="O88" s="26" t="s">
        <v>112</v>
      </c>
      <c r="P88" s="26" t="s">
        <v>112</v>
      </c>
      <c r="Q88" s="13"/>
      <c r="R88" s="13"/>
      <c r="S88" s="13"/>
      <c r="T88" s="13" t="s">
        <v>2436</v>
      </c>
      <c r="U88" s="23" t="s">
        <v>11</v>
      </c>
      <c r="V88" s="23" t="s">
        <v>12</v>
      </c>
      <c r="W88" s="23" t="s">
        <v>103</v>
      </c>
      <c r="X88" s="23" t="s">
        <v>13</v>
      </c>
      <c r="Y88" s="13"/>
      <c r="Z88" s="23" t="s">
        <v>104</v>
      </c>
      <c r="AA88" s="23" t="s">
        <v>105</v>
      </c>
      <c r="AB88" s="23" t="s">
        <v>106</v>
      </c>
      <c r="AC88" s="23" t="s">
        <v>107</v>
      </c>
      <c r="AD88" s="13"/>
      <c r="AE88" s="25" t="s">
        <v>108</v>
      </c>
      <c r="AF88" s="23" t="s">
        <v>108</v>
      </c>
      <c r="AG88" s="23"/>
      <c r="AH88" s="23" t="s">
        <v>109</v>
      </c>
      <c r="AI88" s="23" t="s">
        <v>110</v>
      </c>
      <c r="AJ88" s="23">
        <v>4</v>
      </c>
      <c r="AK88" s="25" t="s">
        <v>274</v>
      </c>
      <c r="AL88" s="25" t="s">
        <v>275</v>
      </c>
      <c r="AM88" s="33" t="s">
        <v>276</v>
      </c>
      <c r="AN88" s="13"/>
      <c r="AO88" s="26" t="s">
        <v>112</v>
      </c>
      <c r="AP88" s="26" t="s">
        <v>112</v>
      </c>
      <c r="AQ88" s="13"/>
      <c r="AR88" s="26"/>
      <c r="AS88" s="23"/>
      <c r="AT88" s="23"/>
      <c r="AU88" s="26"/>
      <c r="AV88" s="13"/>
      <c r="AW88" s="23"/>
      <c r="AX88" s="23"/>
      <c r="AY88" s="23"/>
      <c r="AZ88" s="23"/>
      <c r="BA88" s="13"/>
      <c r="BB88" s="23"/>
      <c r="BC88" s="23"/>
      <c r="BD88" s="23"/>
      <c r="BE88" s="23"/>
      <c r="BF88" s="13"/>
      <c r="BG88" s="26" t="s">
        <v>325</v>
      </c>
      <c r="BH88" s="23" t="s">
        <v>141</v>
      </c>
      <c r="BI88" s="26" t="s">
        <v>326</v>
      </c>
      <c r="BJ88" s="23">
        <v>2167061</v>
      </c>
      <c r="BK88" s="13"/>
      <c r="BL88" s="23" t="s">
        <v>116</v>
      </c>
      <c r="BM88" s="23" t="s">
        <v>117</v>
      </c>
      <c r="BN88" s="23" t="s">
        <v>118</v>
      </c>
      <c r="BO88" s="23" t="s">
        <v>119</v>
      </c>
      <c r="BP88" s="13"/>
      <c r="BQ88" s="23" t="s">
        <v>120</v>
      </c>
      <c r="BR88" s="23" t="s">
        <v>121</v>
      </c>
      <c r="BS88" s="23" t="s">
        <v>122</v>
      </c>
      <c r="BT88" s="23" t="s">
        <v>123</v>
      </c>
      <c r="BU88" s="13"/>
      <c r="BV88" s="26" t="s">
        <v>163</v>
      </c>
      <c r="BW88" s="26" t="s">
        <v>124</v>
      </c>
      <c r="BX88" s="26" t="s">
        <v>330</v>
      </c>
      <c r="BY88" s="26"/>
      <c r="BZ88" s="26" t="s">
        <v>125</v>
      </c>
      <c r="CA88" s="13"/>
      <c r="CB88" s="23" t="s">
        <v>126</v>
      </c>
      <c r="CC88" s="23" t="s">
        <v>127</v>
      </c>
      <c r="CD88" s="23" t="s">
        <v>128</v>
      </c>
      <c r="CE88" s="23" t="s">
        <v>129</v>
      </c>
      <c r="CF88" s="13"/>
      <c r="CG88" s="26" t="s">
        <v>163</v>
      </c>
      <c r="CH88" s="26" t="s">
        <v>331</v>
      </c>
      <c r="CI88" s="26" t="s">
        <v>330</v>
      </c>
      <c r="CJ88" s="26"/>
      <c r="CK88" s="26" t="s">
        <v>146</v>
      </c>
      <c r="CL88" s="26" t="s">
        <v>132</v>
      </c>
      <c r="CM88" s="13"/>
      <c r="CN88" s="23" t="s">
        <v>133</v>
      </c>
      <c r="CO88" s="23" t="s">
        <v>134</v>
      </c>
      <c r="CP88" s="23" t="s">
        <v>135</v>
      </c>
      <c r="CQ88" s="23" t="s">
        <v>136</v>
      </c>
    </row>
    <row r="89" spans="1:95" ht="14.5">
      <c r="A89" s="27" t="s">
        <v>310</v>
      </c>
      <c r="B89" s="27">
        <v>54850098200267</v>
      </c>
      <c r="C89" s="27" t="s">
        <v>311</v>
      </c>
      <c r="D89" s="27"/>
      <c r="E89" s="144" t="s">
        <v>2391</v>
      </c>
      <c r="F89" s="22" t="s">
        <v>219</v>
      </c>
      <c r="G89" s="26" t="s">
        <v>554</v>
      </c>
      <c r="H89" s="22" t="s">
        <v>56</v>
      </c>
      <c r="I89" s="25" t="s">
        <v>2423</v>
      </c>
      <c r="J89" s="23" t="s">
        <v>555</v>
      </c>
      <c r="K89" s="13"/>
      <c r="L89" s="26" t="s">
        <v>112</v>
      </c>
      <c r="M89" s="26" t="s">
        <v>112</v>
      </c>
      <c r="N89" s="26" t="s">
        <v>112</v>
      </c>
      <c r="O89" s="26" t="s">
        <v>112</v>
      </c>
      <c r="P89" s="26" t="s">
        <v>112</v>
      </c>
      <c r="Q89" s="13"/>
      <c r="R89" s="13"/>
      <c r="S89" s="13"/>
      <c r="T89" s="13" t="s">
        <v>2436</v>
      </c>
      <c r="U89" s="23" t="s">
        <v>11</v>
      </c>
      <c r="V89" s="23" t="s">
        <v>12</v>
      </c>
      <c r="W89" s="23" t="s">
        <v>103</v>
      </c>
      <c r="X89" s="23" t="s">
        <v>13</v>
      </c>
      <c r="Y89" s="13"/>
      <c r="Z89" s="23" t="s">
        <v>104</v>
      </c>
      <c r="AA89" s="23" t="s">
        <v>105</v>
      </c>
      <c r="AB89" s="23" t="s">
        <v>106</v>
      </c>
      <c r="AC89" s="23" t="s">
        <v>107</v>
      </c>
      <c r="AD89" s="13"/>
      <c r="AE89" s="23" t="s">
        <v>267</v>
      </c>
      <c r="AF89" s="23" t="s">
        <v>268</v>
      </c>
      <c r="AG89" s="23"/>
      <c r="AH89" s="23" t="s">
        <v>269</v>
      </c>
      <c r="AI89" s="23" t="s">
        <v>270</v>
      </c>
      <c r="AJ89" s="23">
        <v>1</v>
      </c>
      <c r="AK89" s="25" t="s">
        <v>274</v>
      </c>
      <c r="AL89" s="25" t="s">
        <v>275</v>
      </c>
      <c r="AM89" s="33" t="s">
        <v>276</v>
      </c>
      <c r="AN89" s="13"/>
      <c r="AO89" s="26" t="s">
        <v>112</v>
      </c>
      <c r="AP89" s="26" t="s">
        <v>112</v>
      </c>
      <c r="AQ89" s="13"/>
      <c r="AR89" s="26"/>
      <c r="AS89" s="23"/>
      <c r="AT89" s="23"/>
      <c r="AU89" s="26"/>
      <c r="AV89" s="13"/>
      <c r="AW89" s="23"/>
      <c r="AX89" s="23"/>
      <c r="AY89" s="23"/>
      <c r="AZ89" s="23"/>
      <c r="BA89" s="13"/>
      <c r="BB89" s="23"/>
      <c r="BC89" s="23"/>
      <c r="BD89" s="23"/>
      <c r="BE89" s="23"/>
      <c r="BF89" s="13"/>
      <c r="BG89" s="26" t="s">
        <v>325</v>
      </c>
      <c r="BH89" s="23" t="s">
        <v>141</v>
      </c>
      <c r="BI89" s="26" t="s">
        <v>326</v>
      </c>
      <c r="BJ89" s="23">
        <v>2167061</v>
      </c>
      <c r="BK89" s="13"/>
      <c r="BL89" s="23" t="s">
        <v>116</v>
      </c>
      <c r="BM89" s="23" t="s">
        <v>117</v>
      </c>
      <c r="BN89" s="23" t="s">
        <v>118</v>
      </c>
      <c r="BO89" s="23" t="s">
        <v>119</v>
      </c>
      <c r="BP89" s="13"/>
      <c r="BQ89" s="23" t="s">
        <v>120</v>
      </c>
      <c r="BR89" s="23" t="s">
        <v>121</v>
      </c>
      <c r="BS89" s="23" t="s">
        <v>122</v>
      </c>
      <c r="BT89" s="23" t="s">
        <v>123</v>
      </c>
      <c r="BU89" s="13"/>
      <c r="BV89" s="26" t="s">
        <v>327</v>
      </c>
      <c r="BW89" s="26" t="s">
        <v>124</v>
      </c>
      <c r="BX89" s="26" t="s">
        <v>328</v>
      </c>
      <c r="BY89" s="26"/>
      <c r="BZ89" s="26" t="s">
        <v>146</v>
      </c>
      <c r="CA89" s="13"/>
      <c r="CB89" s="23" t="s">
        <v>126</v>
      </c>
      <c r="CC89" s="23" t="s">
        <v>127</v>
      </c>
      <c r="CD89" s="23" t="s">
        <v>128</v>
      </c>
      <c r="CE89" s="23" t="s">
        <v>129</v>
      </c>
      <c r="CF89" s="13"/>
      <c r="CG89" s="26" t="s">
        <v>327</v>
      </c>
      <c r="CH89" s="26" t="s">
        <v>144</v>
      </c>
      <c r="CI89" s="26" t="s">
        <v>328</v>
      </c>
      <c r="CJ89" s="26"/>
      <c r="CK89" s="26" t="s">
        <v>146</v>
      </c>
      <c r="CL89" s="26" t="s">
        <v>132</v>
      </c>
      <c r="CM89" s="13"/>
      <c r="CN89" s="23" t="s">
        <v>133</v>
      </c>
      <c r="CO89" s="23" t="s">
        <v>134</v>
      </c>
      <c r="CP89" s="23" t="s">
        <v>135</v>
      </c>
      <c r="CQ89" s="23" t="s">
        <v>136</v>
      </c>
    </row>
    <row r="90" spans="1:95" ht="14.5">
      <c r="A90" s="22" t="s">
        <v>310</v>
      </c>
      <c r="B90" s="22">
        <v>54850098200267</v>
      </c>
      <c r="C90" s="22" t="s">
        <v>311</v>
      </c>
      <c r="D90" s="22"/>
      <c r="E90" s="22" t="s">
        <v>2390</v>
      </c>
      <c r="F90" s="28" t="s">
        <v>557</v>
      </c>
      <c r="G90" s="25"/>
      <c r="H90" s="22" t="s">
        <v>56</v>
      </c>
      <c r="I90" s="25" t="s">
        <v>2423</v>
      </c>
      <c r="J90" s="23" t="s">
        <v>558</v>
      </c>
      <c r="K90" s="12"/>
      <c r="L90" s="29" t="s">
        <v>112</v>
      </c>
      <c r="M90" s="29" t="s">
        <v>112</v>
      </c>
      <c r="N90" s="29" t="s">
        <v>112</v>
      </c>
      <c r="O90" s="29" t="s">
        <v>112</v>
      </c>
      <c r="P90" s="29" t="s">
        <v>112</v>
      </c>
      <c r="Q90" s="12"/>
      <c r="R90" s="12"/>
      <c r="S90" s="12"/>
      <c r="T90" s="13" t="s">
        <v>2436</v>
      </c>
      <c r="U90" s="25" t="s">
        <v>11</v>
      </c>
      <c r="V90" s="25" t="s">
        <v>12</v>
      </c>
      <c r="W90" s="23" t="s">
        <v>103</v>
      </c>
      <c r="X90" s="25" t="s">
        <v>13</v>
      </c>
      <c r="Y90" s="12"/>
      <c r="Z90" s="23" t="s">
        <v>104</v>
      </c>
      <c r="AA90" s="23" t="s">
        <v>105</v>
      </c>
      <c r="AB90" s="23" t="s">
        <v>106</v>
      </c>
      <c r="AC90" s="23" t="s">
        <v>107</v>
      </c>
      <c r="AD90" s="12"/>
      <c r="AE90" s="23" t="s">
        <v>267</v>
      </c>
      <c r="AF90" s="23" t="s">
        <v>268</v>
      </c>
      <c r="AG90" s="25"/>
      <c r="AH90" s="23" t="s">
        <v>269</v>
      </c>
      <c r="AI90" s="23" t="s">
        <v>270</v>
      </c>
      <c r="AJ90" s="25">
        <v>1</v>
      </c>
      <c r="AK90" s="25" t="s">
        <v>274</v>
      </c>
      <c r="AL90" s="25" t="s">
        <v>275</v>
      </c>
      <c r="AM90" s="33" t="s">
        <v>276</v>
      </c>
      <c r="AN90" s="12"/>
      <c r="AO90" s="29" t="s">
        <v>112</v>
      </c>
      <c r="AP90" s="29" t="s">
        <v>112</v>
      </c>
      <c r="AQ90" s="12"/>
      <c r="AR90" s="29"/>
      <c r="AS90" s="25"/>
      <c r="AT90" s="25"/>
      <c r="AU90" s="29"/>
      <c r="AV90" s="12"/>
      <c r="AW90" s="25"/>
      <c r="AX90" s="25"/>
      <c r="AY90" s="25"/>
      <c r="AZ90" s="25"/>
      <c r="BA90" s="12"/>
      <c r="BB90" s="25"/>
      <c r="BC90" s="25"/>
      <c r="BD90" s="25"/>
      <c r="BE90" s="25"/>
      <c r="BF90" s="12"/>
      <c r="BG90" s="29" t="s">
        <v>325</v>
      </c>
      <c r="BH90" s="25" t="s">
        <v>141</v>
      </c>
      <c r="BI90" s="29" t="s">
        <v>326</v>
      </c>
      <c r="BJ90" s="25">
        <v>2167061</v>
      </c>
      <c r="BK90" s="12"/>
      <c r="BL90" s="23" t="s">
        <v>116</v>
      </c>
      <c r="BM90" s="23" t="s">
        <v>117</v>
      </c>
      <c r="BN90" s="23" t="s">
        <v>118</v>
      </c>
      <c r="BO90" s="23" t="s">
        <v>119</v>
      </c>
      <c r="BP90" s="12"/>
      <c r="BQ90" s="23" t="s">
        <v>120</v>
      </c>
      <c r="BR90" s="23" t="s">
        <v>121</v>
      </c>
      <c r="BS90" s="23" t="s">
        <v>122</v>
      </c>
      <c r="BT90" s="23" t="s">
        <v>123</v>
      </c>
      <c r="BU90" s="12"/>
      <c r="BV90" s="29"/>
      <c r="BW90" s="29"/>
      <c r="BX90" s="29"/>
      <c r="BY90" s="29"/>
      <c r="BZ90" s="25"/>
      <c r="CA90" s="12"/>
      <c r="CB90" s="25"/>
      <c r="CC90" s="25"/>
      <c r="CD90" s="25"/>
      <c r="CE90" s="25"/>
      <c r="CF90" s="12"/>
      <c r="CG90" s="29" t="s">
        <v>497</v>
      </c>
      <c r="CH90" s="29" t="s">
        <v>498</v>
      </c>
      <c r="CI90" s="29" t="s">
        <v>499</v>
      </c>
      <c r="CJ90" s="29"/>
      <c r="CK90" s="25" t="s">
        <v>191</v>
      </c>
      <c r="CL90" s="29" t="s">
        <v>132</v>
      </c>
      <c r="CM90" s="12"/>
      <c r="CN90" s="23" t="s">
        <v>133</v>
      </c>
      <c r="CO90" s="23" t="s">
        <v>134</v>
      </c>
      <c r="CP90" s="23" t="s">
        <v>135</v>
      </c>
      <c r="CQ90" s="23" t="s">
        <v>136</v>
      </c>
    </row>
    <row r="91" spans="1:95" ht="14.5">
      <c r="A91" s="27" t="s">
        <v>310</v>
      </c>
      <c r="B91" s="27">
        <v>54850098200267</v>
      </c>
      <c r="C91" s="27" t="s">
        <v>311</v>
      </c>
      <c r="D91" s="27"/>
      <c r="E91" s="27" t="s">
        <v>2395</v>
      </c>
      <c r="F91" s="22" t="s">
        <v>560</v>
      </c>
      <c r="G91" s="26" t="s">
        <v>559</v>
      </c>
      <c r="H91" s="22" t="s">
        <v>56</v>
      </c>
      <c r="I91" s="23" t="s">
        <v>2421</v>
      </c>
      <c r="J91" s="23" t="s">
        <v>561</v>
      </c>
      <c r="K91" s="13"/>
      <c r="L91" s="26" t="s">
        <v>112</v>
      </c>
      <c r="M91" s="26" t="s">
        <v>112</v>
      </c>
      <c r="N91" s="26" t="s">
        <v>112</v>
      </c>
      <c r="O91" s="26" t="s">
        <v>112</v>
      </c>
      <c r="P91" s="26" t="s">
        <v>112</v>
      </c>
      <c r="Q91" s="13"/>
      <c r="R91" s="13"/>
      <c r="S91" s="13"/>
      <c r="T91" s="13" t="s">
        <v>2436</v>
      </c>
      <c r="U91" s="23" t="s">
        <v>11</v>
      </c>
      <c r="V91" s="23" t="s">
        <v>12</v>
      </c>
      <c r="W91" s="23" t="s">
        <v>103</v>
      </c>
      <c r="X91" s="23" t="s">
        <v>13</v>
      </c>
      <c r="Y91" s="13"/>
      <c r="Z91" s="23" t="s">
        <v>104</v>
      </c>
      <c r="AA91" s="23" t="s">
        <v>105</v>
      </c>
      <c r="AB91" s="23" t="s">
        <v>106</v>
      </c>
      <c r="AC91" s="23" t="s">
        <v>107</v>
      </c>
      <c r="AD91" s="13"/>
      <c r="AE91" s="23" t="s">
        <v>267</v>
      </c>
      <c r="AF91" s="23" t="s">
        <v>268</v>
      </c>
      <c r="AG91" s="23"/>
      <c r="AH91" s="23" t="s">
        <v>269</v>
      </c>
      <c r="AI91" s="23" t="s">
        <v>270</v>
      </c>
      <c r="AJ91" s="23">
        <v>1</v>
      </c>
      <c r="AK91" s="25" t="s">
        <v>274</v>
      </c>
      <c r="AL91" s="25" t="s">
        <v>275</v>
      </c>
      <c r="AM91" s="33" t="s">
        <v>276</v>
      </c>
      <c r="AN91" s="13"/>
      <c r="AO91" s="26" t="s">
        <v>112</v>
      </c>
      <c r="AP91" s="26" t="s">
        <v>112</v>
      </c>
      <c r="AQ91" s="13"/>
      <c r="AR91" s="26"/>
      <c r="AS91" s="23"/>
      <c r="AT91" s="23"/>
      <c r="AU91" s="26"/>
      <c r="AV91" s="13"/>
      <c r="AW91" s="23"/>
      <c r="AX91" s="23"/>
      <c r="AY91" s="23"/>
      <c r="AZ91" s="23"/>
      <c r="BA91" s="13"/>
      <c r="BB91" s="23"/>
      <c r="BC91" s="23"/>
      <c r="BD91" s="23"/>
      <c r="BE91" s="23"/>
      <c r="BF91" s="13"/>
      <c r="BG91" s="23" t="s">
        <v>479</v>
      </c>
      <c r="BH91" s="23" t="s">
        <v>480</v>
      </c>
      <c r="BI91" s="26" t="s">
        <v>481</v>
      </c>
      <c r="BJ91" s="26">
        <v>2167013</v>
      </c>
      <c r="BK91" s="13"/>
      <c r="BL91" s="23" t="s">
        <v>116</v>
      </c>
      <c r="BM91" s="23" t="s">
        <v>117</v>
      </c>
      <c r="BN91" s="23" t="s">
        <v>118</v>
      </c>
      <c r="BO91" s="23" t="s">
        <v>119</v>
      </c>
      <c r="BP91" s="13"/>
      <c r="BQ91" s="23" t="s">
        <v>120</v>
      </c>
      <c r="BR91" s="23" t="s">
        <v>121</v>
      </c>
      <c r="BS91" s="23" t="s">
        <v>122</v>
      </c>
      <c r="BT91" s="23" t="s">
        <v>123</v>
      </c>
      <c r="BU91" s="13"/>
      <c r="BV91" s="26" t="s">
        <v>479</v>
      </c>
      <c r="BW91" s="23" t="s">
        <v>124</v>
      </c>
      <c r="BX91" s="26" t="s">
        <v>481</v>
      </c>
      <c r="BY91" s="26"/>
      <c r="BZ91" s="23" t="s">
        <v>165</v>
      </c>
      <c r="CA91" s="13"/>
      <c r="CB91" s="23" t="s">
        <v>126</v>
      </c>
      <c r="CC91" s="23" t="s">
        <v>127</v>
      </c>
      <c r="CD91" s="23" t="s">
        <v>128</v>
      </c>
      <c r="CE91" s="23" t="s">
        <v>129</v>
      </c>
      <c r="CF91" s="13"/>
      <c r="CG91" s="26" t="s">
        <v>562</v>
      </c>
      <c r="CH91" s="157">
        <v>38535103600012</v>
      </c>
      <c r="CI91" s="26" t="s">
        <v>564</v>
      </c>
      <c r="CJ91" s="26"/>
      <c r="CK91" s="26" t="s">
        <v>146</v>
      </c>
      <c r="CL91" s="26" t="s">
        <v>132</v>
      </c>
      <c r="CM91" s="13"/>
      <c r="CN91" s="23" t="s">
        <v>133</v>
      </c>
      <c r="CO91" s="23" t="s">
        <v>134</v>
      </c>
      <c r="CP91" s="23" t="s">
        <v>135</v>
      </c>
      <c r="CQ91" s="23" t="s">
        <v>136</v>
      </c>
    </row>
    <row r="92" spans="1:95" ht="14.5">
      <c r="A92" s="22" t="s">
        <v>310</v>
      </c>
      <c r="B92" s="22">
        <v>54850098200267</v>
      </c>
      <c r="C92" s="22" t="s">
        <v>311</v>
      </c>
      <c r="D92" s="22"/>
      <c r="E92" s="22" t="s">
        <v>2394</v>
      </c>
      <c r="F92" s="27" t="s">
        <v>566</v>
      </c>
      <c r="G92" s="29" t="s">
        <v>565</v>
      </c>
      <c r="H92" s="22" t="s">
        <v>56</v>
      </c>
      <c r="I92" s="25" t="s">
        <v>2423</v>
      </c>
      <c r="J92" s="23" t="s">
        <v>567</v>
      </c>
      <c r="K92" s="12"/>
      <c r="L92" s="29" t="s">
        <v>112</v>
      </c>
      <c r="M92" s="29" t="s">
        <v>112</v>
      </c>
      <c r="N92" s="29" t="s">
        <v>112</v>
      </c>
      <c r="O92" s="29" t="s">
        <v>112</v>
      </c>
      <c r="P92" s="29" t="s">
        <v>112</v>
      </c>
      <c r="Q92" s="12"/>
      <c r="R92" s="12"/>
      <c r="S92" s="12"/>
      <c r="T92" s="13" t="s">
        <v>2436</v>
      </c>
      <c r="U92" s="25" t="s">
        <v>11</v>
      </c>
      <c r="V92" s="25" t="s">
        <v>12</v>
      </c>
      <c r="W92" s="23" t="s">
        <v>103</v>
      </c>
      <c r="X92" s="25" t="s">
        <v>13</v>
      </c>
      <c r="Y92" s="12"/>
      <c r="Z92" s="23" t="s">
        <v>104</v>
      </c>
      <c r="AA92" s="23" t="s">
        <v>105</v>
      </c>
      <c r="AB92" s="23" t="s">
        <v>106</v>
      </c>
      <c r="AC92" s="23" t="s">
        <v>107</v>
      </c>
      <c r="AD92" s="12"/>
      <c r="AE92" s="23" t="s">
        <v>267</v>
      </c>
      <c r="AF92" s="23" t="s">
        <v>268</v>
      </c>
      <c r="AG92" s="25"/>
      <c r="AH92" s="23" t="s">
        <v>269</v>
      </c>
      <c r="AI92" s="23" t="s">
        <v>270</v>
      </c>
      <c r="AJ92" s="25">
        <v>1</v>
      </c>
      <c r="AK92" s="25" t="s">
        <v>274</v>
      </c>
      <c r="AL92" s="25" t="s">
        <v>275</v>
      </c>
      <c r="AM92" s="33" t="s">
        <v>276</v>
      </c>
      <c r="AN92" s="12"/>
      <c r="AO92" s="29" t="s">
        <v>112</v>
      </c>
      <c r="AP92" s="29" t="s">
        <v>112</v>
      </c>
      <c r="AQ92" s="12"/>
      <c r="AR92" s="29"/>
      <c r="AS92" s="25"/>
      <c r="AT92" s="25"/>
      <c r="AU92" s="29"/>
      <c r="AV92" s="12"/>
      <c r="AW92" s="25"/>
      <c r="AX92" s="25"/>
      <c r="AY92" s="25"/>
      <c r="AZ92" s="25"/>
      <c r="BA92" s="12"/>
      <c r="BB92" s="25"/>
      <c r="BC92" s="25"/>
      <c r="BD92" s="25"/>
      <c r="BE92" s="25"/>
      <c r="BF92" s="12"/>
      <c r="BG92" s="25" t="s">
        <v>479</v>
      </c>
      <c r="BH92" s="25" t="s">
        <v>480</v>
      </c>
      <c r="BI92" s="29" t="s">
        <v>481</v>
      </c>
      <c r="BJ92" s="29">
        <v>2167013</v>
      </c>
      <c r="BK92" s="12"/>
      <c r="BL92" s="23" t="s">
        <v>116</v>
      </c>
      <c r="BM92" s="23" t="s">
        <v>117</v>
      </c>
      <c r="BN92" s="23" t="s">
        <v>118</v>
      </c>
      <c r="BO92" s="23" t="s">
        <v>119</v>
      </c>
      <c r="BP92" s="12"/>
      <c r="BQ92" s="23" t="s">
        <v>120</v>
      </c>
      <c r="BR92" s="23" t="s">
        <v>121</v>
      </c>
      <c r="BS92" s="23" t="s">
        <v>122</v>
      </c>
      <c r="BT92" s="23" t="s">
        <v>123</v>
      </c>
      <c r="BU92" s="12"/>
      <c r="BV92" s="29" t="s">
        <v>479</v>
      </c>
      <c r="BW92" s="25" t="s">
        <v>124</v>
      </c>
      <c r="BX92" s="29" t="s">
        <v>481</v>
      </c>
      <c r="BY92" s="29"/>
      <c r="BZ92" s="25" t="s">
        <v>165</v>
      </c>
      <c r="CA92" s="12"/>
      <c r="CB92" s="23" t="s">
        <v>126</v>
      </c>
      <c r="CC92" s="23" t="s">
        <v>127</v>
      </c>
      <c r="CD92" s="23" t="s">
        <v>128</v>
      </c>
      <c r="CE92" s="23" t="s">
        <v>129</v>
      </c>
      <c r="CF92" s="12"/>
      <c r="CG92" s="29" t="s">
        <v>562</v>
      </c>
      <c r="CH92" s="29" t="s">
        <v>563</v>
      </c>
      <c r="CI92" s="29" t="s">
        <v>564</v>
      </c>
      <c r="CJ92" s="29"/>
      <c r="CK92" s="29" t="s">
        <v>146</v>
      </c>
      <c r="CL92" s="29" t="s">
        <v>132</v>
      </c>
      <c r="CM92" s="12"/>
      <c r="CN92" s="23" t="s">
        <v>133</v>
      </c>
      <c r="CO92" s="23" t="s">
        <v>134</v>
      </c>
      <c r="CP92" s="23" t="s">
        <v>135</v>
      </c>
      <c r="CQ92" s="23" t="s">
        <v>136</v>
      </c>
    </row>
    <row r="93" spans="1:95" ht="14.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36"/>
      <c r="CE93" s="36"/>
      <c r="CF93" s="36"/>
      <c r="CG93" s="36"/>
      <c r="CH93" s="36"/>
      <c r="CI93" s="36"/>
      <c r="CJ93" s="36"/>
      <c r="CK93" s="36"/>
      <c r="CL93" s="36"/>
      <c r="CM93" s="36"/>
      <c r="CN93" s="36"/>
      <c r="CO93" s="36"/>
      <c r="CP93" s="36"/>
      <c r="CQ93" s="36"/>
    </row>
    <row r="94" spans="1:95" ht="14.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row>
    <row r="95" spans="1:95" ht="14.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row>
    <row r="96" spans="1:95" ht="14.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row>
    <row r="97" spans="1:95" ht="14.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row>
    <row r="98" spans="1:95" ht="14.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row>
    <row r="99" spans="1:95" ht="14.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row>
    <row r="100" spans="1:95" ht="14.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row>
    <row r="101" spans="1:95" ht="14.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row>
    <row r="102" spans="1:95" ht="14.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row>
    <row r="103" spans="1:95" ht="14.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row>
    <row r="104" spans="1:95" ht="14.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row>
    <row r="105" spans="1:95" ht="14.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row>
    <row r="106" spans="1:95" ht="14.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row>
    <row r="107" spans="1:95" ht="14.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row>
    <row r="108" spans="1:95" ht="14.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row>
    <row r="109" spans="1:95" ht="14.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row>
    <row r="110" spans="1:95" ht="14.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row>
    <row r="111" spans="1:95" ht="14.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row>
    <row r="112" spans="1:95" ht="14.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row>
    <row r="113" spans="1:95" ht="14.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row>
    <row r="114" spans="1:95" ht="14.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row>
    <row r="115" spans="1:95" ht="14.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row>
    <row r="116" spans="1:95" ht="14.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row>
    <row r="117" spans="1:95" ht="14.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row>
    <row r="118" spans="1:95" ht="14.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row>
    <row r="119" spans="1:95" ht="14.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row>
    <row r="120" spans="1:95" ht="14.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row>
    <row r="121" spans="1:95" ht="14.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row>
    <row r="122" spans="1:95" ht="14.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row>
    <row r="123" spans="1:95" ht="14.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row>
    <row r="124" spans="1:95" ht="14.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row>
    <row r="125" spans="1:95" ht="14.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row>
    <row r="126" spans="1:95" ht="14.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row>
    <row r="127" spans="1:95" ht="14.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row>
    <row r="128" spans="1:95" ht="14.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row>
    <row r="129" spans="1:95" ht="14.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row>
    <row r="130" spans="1:95" ht="14.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row>
    <row r="131" spans="1:95" ht="14.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row>
    <row r="132" spans="1:95" ht="14.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row>
    <row r="133" spans="1:95" ht="14.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row>
    <row r="134" spans="1:95" ht="14.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row>
    <row r="135" spans="1:95" ht="14.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row>
    <row r="136" spans="1:95" ht="14.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row>
    <row r="137" spans="1:95" ht="14.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row>
    <row r="138" spans="1:95" ht="14.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row>
    <row r="139" spans="1:95" ht="14.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row>
    <row r="140" spans="1:95" ht="14.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row>
    <row r="141" spans="1:95" ht="14.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row>
    <row r="142" spans="1:95" ht="14.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row>
    <row r="143" spans="1:95" ht="14.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row>
    <row r="144" spans="1:95" ht="14.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row>
    <row r="145" spans="1:95" ht="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row>
    <row r="146" spans="1:95" ht="14.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row>
    <row r="147" spans="1:95" ht="14.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row>
    <row r="148" spans="1:95" ht="14.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row>
    <row r="149" spans="1:95" ht="14.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row>
    <row r="150" spans="1:95" ht="14.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row>
    <row r="151" spans="1:95" ht="14.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row>
    <row r="152" spans="1:95" ht="14.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row>
    <row r="153" spans="1:95" ht="14.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row>
    <row r="154" spans="1:95" ht="14.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row>
    <row r="155" spans="1:95" ht="14.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row>
    <row r="156" spans="1:95" ht="14.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row>
    <row r="157" spans="1:95" ht="14.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row>
    <row r="158" spans="1:95" ht="14.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row>
    <row r="159" spans="1:95" ht="14.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row>
    <row r="160" spans="1:95" ht="14.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row>
    <row r="161" spans="1:95" ht="14.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row>
    <row r="162" spans="1:95" ht="14.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row>
    <row r="163" spans="1:95" ht="14.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row>
    <row r="164" spans="1:95" ht="14.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row>
    <row r="165" spans="1:95" ht="14.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row>
    <row r="166" spans="1:95" ht="14.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row>
    <row r="167" spans="1:95" ht="14.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row>
    <row r="168" spans="1:95" ht="14.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row>
    <row r="169" spans="1:95" ht="14.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row>
    <row r="170" spans="1:95" ht="14.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row>
    <row r="171" spans="1:95" ht="14.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row>
    <row r="172" spans="1:95" ht="14.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row>
    <row r="173" spans="1:95" ht="14.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row>
    <row r="174" spans="1:95" ht="14.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row>
    <row r="175" spans="1:95" ht="14.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row>
    <row r="176" spans="1:95" ht="14.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row>
    <row r="177" spans="1:95" ht="14.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row>
    <row r="178" spans="1:95" ht="14.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row>
    <row r="179" spans="1:95" ht="14.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row>
    <row r="180" spans="1:95" ht="14.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row>
    <row r="181" spans="1:95" ht="14.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row>
    <row r="182" spans="1:95" ht="14.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row>
    <row r="183" spans="1:95" ht="14.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row>
    <row r="184" spans="1:95" ht="14.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row>
    <row r="185" spans="1:95" ht="14.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row>
    <row r="186" spans="1:95" ht="14.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row>
    <row r="187" spans="1:95" ht="14.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row>
    <row r="188" spans="1:95" ht="14.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row>
    <row r="189" spans="1:95" ht="14.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row>
    <row r="190" spans="1:95" ht="14.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row>
    <row r="191" spans="1:95" ht="14.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row>
    <row r="192" spans="1:95" ht="14.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row>
    <row r="193" spans="1:95" ht="14.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row>
    <row r="194" spans="1:95" ht="14.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row>
    <row r="195" spans="1:95" ht="14.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row>
    <row r="196" spans="1:95" ht="14.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row>
    <row r="197" spans="1:95" ht="14.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row>
    <row r="198" spans="1:95" ht="14.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row>
    <row r="199" spans="1:95" ht="14.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row>
    <row r="200" spans="1:95" ht="14.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row>
    <row r="201" spans="1:95" ht="14.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row>
    <row r="202" spans="1:95" ht="14.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row>
    <row r="203" spans="1:95" ht="14.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row>
    <row r="204" spans="1:95" ht="14.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row>
    <row r="205" spans="1:95" ht="14.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row>
    <row r="206" spans="1:95" ht="14.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row>
    <row r="207" spans="1:95" ht="14.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row>
    <row r="208" spans="1:95" ht="14.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row>
    <row r="209" spans="1:95" ht="14.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row>
    <row r="210" spans="1:95" ht="14.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row>
    <row r="211" spans="1:95" ht="14.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row>
    <row r="212" spans="1:95" ht="14.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row>
    <row r="213" spans="1:95" ht="14.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row>
    <row r="214" spans="1:95" ht="14.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row>
    <row r="215" spans="1:95" ht="14.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row>
    <row r="216" spans="1:95" ht="14.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row>
    <row r="217" spans="1:95" ht="14.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row>
    <row r="218" spans="1:95" ht="14.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row>
    <row r="219" spans="1:95" ht="14.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row>
    <row r="220" spans="1:95" ht="14.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row>
    <row r="221" spans="1:95" ht="14.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row>
    <row r="222" spans="1:95" ht="14.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row>
    <row r="223" spans="1:95" ht="14.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row>
    <row r="224" spans="1:95" ht="14.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row>
    <row r="225" spans="1:95" ht="14.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row>
    <row r="226" spans="1:95" ht="14.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row>
    <row r="227" spans="1:95" ht="14.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row>
    <row r="228" spans="1:95" ht="14.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row>
    <row r="229" spans="1:95" ht="14.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row>
    <row r="230" spans="1:95" ht="14.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row>
    <row r="231" spans="1:95" ht="14.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row>
    <row r="232" spans="1:95" ht="14.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row>
    <row r="233" spans="1:95" ht="14.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row>
    <row r="234" spans="1:95" ht="14.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row>
    <row r="235" spans="1:95" ht="14.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row>
    <row r="236" spans="1:95" ht="14.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row>
    <row r="237" spans="1:95" ht="14.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row>
    <row r="238" spans="1:95" ht="14.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row>
    <row r="239" spans="1:95" ht="14.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row>
    <row r="240" spans="1:95" ht="14.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row>
    <row r="241" spans="1:95" ht="14.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row>
    <row r="242" spans="1:95" ht="14.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row>
    <row r="243" spans="1:95" ht="14.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row>
    <row r="244" spans="1:95" ht="14.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row>
    <row r="245" spans="1:95" ht="1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row>
    <row r="246" spans="1:95" ht="14.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row>
    <row r="247" spans="1:95" ht="14.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row>
    <row r="248" spans="1:95" ht="14.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row>
    <row r="249" spans="1:95" ht="14.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row>
    <row r="250" spans="1:95" ht="14.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row>
    <row r="251" spans="1:95" ht="14.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row>
    <row r="252" spans="1:95" ht="14.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row>
    <row r="253" spans="1:95" ht="14.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row>
    <row r="254" spans="1:95" ht="14.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row>
    <row r="255" spans="1:95" ht="14.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row>
    <row r="256" spans="1:95" ht="14.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row>
    <row r="257" spans="1:95" ht="14.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row>
    <row r="258" spans="1:95" ht="14.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row>
    <row r="259" spans="1:95" ht="14.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row>
    <row r="260" spans="1:95" ht="14.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row>
    <row r="261" spans="1:95" ht="14.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row>
    <row r="262" spans="1:95" ht="14.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row>
    <row r="263" spans="1:95" ht="14.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row>
    <row r="264" spans="1:95" ht="14.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row>
    <row r="265" spans="1:95" ht="14.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row>
    <row r="266" spans="1:95" ht="14.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row>
    <row r="267" spans="1:95" ht="14.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row>
    <row r="268" spans="1:95" ht="14.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row>
    <row r="269" spans="1:95" ht="14.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row>
    <row r="270" spans="1:95" ht="14.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row>
    <row r="271" spans="1:95" ht="14.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row>
    <row r="272" spans="1:95" ht="14.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row>
    <row r="273" spans="1:95" ht="14.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row>
    <row r="274" spans="1:95" ht="14.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row>
    <row r="275" spans="1:95" ht="14.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row>
    <row r="276" spans="1:95" ht="14.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row>
    <row r="277" spans="1:95" ht="14.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row>
    <row r="278" spans="1:95" ht="14.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row>
    <row r="279" spans="1:95" ht="14.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row>
    <row r="280" spans="1:95" ht="14.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row>
    <row r="281" spans="1:95" ht="14.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row>
    <row r="282" spans="1:95" ht="14.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row>
    <row r="283" spans="1:95" ht="14.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row>
    <row r="284" spans="1:95" ht="14.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row>
    <row r="285" spans="1:95" ht="14.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row>
    <row r="286" spans="1:95" ht="14.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row>
    <row r="287" spans="1:95" ht="14.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row>
    <row r="288" spans="1:95" ht="14.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row>
    <row r="289" spans="1:95" ht="14.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row>
    <row r="290" spans="1:95" ht="14.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row>
    <row r="291" spans="1:95" ht="14.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row>
    <row r="292" spans="1:95" ht="14.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row>
    <row r="293" spans="1:95" ht="14.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row>
    <row r="294" spans="1:95" ht="14.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row>
    <row r="295" spans="1:95" ht="14.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row>
    <row r="296" spans="1:95" ht="14.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row>
    <row r="297" spans="1:95" ht="14.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row>
    <row r="298" spans="1:95" ht="14.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row>
    <row r="299" spans="1:95" ht="14.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row>
    <row r="300" spans="1:95" ht="14.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row>
    <row r="301" spans="1:95" ht="14.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row>
    <row r="302" spans="1:95" ht="14.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row>
    <row r="303" spans="1:95" ht="14.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row>
    <row r="304" spans="1:95" ht="14.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row>
    <row r="305" spans="1:95" ht="14.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row>
    <row r="306" spans="1:95" ht="14.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row>
    <row r="307" spans="1:95" ht="14.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row>
    <row r="308" spans="1:95" ht="14.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row>
    <row r="309" spans="1:95" ht="14.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row>
    <row r="310" spans="1:95" ht="14.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row>
    <row r="311" spans="1:95" ht="14.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row>
    <row r="312" spans="1:95" ht="14.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row>
    <row r="313" spans="1:95" ht="14.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row>
    <row r="314" spans="1:95" ht="14.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row>
    <row r="315" spans="1:95" ht="14.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row>
    <row r="316" spans="1:95" ht="14.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row>
    <row r="317" spans="1:95" ht="14.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row>
    <row r="318" spans="1:95" ht="14.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row>
    <row r="319" spans="1:95" ht="14.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row>
    <row r="320" spans="1:95" ht="14.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row>
    <row r="321" spans="1:95" ht="14.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row>
    <row r="322" spans="1:95" ht="14.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row>
    <row r="323" spans="1:95" ht="14.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row>
    <row r="324" spans="1:95" ht="14.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row>
    <row r="325" spans="1:95" ht="14.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row>
    <row r="326" spans="1:95" ht="14.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row>
    <row r="327" spans="1:95" ht="14.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row>
    <row r="328" spans="1:95" ht="14.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row>
    <row r="329" spans="1:95" ht="14.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row>
    <row r="330" spans="1:95" ht="14.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row>
    <row r="331" spans="1:95" ht="14.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row>
    <row r="332" spans="1:95" ht="14.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row>
    <row r="333" spans="1:95" ht="14.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row>
    <row r="334" spans="1:95" ht="14.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row>
    <row r="335" spans="1:95" ht="14.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row>
    <row r="336" spans="1:95" ht="14.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row>
    <row r="337" spans="1:95" ht="14.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row>
    <row r="338" spans="1:95" ht="14.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row>
    <row r="339" spans="1:95" ht="14.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row>
    <row r="340" spans="1:95" ht="14.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row>
    <row r="341" spans="1:95" ht="14.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row>
    <row r="342" spans="1:95" ht="14.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row>
    <row r="343" spans="1:95" ht="14.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row>
    <row r="344" spans="1:95" ht="14.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row>
    <row r="345" spans="1:95" ht="1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row>
    <row r="346" spans="1:95" ht="14.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row>
    <row r="347" spans="1:95" ht="14.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row>
    <row r="348" spans="1:95" ht="14.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row>
    <row r="349" spans="1:95" ht="14.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row>
    <row r="350" spans="1:95" ht="14.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row>
    <row r="351" spans="1:95" ht="14.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row>
    <row r="352" spans="1:95" ht="14.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row>
    <row r="353" spans="1:95" ht="14.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row>
    <row r="354" spans="1:95" ht="14.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row>
    <row r="355" spans="1:95" ht="14.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row>
    <row r="356" spans="1:95" ht="14.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row>
    <row r="357" spans="1:95" ht="14.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row>
    <row r="358" spans="1:95" ht="14.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row>
    <row r="359" spans="1:95" ht="14.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row>
    <row r="360" spans="1:95" ht="14.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row>
    <row r="361" spans="1:95" ht="14.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row>
    <row r="362" spans="1:95" ht="14.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row>
    <row r="363" spans="1:95" ht="14.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row>
    <row r="364" spans="1:95" ht="14.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row>
    <row r="365" spans="1:95" ht="14.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row>
    <row r="366" spans="1:95" ht="14.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row>
    <row r="367" spans="1:95" ht="14.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row>
    <row r="368" spans="1:95" ht="14.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row>
    <row r="369" spans="1:95" ht="14.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row>
    <row r="370" spans="1:95" ht="14.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row>
    <row r="371" spans="1:95" ht="14.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row>
    <row r="372" spans="1:95" ht="14.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row>
    <row r="373" spans="1:95" ht="14.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row>
    <row r="374" spans="1:95" ht="14.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row>
    <row r="375" spans="1:95" ht="14.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row>
    <row r="376" spans="1:95" ht="14.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row>
    <row r="377" spans="1:95" ht="14.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row>
    <row r="378" spans="1:95" ht="14.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row>
    <row r="379" spans="1:95" ht="14.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row>
    <row r="380" spans="1:95" ht="14.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row>
    <row r="381" spans="1:95" ht="14.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row>
    <row r="382" spans="1:95" ht="14.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row>
    <row r="383" spans="1:95" ht="14.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row>
    <row r="384" spans="1:95" ht="14.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row>
    <row r="385" spans="1:95" ht="14.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row>
    <row r="386" spans="1:95" ht="14.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row>
    <row r="387" spans="1:95" ht="14.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row>
    <row r="388" spans="1:95" ht="14.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row>
    <row r="389" spans="1:95" ht="14.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row>
    <row r="390" spans="1:95" ht="14.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row>
    <row r="391" spans="1:95" ht="14.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row>
    <row r="392" spans="1:95" ht="14.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row>
    <row r="393" spans="1:95" ht="14.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row>
    <row r="394" spans="1:95" ht="14.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row>
    <row r="395" spans="1:95" ht="14.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row>
    <row r="396" spans="1:95" ht="14.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row>
    <row r="397" spans="1:95" ht="14.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row>
    <row r="398" spans="1:95" ht="14.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row>
    <row r="399" spans="1:95" ht="14.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row>
    <row r="400" spans="1:95" ht="14.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row>
    <row r="401" spans="1:95" ht="14.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row>
    <row r="402" spans="1:95" ht="14.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row>
    <row r="403" spans="1:95" ht="14.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row>
    <row r="404" spans="1:95" ht="14.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row>
    <row r="405" spans="1:95" ht="14.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row>
    <row r="406" spans="1:95" ht="14.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row>
    <row r="407" spans="1:95" ht="14.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row>
    <row r="408" spans="1:95" ht="14.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row>
    <row r="409" spans="1:95" ht="14.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row>
    <row r="410" spans="1:95" ht="14.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row>
    <row r="411" spans="1:95" ht="14.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row>
    <row r="412" spans="1:95" ht="14.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row>
    <row r="413" spans="1:95" ht="14.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row>
    <row r="414" spans="1:95" ht="14.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row>
    <row r="415" spans="1:95" ht="14.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row>
    <row r="416" spans="1:95" ht="14.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row>
    <row r="417" spans="1:95" ht="14.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row>
    <row r="418" spans="1:95" ht="14.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row>
    <row r="419" spans="1:95" ht="14.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row>
    <row r="420" spans="1:95" ht="14.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row>
    <row r="421" spans="1:95" ht="14.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row>
    <row r="422" spans="1:95" ht="14.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row>
    <row r="423" spans="1:95" ht="14.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row>
    <row r="424" spans="1:95" ht="14.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row>
    <row r="425" spans="1:95" ht="14.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row>
    <row r="426" spans="1:95" ht="14.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row>
    <row r="427" spans="1:95" ht="14.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row>
    <row r="428" spans="1:95" ht="14.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row>
    <row r="429" spans="1:95" ht="14.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row>
    <row r="430" spans="1:95" ht="14.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row>
    <row r="431" spans="1:95" ht="14.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row>
    <row r="432" spans="1:95" ht="14.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row>
    <row r="433" spans="1:95" ht="14.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row>
    <row r="434" spans="1:95" ht="14.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row>
    <row r="435" spans="1:95" ht="14.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row>
    <row r="436" spans="1:95" ht="14.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row>
    <row r="437" spans="1:95" ht="14.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row>
    <row r="438" spans="1:95" ht="14.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row>
    <row r="439" spans="1:95" ht="14.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row>
    <row r="440" spans="1:95" ht="14.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row>
    <row r="441" spans="1:95" ht="14.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row>
    <row r="442" spans="1:95" ht="14.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row>
    <row r="443" spans="1:95" ht="14.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row>
    <row r="444" spans="1:95" ht="14.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row>
    <row r="445" spans="1:95" ht="1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row>
    <row r="446" spans="1:95" ht="14.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row>
    <row r="447" spans="1:95" ht="14.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row>
    <row r="448" spans="1:95" ht="14.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row>
    <row r="449" spans="1:95" ht="14.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row>
    <row r="450" spans="1:95" ht="14.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row>
    <row r="451" spans="1:95" ht="14.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row>
    <row r="452" spans="1:95" ht="14.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row>
    <row r="453" spans="1:95" ht="14.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row>
    <row r="454" spans="1:95" ht="14.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row>
    <row r="455" spans="1:95" ht="14.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row>
    <row r="456" spans="1:95" ht="14.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row>
    <row r="457" spans="1:95" ht="14.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row>
    <row r="458" spans="1:95" ht="14.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row>
    <row r="459" spans="1:95" ht="14.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row>
    <row r="460" spans="1:95" ht="14.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row>
    <row r="461" spans="1:95" ht="14.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row>
    <row r="462" spans="1:95" ht="14.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row>
    <row r="463" spans="1:95" ht="14.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row>
    <row r="464" spans="1:95" ht="14.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row>
    <row r="465" spans="1:95" ht="14.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row>
    <row r="466" spans="1:95" ht="14.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row>
    <row r="467" spans="1:95" ht="14.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row>
    <row r="468" spans="1:95" ht="14.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row>
    <row r="469" spans="1:95" ht="14.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row>
    <row r="470" spans="1:95" ht="14.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row>
    <row r="471" spans="1:95" ht="14.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row>
    <row r="472" spans="1:95" ht="14.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row>
    <row r="473" spans="1:95" ht="14.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row>
    <row r="474" spans="1:95" ht="14.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row>
    <row r="475" spans="1:95" ht="14.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row>
    <row r="476" spans="1:95" ht="14.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row>
    <row r="477" spans="1:95" ht="14.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row>
    <row r="478" spans="1:95" ht="14.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row>
    <row r="479" spans="1:95" ht="14.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row>
    <row r="480" spans="1:95" ht="14.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row>
    <row r="481" spans="1:95" ht="14.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row>
    <row r="482" spans="1:95" ht="14.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row>
    <row r="483" spans="1:95" ht="14.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row>
    <row r="484" spans="1:95" ht="14.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row>
    <row r="485" spans="1:95" ht="14.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row>
    <row r="486" spans="1:95" ht="14.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row>
    <row r="487" spans="1:95" ht="14.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row>
    <row r="488" spans="1:95" ht="14.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row>
    <row r="489" spans="1:95" ht="14.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row>
    <row r="490" spans="1:95" ht="14.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row>
    <row r="491" spans="1:95" ht="14.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row>
    <row r="492" spans="1:95" ht="14.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row>
    <row r="493" spans="1:95" ht="14.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row>
    <row r="494" spans="1:95" ht="14.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row>
    <row r="495" spans="1:95" ht="14.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row>
    <row r="496" spans="1:95" ht="14.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row>
    <row r="497" spans="1:95" ht="14.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row>
    <row r="498" spans="1:95" ht="14.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row>
    <row r="499" spans="1:95" ht="14.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row>
    <row r="500" spans="1:95" ht="14.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row>
    <row r="501" spans="1:95" ht="14.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row>
    <row r="502" spans="1:95" ht="14.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row>
    <row r="503" spans="1:95" ht="14.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row>
    <row r="504" spans="1:95" ht="14.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row>
    <row r="505" spans="1:95" ht="14.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row>
    <row r="506" spans="1:95" ht="14.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row>
    <row r="507" spans="1:95" ht="14.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row>
    <row r="508" spans="1:95" ht="14.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row>
    <row r="509" spans="1:95" ht="14.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row>
    <row r="510" spans="1:95" ht="14.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row>
    <row r="511" spans="1:95" ht="14.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row>
    <row r="512" spans="1:95" ht="14.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row>
    <row r="513" spans="1:95" ht="14.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row>
    <row r="514" spans="1:95" ht="14.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row>
    <row r="515" spans="1:95" ht="14.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row>
    <row r="516" spans="1:95" ht="14.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row>
    <row r="517" spans="1:95" ht="14.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row>
    <row r="518" spans="1:95" ht="14.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row>
    <row r="519" spans="1:95" ht="14.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row>
    <row r="520" spans="1:95" ht="14.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row>
    <row r="521" spans="1:95" ht="14.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row>
    <row r="522" spans="1:95" ht="14.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row>
    <row r="523" spans="1:95" ht="14.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row>
    <row r="524" spans="1:95" ht="14.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row>
    <row r="525" spans="1:95" ht="14.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row>
    <row r="526" spans="1:95" ht="14.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row>
    <row r="527" spans="1:95" ht="14.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row>
    <row r="528" spans="1:95" ht="14.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row>
    <row r="529" spans="1:95" ht="14.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row>
    <row r="530" spans="1:95" ht="14.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row>
    <row r="531" spans="1:95" ht="14.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row>
    <row r="532" spans="1:95" ht="14.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row>
    <row r="533" spans="1:95" ht="14.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row>
    <row r="534" spans="1:95" ht="14.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row>
    <row r="535" spans="1:95" ht="14.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row>
    <row r="536" spans="1:95" ht="14.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row>
    <row r="537" spans="1:95" ht="14.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row>
    <row r="538" spans="1:95" ht="14.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row>
    <row r="539" spans="1:95" ht="14.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row>
    <row r="540" spans="1:95" ht="14.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row>
    <row r="541" spans="1:95" ht="14.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row>
    <row r="542" spans="1:95" ht="14.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row>
    <row r="543" spans="1:95" ht="14.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row>
    <row r="544" spans="1:95" ht="14.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row>
    <row r="545" spans="1:95" ht="1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row>
    <row r="546" spans="1:95" ht="14.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row>
    <row r="547" spans="1:95" ht="14.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row>
    <row r="548" spans="1:95" ht="14.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row>
    <row r="549" spans="1:95" ht="14.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row>
    <row r="550" spans="1:95" ht="14.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row>
    <row r="551" spans="1:95" ht="14.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row>
    <row r="552" spans="1:95" ht="14.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row>
    <row r="553" spans="1:95" ht="14.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row>
    <row r="554" spans="1:95" ht="14.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row>
    <row r="555" spans="1:95" ht="14.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row>
    <row r="556" spans="1:95" ht="14.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row>
    <row r="557" spans="1:95" ht="14.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row>
    <row r="558" spans="1:95" ht="14.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row>
    <row r="559" spans="1:95" ht="14.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row>
    <row r="560" spans="1:95" ht="14.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row>
    <row r="561" spans="1:95" ht="14.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row>
    <row r="562" spans="1:95" ht="14.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row>
    <row r="563" spans="1:95" ht="14.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row>
    <row r="564" spans="1:95" ht="14.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row>
    <row r="565" spans="1:95" ht="14.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row>
    <row r="566" spans="1:95" ht="14.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row>
    <row r="567" spans="1:95" ht="14.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row>
    <row r="568" spans="1:95" ht="14.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row>
    <row r="569" spans="1:95" ht="14.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row>
    <row r="570" spans="1:95" ht="14.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row>
    <row r="571" spans="1:95" ht="14.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row>
    <row r="572" spans="1:95" ht="14.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row>
    <row r="573" spans="1:95" ht="14.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row>
    <row r="574" spans="1:95" ht="14.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row>
    <row r="575" spans="1:95" ht="14.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row>
    <row r="576" spans="1:95" ht="14.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row>
    <row r="577" spans="1:95" ht="14.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row>
    <row r="578" spans="1:95" ht="14.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row>
    <row r="579" spans="1:95" ht="14.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row>
    <row r="580" spans="1:95" ht="14.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row>
    <row r="581" spans="1:95" ht="14.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row>
    <row r="582" spans="1:95" ht="14.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row>
    <row r="583" spans="1:95" ht="14.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row>
    <row r="584" spans="1:95" ht="14.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row>
    <row r="585" spans="1:95" ht="14.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row>
    <row r="586" spans="1:95" ht="14.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row>
    <row r="587" spans="1:95" ht="14.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row>
    <row r="588" spans="1:95" ht="14.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row>
    <row r="589" spans="1:95" ht="14.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row>
    <row r="590" spans="1:95" ht="14.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row>
    <row r="591" spans="1:95" ht="14.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row>
    <row r="592" spans="1:95" ht="14.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row>
    <row r="593" spans="1:95" ht="14.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row>
    <row r="594" spans="1:95" ht="14.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row>
    <row r="595" spans="1:95" ht="14.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row>
    <row r="596" spans="1:95" ht="14.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row>
    <row r="597" spans="1:95" ht="14.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row>
    <row r="598" spans="1:95" ht="14.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row>
    <row r="599" spans="1:95" ht="14.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row>
    <row r="600" spans="1:95" ht="14.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row>
    <row r="601" spans="1:95" ht="14.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row>
    <row r="602" spans="1:95" ht="14.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row>
    <row r="603" spans="1:95" ht="14.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row>
    <row r="604" spans="1:95" ht="14.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row>
    <row r="605" spans="1:95" ht="14.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row>
    <row r="606" spans="1:95" ht="14.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row>
    <row r="607" spans="1:95" ht="14.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row>
    <row r="608" spans="1:95" ht="14.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row>
    <row r="609" spans="1:95" ht="14.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row>
    <row r="610" spans="1:95" ht="14.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row>
    <row r="611" spans="1:95" ht="14.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row>
    <row r="612" spans="1:95" ht="14.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row>
    <row r="613" spans="1:95" ht="14.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row>
    <row r="614" spans="1:95" ht="14.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row>
    <row r="615" spans="1:95" ht="14.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row>
    <row r="616" spans="1:95" ht="14.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row>
    <row r="617" spans="1:95" ht="14.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row>
    <row r="618" spans="1:95" ht="14.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row>
    <row r="619" spans="1:95" ht="14.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row>
    <row r="620" spans="1:95" ht="14.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row>
    <row r="621" spans="1:95" ht="14.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row>
    <row r="622" spans="1:95" ht="14.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row>
    <row r="623" spans="1:95" ht="14.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row>
    <row r="624" spans="1:95" ht="14.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row>
    <row r="625" spans="1:95" ht="14.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row>
    <row r="626" spans="1:95" ht="14.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row>
    <row r="627" spans="1:95" ht="14.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row>
    <row r="628" spans="1:95" ht="14.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row>
    <row r="629" spans="1:95" ht="14.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row>
    <row r="630" spans="1:95" ht="14.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row>
    <row r="631" spans="1:95" ht="14.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row>
    <row r="632" spans="1:95" ht="14.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row>
    <row r="633" spans="1:95" ht="14.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row>
    <row r="634" spans="1:95" ht="14.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row>
    <row r="635" spans="1:95" ht="14.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row>
    <row r="636" spans="1:95" ht="14.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row>
    <row r="637" spans="1:95" ht="14.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row>
    <row r="638" spans="1:95" ht="14.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row>
    <row r="639" spans="1:95" ht="14.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row>
    <row r="640" spans="1:95" ht="14.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row>
    <row r="641" spans="1:95" ht="14.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row>
    <row r="642" spans="1:95" ht="14.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row>
    <row r="643" spans="1:95" ht="14.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row>
    <row r="644" spans="1:95" ht="14.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row>
    <row r="645" spans="1:95" ht="1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row>
    <row r="646" spans="1:95" ht="14.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row>
    <row r="647" spans="1:95" ht="14.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row>
    <row r="648" spans="1:95" ht="14.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row>
    <row r="649" spans="1:95" ht="14.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row>
    <row r="650" spans="1:95" ht="14.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row>
    <row r="651" spans="1:95" ht="14.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row>
    <row r="652" spans="1:95" ht="14.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row>
    <row r="653" spans="1:95" ht="14.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row>
    <row r="654" spans="1:95" ht="14.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row>
    <row r="655" spans="1:95" ht="14.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row>
    <row r="656" spans="1:95" ht="14.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row>
    <row r="657" spans="1:95" ht="14.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row>
    <row r="658" spans="1:95" ht="14.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row>
    <row r="659" spans="1:95" ht="14.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row>
    <row r="660" spans="1:95" ht="14.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row>
    <row r="661" spans="1:95" ht="14.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row>
    <row r="662" spans="1:95" ht="14.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row>
    <row r="663" spans="1:95" ht="14.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row>
    <row r="664" spans="1:95" ht="14.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row>
    <row r="665" spans="1:95" ht="14.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row>
    <row r="666" spans="1:95" ht="14.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row>
    <row r="667" spans="1:95" ht="14.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row>
    <row r="668" spans="1:95" ht="14.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row>
    <row r="669" spans="1:95" ht="14.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row>
    <row r="670" spans="1:95" ht="14.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row>
    <row r="671" spans="1:95" ht="14.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row>
    <row r="672" spans="1:95" ht="14.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row>
    <row r="673" spans="1:95" ht="14.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row>
    <row r="674" spans="1:95" ht="14.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row>
    <row r="675" spans="1:95" ht="14.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row>
    <row r="676" spans="1:95" ht="14.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row>
    <row r="677" spans="1:95" ht="14.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row>
    <row r="678" spans="1:95" ht="14.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row>
    <row r="679" spans="1:95" ht="14.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row>
    <row r="680" spans="1:95" ht="14.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row>
    <row r="681" spans="1:95" ht="14.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row>
    <row r="682" spans="1:95" ht="14.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row>
    <row r="683" spans="1:95" ht="14.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row>
    <row r="684" spans="1:95" ht="14.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row>
    <row r="685" spans="1:95" ht="14.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row>
    <row r="686" spans="1:95" ht="14.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row>
    <row r="687" spans="1:95" ht="14.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row>
    <row r="688" spans="1:95" ht="14.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row>
    <row r="689" spans="1:95" ht="14.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row>
    <row r="690" spans="1:95" ht="14.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row>
    <row r="691" spans="1:95" ht="14.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row>
    <row r="692" spans="1:95" ht="14.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row>
    <row r="693" spans="1:95" ht="14.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row>
    <row r="694" spans="1:95" ht="14.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row>
    <row r="695" spans="1:95" ht="14.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row>
    <row r="696" spans="1:95" ht="14.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row>
    <row r="697" spans="1:95" ht="14.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row>
    <row r="698" spans="1:95" ht="14.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row>
    <row r="699" spans="1:95" ht="14.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row>
    <row r="700" spans="1:95" ht="14.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row>
    <row r="701" spans="1:95" ht="14.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row>
    <row r="702" spans="1:95" ht="14.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row>
    <row r="703" spans="1:95" ht="14.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row>
    <row r="704" spans="1:95" ht="14.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row>
    <row r="705" spans="1:95" ht="14.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row>
    <row r="706" spans="1:95" ht="14.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row>
    <row r="707" spans="1:95" ht="14.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row>
    <row r="708" spans="1:95" ht="14.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row>
    <row r="709" spans="1:95" ht="14.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row>
    <row r="710" spans="1:95" ht="14.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row>
    <row r="711" spans="1:95" ht="14.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row>
    <row r="712" spans="1:95" ht="14.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row>
    <row r="713" spans="1:95" ht="14.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row>
    <row r="714" spans="1:95" ht="14.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row>
    <row r="715" spans="1:95" ht="14.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row>
    <row r="716" spans="1:95" ht="14.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row>
    <row r="717" spans="1:95" ht="14.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row>
    <row r="718" spans="1:95" ht="14.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row>
    <row r="719" spans="1:95" ht="14.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row>
    <row r="720" spans="1:95" ht="14.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row>
    <row r="721" spans="1:95" ht="14.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row>
    <row r="722" spans="1:95" ht="14.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row>
    <row r="723" spans="1:95" ht="14.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row>
    <row r="724" spans="1:95" ht="14.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row>
    <row r="725" spans="1:95" ht="14.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row>
    <row r="726" spans="1:95" ht="14.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row>
    <row r="727" spans="1:95" ht="14.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row>
    <row r="728" spans="1:95" ht="14.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row>
    <row r="729" spans="1:95" ht="14.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row>
    <row r="730" spans="1:95" ht="14.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row>
    <row r="731" spans="1:95" ht="14.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row>
    <row r="732" spans="1:95" ht="14.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row>
    <row r="733" spans="1:95" ht="14.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row>
    <row r="734" spans="1:95" ht="14.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row>
    <row r="735" spans="1:95" ht="14.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row>
    <row r="736" spans="1:95" ht="14.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row>
    <row r="737" spans="1:95" ht="14.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row>
    <row r="738" spans="1:95" ht="14.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row>
    <row r="739" spans="1:95" ht="14.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row>
    <row r="740" spans="1:95" ht="14.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row>
    <row r="741" spans="1:95" ht="14.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row>
    <row r="742" spans="1:95" ht="14.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row>
    <row r="743" spans="1:95" ht="14.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row>
    <row r="744" spans="1:95" ht="14.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row>
    <row r="745" spans="1:95" ht="1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row>
    <row r="746" spans="1:95" ht="14.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row>
    <row r="747" spans="1:95" ht="14.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row>
    <row r="748" spans="1:95" ht="14.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row>
    <row r="749" spans="1:95" ht="14.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row>
    <row r="750" spans="1:95" ht="14.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row>
    <row r="751" spans="1:95" ht="14.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row>
    <row r="752" spans="1:95" ht="14.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row>
    <row r="753" spans="1:95" ht="14.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row>
    <row r="754" spans="1:95" ht="14.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row>
    <row r="755" spans="1:95" ht="14.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row>
    <row r="756" spans="1:95" ht="14.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row>
    <row r="757" spans="1:95" ht="14.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row>
    <row r="758" spans="1:95" ht="14.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row>
    <row r="759" spans="1:95" ht="14.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row>
    <row r="760" spans="1:95" ht="14.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row>
    <row r="761" spans="1:95" ht="14.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row>
    <row r="762" spans="1:95" ht="14.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row>
    <row r="763" spans="1:95" ht="14.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row>
    <row r="764" spans="1:95" ht="14.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row>
    <row r="765" spans="1:95" ht="14.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row>
    <row r="766" spans="1:95" ht="14.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row>
    <row r="767" spans="1:95" ht="14.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row>
    <row r="768" spans="1:95" ht="14.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row>
    <row r="769" spans="1:95" ht="14.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row>
    <row r="770" spans="1:95" ht="14.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row>
    <row r="771" spans="1:95" ht="14.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row>
    <row r="772" spans="1:95" ht="14.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row>
    <row r="773" spans="1:95" ht="14.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row>
    <row r="774" spans="1:95" ht="14.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row>
    <row r="775" spans="1:95" ht="14.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row>
    <row r="776" spans="1:95" ht="14.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row>
    <row r="777" spans="1:95" ht="14.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row>
    <row r="778" spans="1:95" ht="14.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row>
    <row r="779" spans="1:95" ht="14.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row>
    <row r="780" spans="1:95" ht="14.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row>
    <row r="781" spans="1:95" ht="14.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row>
    <row r="782" spans="1:95" ht="14.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row>
    <row r="783" spans="1:95" ht="14.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row>
    <row r="784" spans="1:95" ht="14.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row>
    <row r="785" spans="1:95" ht="14.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row>
    <row r="786" spans="1:95" ht="14.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row>
    <row r="787" spans="1:95" ht="14.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row>
    <row r="788" spans="1:95" ht="14.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row>
    <row r="789" spans="1:95" ht="14.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row>
    <row r="790" spans="1:95" ht="14.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row>
    <row r="791" spans="1:95" ht="14.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row>
    <row r="792" spans="1:95" ht="14.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row>
    <row r="793" spans="1:95" ht="14.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row>
    <row r="794" spans="1:95" ht="14.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row>
    <row r="795" spans="1:95" ht="14.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row>
    <row r="796" spans="1:95" ht="14.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row>
    <row r="797" spans="1:95" ht="14.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row>
    <row r="798" spans="1:95" ht="14.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row>
    <row r="799" spans="1:95" ht="14.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row>
    <row r="800" spans="1:95" ht="14.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row>
    <row r="801" spans="1:95" ht="14.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row>
    <row r="802" spans="1:95" ht="14.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row>
    <row r="803" spans="1:95" ht="14.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row>
    <row r="804" spans="1:95" ht="14.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row>
    <row r="805" spans="1:95" ht="14.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row>
    <row r="806" spans="1:95" ht="14.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row>
    <row r="807" spans="1:95" ht="14.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row>
    <row r="808" spans="1:95" ht="14.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row>
    <row r="809" spans="1:95" ht="14.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row>
    <row r="810" spans="1:95" ht="14.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row>
    <row r="811" spans="1:95" ht="14.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row>
    <row r="812" spans="1:95" ht="14.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row>
    <row r="813" spans="1:95" ht="14.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row>
    <row r="814" spans="1:95" ht="14.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row>
    <row r="815" spans="1:95" ht="14.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row>
    <row r="816" spans="1:95" ht="14.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row>
    <row r="817" spans="1:95" ht="14.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row>
    <row r="818" spans="1:95" ht="14.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row>
    <row r="819" spans="1:95" ht="14.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row>
    <row r="820" spans="1:95" ht="14.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row>
    <row r="821" spans="1:95" ht="14.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row>
    <row r="822" spans="1:95" ht="14.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row>
    <row r="823" spans="1:95" ht="14.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row>
    <row r="824" spans="1:95" ht="14.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row>
    <row r="825" spans="1:95" ht="14.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row>
    <row r="826" spans="1:95" ht="14.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row>
    <row r="827" spans="1:95" ht="14.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row>
    <row r="828" spans="1:95" ht="14.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row>
    <row r="829" spans="1:95" ht="14.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row>
    <row r="830" spans="1:95" ht="14.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row>
    <row r="831" spans="1:95" ht="14.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row>
    <row r="832" spans="1:95" ht="14.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row>
    <row r="833" spans="1:95" ht="14.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row>
    <row r="834" spans="1:95" ht="14.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row>
    <row r="835" spans="1:95" ht="14.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row>
    <row r="836" spans="1:95" ht="14.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row>
    <row r="837" spans="1:95" ht="14.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row>
    <row r="838" spans="1:95" ht="14.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row>
    <row r="839" spans="1:95" ht="14.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row>
    <row r="840" spans="1:95" ht="14.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row>
    <row r="841" spans="1:95" ht="14.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row>
    <row r="842" spans="1:95" ht="14.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row>
    <row r="843" spans="1:95" ht="14.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row>
    <row r="844" spans="1:95" ht="14.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row>
    <row r="845" spans="1:95" ht="1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row>
    <row r="846" spans="1:95" ht="14.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row>
    <row r="847" spans="1:95" ht="14.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row>
    <row r="848" spans="1:95" ht="14.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row>
    <row r="849" spans="1:95" ht="14.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row>
    <row r="850" spans="1:95" ht="14.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row>
    <row r="851" spans="1:95" ht="14.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row>
    <row r="852" spans="1:95" ht="14.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row>
    <row r="853" spans="1:95" ht="14.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row>
    <row r="854" spans="1:95" ht="14.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row>
    <row r="855" spans="1:95" ht="14.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row>
    <row r="856" spans="1:95" ht="14.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row>
    <row r="857" spans="1:95" ht="14.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row>
    <row r="858" spans="1:95" ht="14.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row>
    <row r="859" spans="1:95" ht="14.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row>
    <row r="860" spans="1:95" ht="14.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row>
    <row r="861" spans="1:95" ht="14.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row>
    <row r="862" spans="1:95" ht="14.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row>
    <row r="863" spans="1:95" ht="14.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row>
    <row r="864" spans="1:95" ht="14.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row>
    <row r="865" spans="1:95" ht="14.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row>
    <row r="866" spans="1:95" ht="14.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row>
    <row r="867" spans="1:95" ht="14.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row>
    <row r="868" spans="1:95" ht="14.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row>
    <row r="869" spans="1:95" ht="14.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row>
    <row r="870" spans="1:95" ht="14.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row>
    <row r="871" spans="1:95" ht="14.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row>
    <row r="872" spans="1:95" ht="14.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row>
    <row r="873" spans="1:95" ht="14.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row>
    <row r="874" spans="1:95" ht="14.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row>
    <row r="875" spans="1:95" ht="14.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row>
    <row r="876" spans="1:95" ht="14.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row>
    <row r="877" spans="1:95" ht="14.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row>
    <row r="878" spans="1:95" ht="14.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row>
    <row r="879" spans="1:95" ht="14.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row>
    <row r="880" spans="1:95" ht="14.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row>
    <row r="881" spans="1:95" ht="14.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row>
    <row r="882" spans="1:95" ht="14.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row>
    <row r="883" spans="1:95" ht="14.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row>
    <row r="884" spans="1:95" ht="14.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row>
    <row r="885" spans="1:95" ht="14.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row>
    <row r="886" spans="1:95" ht="14.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row>
    <row r="887" spans="1:95" ht="14.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row>
    <row r="888" spans="1:95" ht="14.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row>
    <row r="889" spans="1:95" ht="14.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row>
    <row r="890" spans="1:95" ht="14.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row>
    <row r="891" spans="1:95" ht="14.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row>
    <row r="892" spans="1:95" ht="14.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row>
    <row r="893" spans="1:95" ht="14.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row>
    <row r="894" spans="1:95" ht="14.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row>
    <row r="895" spans="1:95" ht="14.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row>
    <row r="896" spans="1:95" ht="14.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row>
    <row r="897" spans="1:95" ht="14.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row>
    <row r="898" spans="1:95" ht="14.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row>
    <row r="899" spans="1:95" ht="14.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row>
    <row r="900" spans="1:95" ht="14.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row>
    <row r="901" spans="1:95" ht="14.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row>
    <row r="902" spans="1:95" ht="14.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row>
    <row r="903" spans="1:95" ht="14.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row>
    <row r="904" spans="1:95" ht="14.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row>
    <row r="905" spans="1:95" ht="14.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row>
    <row r="906" spans="1:95" ht="14.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row>
    <row r="907" spans="1:95" ht="14.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row>
    <row r="908" spans="1:95" ht="14.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row>
    <row r="909" spans="1:95" ht="14.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row>
    <row r="910" spans="1:95" ht="14.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row>
    <row r="911" spans="1:95" ht="14.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row>
    <row r="912" spans="1:95" ht="14.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row>
    <row r="913" spans="1:95" ht="14.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row>
    <row r="914" spans="1:95" ht="14.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row>
    <row r="915" spans="1:95" ht="14.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row>
    <row r="916" spans="1:95" ht="14.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row>
    <row r="917" spans="1:95" ht="14.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row>
    <row r="918" spans="1:95" ht="14.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row>
    <row r="919" spans="1:95" ht="14.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row>
    <row r="920" spans="1:95" ht="14.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row>
    <row r="921" spans="1:95" ht="14.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row>
    <row r="922" spans="1:95" ht="14.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row>
    <row r="923" spans="1:95" ht="14.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row>
    <row r="924" spans="1:95" ht="14.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row>
    <row r="925" spans="1:95" ht="14.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row>
    <row r="926" spans="1:95" ht="14.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row>
    <row r="927" spans="1:95" ht="14.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row>
    <row r="928" spans="1:95" ht="14.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row>
    <row r="929" spans="1:95" ht="14.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row>
    <row r="930" spans="1:95" ht="14.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row>
    <row r="931" spans="1:95" ht="14.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row>
    <row r="932" spans="1:95" ht="14.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row>
    <row r="933" spans="1:95" ht="14.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row>
    <row r="934" spans="1:95" ht="14.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row>
    <row r="935" spans="1:95" ht="14.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row>
    <row r="936" spans="1:95" ht="14.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row>
    <row r="937" spans="1:95" ht="14.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row>
    <row r="938" spans="1:95" ht="14.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row>
    <row r="939" spans="1:95" ht="14.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row>
    <row r="940" spans="1:95" ht="14.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row>
    <row r="941" spans="1:95" ht="14.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row>
    <row r="942" spans="1:95" ht="14.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row>
    <row r="943" spans="1:95" ht="14.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row>
    <row r="944" spans="1:95" ht="14.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row>
    <row r="945" spans="1:95" ht="1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row>
    <row r="946" spans="1:95" ht="14.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row>
    <row r="947" spans="1:95" ht="14.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row>
    <row r="948" spans="1:95" ht="14.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row>
    <row r="949" spans="1:95" ht="14.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row>
    <row r="950" spans="1:95" ht="14.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row>
    <row r="951" spans="1:95" ht="14.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row>
    <row r="952" spans="1:95" ht="14.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row>
    <row r="953" spans="1:95" ht="14.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row>
    <row r="954" spans="1:95" ht="14.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row>
    <row r="955" spans="1:95" ht="14.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row>
    <row r="956" spans="1:95" ht="14.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row>
    <row r="957" spans="1:95" ht="14.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row>
    <row r="958" spans="1:95" ht="14.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row>
    <row r="959" spans="1:95" ht="14.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row>
    <row r="960" spans="1:95" ht="14.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row>
    <row r="961" spans="1:95" ht="14.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row>
    <row r="962" spans="1:95" ht="14.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row>
    <row r="963" spans="1:95" ht="14.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row>
    <row r="964" spans="1:95" ht="14.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row>
    <row r="965" spans="1:95" ht="14.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row>
    <row r="966" spans="1:95" ht="14.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row>
    <row r="967" spans="1:95" ht="14.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row>
    <row r="968" spans="1:95" ht="14.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row>
    <row r="969" spans="1:95" ht="14.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row>
    <row r="970" spans="1:95" ht="14.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row>
    <row r="971" spans="1:95" ht="14.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row>
    <row r="972" spans="1:95" ht="14.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row>
    <row r="973" spans="1:95" ht="14.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row>
    <row r="974" spans="1:95" ht="14.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row>
    <row r="975" spans="1:95" ht="14.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row>
    <row r="976" spans="1:95" ht="14.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row>
    <row r="977" spans="1:95" ht="14.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row>
    <row r="978" spans="1:95" ht="14.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row>
    <row r="979" spans="1:95" ht="14.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row>
    <row r="980" spans="1:95" ht="14.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row>
    <row r="981" spans="1:95" ht="14.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row>
    <row r="982" spans="1:95" ht="14.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row>
    <row r="983" spans="1:95" ht="14.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row>
    <row r="984" spans="1:95" ht="14.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row>
    <row r="985" spans="1:95" ht="14.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row>
    <row r="986" spans="1:95" ht="14.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row>
    <row r="987" spans="1:95" ht="14.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row>
    <row r="988" spans="1:95" ht="14.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row>
    <row r="989" spans="1:95" ht="14.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row>
    <row r="990" spans="1:95" ht="14.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row>
    <row r="991" spans="1:95" ht="14.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row>
    <row r="992" spans="1:95" ht="14.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row>
    <row r="993" spans="1:95" ht="14.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4" width="19"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8" width="14" customWidth="1"/>
    <col min="69" max="69" width="3.54296875" customWidth="1"/>
    <col min="70" max="73" width="13.81640625" customWidth="1"/>
    <col min="74" max="74" width="3.26953125" customWidth="1"/>
    <col min="75" max="75" width="19.08984375" customWidth="1"/>
    <col min="76" max="76" width="18.26953125" customWidth="1"/>
    <col min="77" max="77" width="22"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36"/>
      <c r="D1" s="36"/>
      <c r="F1" s="43"/>
      <c r="L1" s="43"/>
      <c r="Q1" s="43"/>
      <c r="V1" s="43"/>
      <c r="AD1" s="43"/>
      <c r="AG1" s="43"/>
      <c r="AL1" s="43"/>
      <c r="AQ1" s="43"/>
      <c r="AV1" s="43"/>
      <c r="BA1" s="43"/>
      <c r="BF1" s="43"/>
      <c r="BK1" s="43"/>
      <c r="BQ1" s="43"/>
      <c r="BV1" s="43"/>
      <c r="CC1" s="43"/>
    </row>
    <row r="2" spans="1:85" ht="21.75" customHeight="1">
      <c r="A2" s="1"/>
      <c r="B2" s="44" t="s">
        <v>0</v>
      </c>
      <c r="C2" s="3" t="s">
        <v>15</v>
      </c>
      <c r="D2" s="45"/>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36"/>
      <c r="D3" s="36"/>
      <c r="F3" s="43"/>
      <c r="L3" s="43"/>
      <c r="Q3" s="43"/>
      <c r="V3" s="43"/>
      <c r="AD3" s="43"/>
      <c r="AG3" s="43"/>
      <c r="AL3" s="43"/>
      <c r="AQ3" s="43"/>
      <c r="AV3" s="43"/>
      <c r="BA3" s="43"/>
      <c r="BF3" s="43"/>
      <c r="BK3" s="43"/>
      <c r="BQ3" s="43"/>
      <c r="BV3" s="43"/>
      <c r="CC3" s="43"/>
    </row>
    <row r="4" spans="1:85" ht="14.5">
      <c r="B4" s="46" t="s">
        <v>2284</v>
      </c>
      <c r="C4" s="47" t="s">
        <v>2285</v>
      </c>
      <c r="D4" s="36"/>
      <c r="F4" s="43"/>
      <c r="G4" s="1" t="s">
        <v>16</v>
      </c>
      <c r="H4" s="1">
        <v>54850098200044</v>
      </c>
      <c r="J4" s="1" t="s">
        <v>17</v>
      </c>
      <c r="K4" s="48" t="s">
        <v>18</v>
      </c>
      <c r="L4" s="49" t="s">
        <v>2286</v>
      </c>
      <c r="M4" s="43"/>
      <c r="N4" s="1" t="s">
        <v>19</v>
      </c>
      <c r="O4" s="1"/>
      <c r="Q4" s="43"/>
      <c r="V4" s="43"/>
      <c r="AD4" s="43"/>
      <c r="AG4" s="43"/>
      <c r="AL4" s="43"/>
      <c r="AQ4" s="43"/>
      <c r="AV4" s="43"/>
      <c r="BA4" s="43"/>
      <c r="BF4" s="43"/>
      <c r="BK4" s="43"/>
      <c r="BQ4" s="43"/>
      <c r="BV4" s="43"/>
      <c r="CC4" s="43"/>
    </row>
    <row r="5" spans="1:85" ht="9" customHeight="1">
      <c r="B5" s="36"/>
      <c r="D5" s="36"/>
      <c r="F5" s="43"/>
      <c r="L5" s="43"/>
      <c r="Q5" s="43"/>
      <c r="V5" s="43"/>
      <c r="AD5" s="43"/>
      <c r="AG5" s="43"/>
      <c r="AL5" s="43"/>
      <c r="AQ5" s="43"/>
      <c r="AV5" s="43"/>
      <c r="BA5" s="43"/>
      <c r="BF5" s="43"/>
      <c r="BK5" s="43"/>
      <c r="BQ5" s="43"/>
      <c r="BV5" s="43"/>
      <c r="CC5" s="43"/>
    </row>
    <row r="6" spans="1:85" ht="14.5">
      <c r="B6" s="50" t="s">
        <v>20</v>
      </c>
      <c r="C6" s="5"/>
      <c r="D6" s="51"/>
      <c r="E6" s="5"/>
      <c r="F6" s="5"/>
      <c r="G6" s="5" t="s">
        <v>21</v>
      </c>
      <c r="H6" s="5"/>
      <c r="I6" s="5"/>
      <c r="J6" s="5"/>
      <c r="K6" s="5"/>
      <c r="L6" s="5"/>
      <c r="M6" s="5" t="s">
        <v>2287</v>
      </c>
      <c r="N6" s="5"/>
      <c r="O6" s="5"/>
      <c r="P6" s="5"/>
      <c r="Q6" s="5"/>
      <c r="R6" s="5" t="s">
        <v>2288</v>
      </c>
      <c r="S6" s="5"/>
      <c r="T6" s="5"/>
      <c r="U6" s="5"/>
      <c r="V6" s="43"/>
      <c r="W6" s="52" t="s">
        <v>22</v>
      </c>
      <c r="X6" s="53"/>
      <c r="Y6" s="53"/>
      <c r="Z6" s="53"/>
      <c r="AA6" s="53"/>
      <c r="AB6" s="53"/>
      <c r="AC6" s="53"/>
      <c r="AD6" s="43"/>
      <c r="AE6" s="54" t="s">
        <v>23</v>
      </c>
      <c r="AF6" s="55"/>
      <c r="AG6" s="43"/>
      <c r="AH6" s="56" t="s">
        <v>2289</v>
      </c>
      <c r="AI6" s="57"/>
      <c r="AJ6" s="57"/>
      <c r="AK6" s="57"/>
      <c r="AL6" s="57"/>
      <c r="AM6" s="57" t="s">
        <v>2287</v>
      </c>
      <c r="AN6" s="57"/>
      <c r="AO6" s="57"/>
      <c r="AP6" s="57"/>
      <c r="AQ6" s="57"/>
      <c r="AR6" s="57" t="s">
        <v>24</v>
      </c>
      <c r="AS6" s="57"/>
      <c r="AT6" s="57"/>
      <c r="AU6" s="57"/>
      <c r="AV6" s="43"/>
      <c r="AW6" s="58" t="s">
        <v>25</v>
      </c>
      <c r="AX6" s="59"/>
      <c r="AY6" s="59"/>
      <c r="AZ6" s="59"/>
      <c r="BA6" s="59"/>
      <c r="BB6" s="59" t="s">
        <v>2287</v>
      </c>
      <c r="BC6" s="59"/>
      <c r="BD6" s="59"/>
      <c r="BE6" s="59"/>
      <c r="BF6" s="59"/>
      <c r="BG6" s="59" t="s">
        <v>24</v>
      </c>
      <c r="BH6" s="59"/>
      <c r="BI6" s="59"/>
      <c r="BJ6" s="59"/>
      <c r="BK6" s="43"/>
      <c r="BL6" s="60" t="s">
        <v>26</v>
      </c>
      <c r="BM6" s="61"/>
      <c r="BN6" s="61"/>
      <c r="BO6" s="61"/>
      <c r="BP6" s="61"/>
      <c r="BQ6" s="61"/>
      <c r="BR6" s="61" t="s">
        <v>2287</v>
      </c>
      <c r="BS6" s="61"/>
      <c r="BT6" s="61"/>
      <c r="BU6" s="61"/>
      <c r="BV6" s="43"/>
      <c r="BW6" s="6" t="s">
        <v>27</v>
      </c>
      <c r="BX6" s="7"/>
      <c r="BY6" s="7"/>
      <c r="BZ6" s="7"/>
      <c r="CA6" s="7"/>
      <c r="CB6" s="7"/>
      <c r="CC6" s="7"/>
      <c r="CD6" s="7" t="s">
        <v>2287</v>
      </c>
      <c r="CE6" s="7"/>
      <c r="CF6" s="7"/>
      <c r="CG6" s="7"/>
    </row>
    <row r="7" spans="1:85" ht="14.5">
      <c r="B7" s="62" t="s">
        <v>29</v>
      </c>
      <c r="C7" s="63" t="s">
        <v>30</v>
      </c>
      <c r="D7" s="62" t="s">
        <v>31</v>
      </c>
      <c r="E7" s="63" t="s">
        <v>32</v>
      </c>
      <c r="F7" s="43"/>
      <c r="G7" s="63" t="s">
        <v>33</v>
      </c>
      <c r="H7" s="63" t="s">
        <v>34</v>
      </c>
      <c r="I7" s="63" t="s">
        <v>2290</v>
      </c>
      <c r="J7" s="63" t="s">
        <v>35</v>
      </c>
      <c r="K7" s="63" t="s">
        <v>36</v>
      </c>
      <c r="L7" s="43"/>
      <c r="M7" s="63" t="s">
        <v>5</v>
      </c>
      <c r="N7" s="63" t="s">
        <v>6</v>
      </c>
      <c r="O7" s="63" t="s">
        <v>37</v>
      </c>
      <c r="P7" s="63" t="s">
        <v>7</v>
      </c>
      <c r="Q7" s="43"/>
      <c r="R7" s="63" t="s">
        <v>5</v>
      </c>
      <c r="S7" s="63" t="s">
        <v>6</v>
      </c>
      <c r="T7" s="63" t="s">
        <v>37</v>
      </c>
      <c r="U7" s="63" t="s">
        <v>7</v>
      </c>
      <c r="V7" s="43"/>
      <c r="W7" s="64" t="s">
        <v>38</v>
      </c>
      <c r="X7" s="64" t="s">
        <v>39</v>
      </c>
      <c r="Y7" s="64" t="s">
        <v>40</v>
      </c>
      <c r="Z7" s="64" t="s">
        <v>41</v>
      </c>
      <c r="AA7" s="64" t="s">
        <v>42</v>
      </c>
      <c r="AB7" s="64" t="s">
        <v>43</v>
      </c>
      <c r="AC7" s="64" t="s">
        <v>2291</v>
      </c>
      <c r="AD7" s="43"/>
      <c r="AE7" s="65" t="s">
        <v>44</v>
      </c>
      <c r="AF7" s="65" t="s">
        <v>2292</v>
      </c>
      <c r="AG7" s="43"/>
      <c r="AH7" s="66" t="s">
        <v>45</v>
      </c>
      <c r="AI7" s="66" t="s">
        <v>2292</v>
      </c>
      <c r="AJ7" s="66" t="s">
        <v>28</v>
      </c>
      <c r="AK7" s="66" t="s">
        <v>46</v>
      </c>
      <c r="AL7" s="43"/>
      <c r="AM7" s="66" t="s">
        <v>5</v>
      </c>
      <c r="AN7" s="66" t="s">
        <v>6</v>
      </c>
      <c r="AO7" s="66" t="s">
        <v>37</v>
      </c>
      <c r="AP7" s="66" t="s">
        <v>7</v>
      </c>
      <c r="AQ7" s="43"/>
      <c r="AR7" s="66" t="s">
        <v>5</v>
      </c>
      <c r="AS7" s="66" t="s">
        <v>6</v>
      </c>
      <c r="AT7" s="66" t="s">
        <v>37</v>
      </c>
      <c r="AU7" s="66" t="s">
        <v>7</v>
      </c>
      <c r="AV7" s="43"/>
      <c r="AW7" s="67" t="s">
        <v>45</v>
      </c>
      <c r="AX7" s="67" t="s">
        <v>2292</v>
      </c>
      <c r="AY7" s="67" t="s">
        <v>28</v>
      </c>
      <c r="AZ7" s="67" t="s">
        <v>46</v>
      </c>
      <c r="BA7" s="43"/>
      <c r="BB7" s="67" t="s">
        <v>5</v>
      </c>
      <c r="BC7" s="67" t="s">
        <v>6</v>
      </c>
      <c r="BD7" s="67" t="s">
        <v>37</v>
      </c>
      <c r="BE7" s="67" t="s">
        <v>7</v>
      </c>
      <c r="BF7" s="43"/>
      <c r="BG7" s="67" t="s">
        <v>5</v>
      </c>
      <c r="BH7" s="67" t="s">
        <v>6</v>
      </c>
      <c r="BI7" s="67" t="s">
        <v>37</v>
      </c>
      <c r="BJ7" s="67" t="s">
        <v>7</v>
      </c>
      <c r="BK7" s="43"/>
      <c r="BL7" s="68" t="s">
        <v>45</v>
      </c>
      <c r="BM7" s="68" t="s">
        <v>2292</v>
      </c>
      <c r="BN7" s="68" t="s">
        <v>28</v>
      </c>
      <c r="BO7" s="68" t="s">
        <v>46</v>
      </c>
      <c r="BP7" s="68" t="s">
        <v>47</v>
      </c>
      <c r="BQ7" s="43"/>
      <c r="BR7" s="68" t="s">
        <v>5</v>
      </c>
      <c r="BS7" s="68" t="s">
        <v>6</v>
      </c>
      <c r="BT7" s="68" t="s">
        <v>37</v>
      </c>
      <c r="BU7" s="68" t="s">
        <v>7</v>
      </c>
      <c r="BV7" s="43"/>
      <c r="BW7" s="69" t="s">
        <v>45</v>
      </c>
      <c r="BX7" s="69" t="s">
        <v>2292</v>
      </c>
      <c r="BY7" s="69" t="s">
        <v>28</v>
      </c>
      <c r="BZ7" s="69" t="s">
        <v>46</v>
      </c>
      <c r="CA7" s="69" t="s">
        <v>47</v>
      </c>
      <c r="CB7" s="69" t="s">
        <v>48</v>
      </c>
      <c r="CC7" s="43"/>
      <c r="CD7" s="69" t="s">
        <v>5</v>
      </c>
      <c r="CE7" s="69" t="s">
        <v>6</v>
      </c>
      <c r="CF7" s="69" t="s">
        <v>37</v>
      </c>
      <c r="CG7" s="69" t="s">
        <v>7</v>
      </c>
    </row>
    <row r="8" spans="1:85" ht="37.5">
      <c r="A8" s="1"/>
      <c r="B8" s="70" t="s">
        <v>97</v>
      </c>
      <c r="C8" s="71" t="s">
        <v>98</v>
      </c>
      <c r="D8" s="71"/>
      <c r="E8" s="72"/>
      <c r="F8" s="65"/>
      <c r="G8" s="72"/>
      <c r="H8" s="72"/>
      <c r="I8" s="72"/>
      <c r="J8" s="72"/>
      <c r="K8" s="72"/>
      <c r="L8" s="65"/>
      <c r="M8" s="72" t="s">
        <v>11</v>
      </c>
      <c r="N8" s="72" t="s">
        <v>12</v>
      </c>
      <c r="O8" s="73" t="s">
        <v>2293</v>
      </c>
      <c r="P8" s="72" t="s">
        <v>13</v>
      </c>
      <c r="Q8" s="65"/>
      <c r="R8" s="72"/>
      <c r="S8" s="72"/>
      <c r="T8" s="72"/>
      <c r="U8" s="72"/>
      <c r="V8" s="65"/>
      <c r="W8" s="74"/>
      <c r="X8" s="72"/>
      <c r="Y8" s="72"/>
      <c r="Z8" s="72"/>
      <c r="AA8" s="72"/>
      <c r="AB8" s="72"/>
      <c r="AC8" s="72"/>
      <c r="AD8" s="65"/>
      <c r="AE8" s="75" t="s">
        <v>112</v>
      </c>
      <c r="AF8" s="75" t="s">
        <v>112</v>
      </c>
      <c r="AG8" s="65"/>
      <c r="AH8" s="75" t="s">
        <v>113</v>
      </c>
      <c r="AI8" s="76">
        <v>39933934000016</v>
      </c>
      <c r="AJ8" s="76"/>
      <c r="AK8" s="75" t="s">
        <v>2294</v>
      </c>
      <c r="AL8" s="65"/>
      <c r="AM8" s="72"/>
      <c r="AN8" s="72"/>
      <c r="AO8" s="72"/>
      <c r="AP8" s="72"/>
      <c r="AQ8" s="65"/>
      <c r="AR8" s="72"/>
      <c r="AS8" s="72"/>
      <c r="AT8" s="72"/>
      <c r="AU8" s="72"/>
      <c r="AV8" s="65"/>
      <c r="AW8" s="75" t="s">
        <v>113</v>
      </c>
      <c r="AX8" s="76">
        <v>39933934000016</v>
      </c>
      <c r="AY8" s="75" t="s">
        <v>114</v>
      </c>
      <c r="AZ8" s="77" t="s">
        <v>115</v>
      </c>
      <c r="BA8" s="65"/>
      <c r="BB8" s="72"/>
      <c r="BC8" s="72"/>
      <c r="BD8" s="72"/>
      <c r="BE8" s="72"/>
      <c r="BF8" s="65"/>
      <c r="BG8" s="72"/>
      <c r="BH8" s="72"/>
      <c r="BI8" s="72"/>
      <c r="BJ8" s="72"/>
      <c r="BK8" s="65"/>
      <c r="BL8" s="75" t="s">
        <v>113</v>
      </c>
      <c r="BM8" s="76">
        <v>39933934000016</v>
      </c>
      <c r="BN8" s="75" t="s">
        <v>114</v>
      </c>
      <c r="BO8" s="75"/>
      <c r="BP8" s="75" t="s">
        <v>125</v>
      </c>
      <c r="BQ8" s="65"/>
      <c r="BR8" s="72"/>
      <c r="BS8" s="72"/>
      <c r="BT8" s="72"/>
      <c r="BU8" s="72"/>
      <c r="BV8" s="65"/>
      <c r="BW8" s="78" t="s">
        <v>130</v>
      </c>
      <c r="BX8" s="76"/>
      <c r="BY8" s="75"/>
      <c r="BZ8" s="76"/>
      <c r="CA8" s="75" t="s">
        <v>131</v>
      </c>
      <c r="CB8" s="79" t="s">
        <v>132</v>
      </c>
      <c r="CC8" s="65"/>
      <c r="CD8" s="72"/>
      <c r="CE8" s="72"/>
      <c r="CF8" s="72"/>
      <c r="CG8" s="72"/>
    </row>
    <row r="9" spans="1:85" ht="50">
      <c r="B9" s="80" t="s">
        <v>137</v>
      </c>
      <c r="C9" s="81" t="s">
        <v>138</v>
      </c>
      <c r="D9" s="81"/>
      <c r="E9" s="10"/>
      <c r="F9" s="82"/>
      <c r="G9" s="83" t="s">
        <v>112</v>
      </c>
      <c r="H9" s="83" t="s">
        <v>112</v>
      </c>
      <c r="I9" s="83" t="s">
        <v>112</v>
      </c>
      <c r="J9" s="83" t="s">
        <v>112</v>
      </c>
      <c r="K9" s="83" t="s">
        <v>112</v>
      </c>
      <c r="L9" s="82"/>
      <c r="M9" s="10" t="s">
        <v>11</v>
      </c>
      <c r="N9" s="10" t="s">
        <v>12</v>
      </c>
      <c r="O9" s="84" t="s">
        <v>2295</v>
      </c>
      <c r="P9" s="10" t="s">
        <v>13</v>
      </c>
      <c r="Q9" s="82"/>
      <c r="R9" s="10"/>
      <c r="S9" s="10"/>
      <c r="T9" s="10"/>
      <c r="U9" s="10"/>
      <c r="V9" s="82"/>
      <c r="W9" s="85"/>
      <c r="X9" s="10"/>
      <c r="Y9" s="10"/>
      <c r="Z9" s="10"/>
      <c r="AA9" s="10"/>
      <c r="AB9" s="10"/>
      <c r="AC9" s="10"/>
      <c r="AD9" s="82"/>
      <c r="AE9" s="83" t="s">
        <v>112</v>
      </c>
      <c r="AF9" s="83" t="s">
        <v>112</v>
      </c>
      <c r="AG9" s="82"/>
      <c r="AH9" s="83" t="s">
        <v>140</v>
      </c>
      <c r="AI9" s="86">
        <v>50472678700030</v>
      </c>
      <c r="AJ9" s="86"/>
      <c r="AK9" s="87" t="s">
        <v>2296</v>
      </c>
      <c r="AL9" s="82"/>
      <c r="AM9" s="10"/>
      <c r="AN9" s="10"/>
      <c r="AO9" s="10"/>
      <c r="AP9" s="10"/>
      <c r="AQ9" s="82"/>
      <c r="AR9" s="10"/>
      <c r="AS9" s="10"/>
      <c r="AT9" s="10"/>
      <c r="AU9" s="10"/>
      <c r="AV9" s="82"/>
      <c r="AW9" s="83" t="s">
        <v>140</v>
      </c>
      <c r="AX9" s="86">
        <v>50472678700030</v>
      </c>
      <c r="AY9" s="83" t="s">
        <v>142</v>
      </c>
      <c r="AZ9" s="87" t="s">
        <v>2296</v>
      </c>
      <c r="BA9" s="82"/>
      <c r="BB9" s="10"/>
      <c r="BC9" s="10"/>
      <c r="BD9" s="10"/>
      <c r="BE9" s="10"/>
      <c r="BF9" s="82"/>
      <c r="BG9" s="10"/>
      <c r="BH9" s="10"/>
      <c r="BI9" s="10"/>
      <c r="BJ9" s="10"/>
      <c r="BK9" s="82"/>
      <c r="BL9" s="87" t="s">
        <v>143</v>
      </c>
      <c r="BM9" s="86">
        <v>35238105700038</v>
      </c>
      <c r="BN9" s="87" t="s">
        <v>145</v>
      </c>
      <c r="BO9" s="87"/>
      <c r="BP9" s="83" t="s">
        <v>146</v>
      </c>
      <c r="BQ9" s="82"/>
      <c r="BR9" s="10"/>
      <c r="BS9" s="10"/>
      <c r="BT9" s="10"/>
      <c r="BU9" s="10"/>
      <c r="BV9" s="82"/>
      <c r="BW9" s="87" t="s">
        <v>143</v>
      </c>
      <c r="BX9" s="86">
        <v>35238105700038</v>
      </c>
      <c r="BY9" s="87" t="s">
        <v>145</v>
      </c>
      <c r="BZ9" s="86"/>
      <c r="CA9" s="83" t="s">
        <v>146</v>
      </c>
      <c r="CB9" s="83" t="s">
        <v>132</v>
      </c>
      <c r="CC9" s="82"/>
      <c r="CD9" s="10"/>
      <c r="CE9" s="10"/>
      <c r="CF9" s="10"/>
      <c r="CG9" s="10"/>
    </row>
    <row r="10" spans="1:85" ht="26">
      <c r="A10" s="1"/>
      <c r="B10" s="88" t="s">
        <v>147</v>
      </c>
      <c r="C10" s="89" t="s">
        <v>148</v>
      </c>
      <c r="D10" s="90" t="s">
        <v>149</v>
      </c>
      <c r="E10" s="91"/>
      <c r="F10" s="65"/>
      <c r="G10" s="91"/>
      <c r="H10" s="91"/>
      <c r="I10" s="91"/>
      <c r="J10" s="91"/>
      <c r="K10" s="91"/>
      <c r="L10" s="65"/>
      <c r="M10" s="91" t="s">
        <v>11</v>
      </c>
      <c r="N10" s="91" t="s">
        <v>12</v>
      </c>
      <c r="O10" s="92" t="s">
        <v>2297</v>
      </c>
      <c r="P10" s="91" t="s">
        <v>13</v>
      </c>
      <c r="Q10" s="65"/>
      <c r="R10" s="91"/>
      <c r="S10" s="91"/>
      <c r="T10" s="91"/>
      <c r="U10" s="91"/>
      <c r="V10" s="65"/>
      <c r="W10" s="93"/>
      <c r="X10" s="91"/>
      <c r="Y10" s="91"/>
      <c r="Z10" s="91"/>
      <c r="AA10" s="91"/>
      <c r="AB10" s="91"/>
      <c r="AC10" s="91"/>
      <c r="AD10" s="65"/>
      <c r="AE10" s="94" t="s">
        <v>112</v>
      </c>
      <c r="AF10" s="94" t="s">
        <v>112</v>
      </c>
      <c r="AG10" s="65"/>
      <c r="AH10" s="95"/>
      <c r="AI10" s="95"/>
      <c r="AJ10" s="95"/>
      <c r="AK10" s="95"/>
      <c r="AL10" s="65"/>
      <c r="AM10" s="91"/>
      <c r="AN10" s="91"/>
      <c r="AO10" s="91"/>
      <c r="AP10" s="91"/>
      <c r="AQ10" s="65"/>
      <c r="AR10" s="91"/>
      <c r="AS10" s="91"/>
      <c r="AT10" s="91"/>
      <c r="AU10" s="91"/>
      <c r="AV10" s="65"/>
      <c r="AW10" s="95"/>
      <c r="AX10" s="96"/>
      <c r="AY10" s="95"/>
      <c r="AZ10" s="97"/>
      <c r="BA10" s="65"/>
      <c r="BB10" s="91"/>
      <c r="BC10" s="91"/>
      <c r="BD10" s="91"/>
      <c r="BE10" s="91"/>
      <c r="BF10" s="65"/>
      <c r="BG10" s="91"/>
      <c r="BH10" s="91"/>
      <c r="BI10" s="91"/>
      <c r="BJ10" s="91"/>
      <c r="BK10" s="65"/>
      <c r="BL10" s="95"/>
      <c r="BM10" s="96"/>
      <c r="BN10" s="95"/>
      <c r="BO10" s="95"/>
      <c r="BP10" s="95"/>
      <c r="BQ10" s="65"/>
      <c r="BR10" s="91"/>
      <c r="BS10" s="91"/>
      <c r="BT10" s="91"/>
      <c r="BU10" s="91"/>
      <c r="BV10" s="65"/>
      <c r="BW10" s="95"/>
      <c r="BX10" s="96"/>
      <c r="BY10" s="95"/>
      <c r="BZ10" s="96"/>
      <c r="CA10" s="95"/>
      <c r="CB10" s="95"/>
      <c r="CC10" s="65"/>
      <c r="CD10" s="91"/>
      <c r="CE10" s="91"/>
      <c r="CF10" s="91"/>
      <c r="CG10" s="91"/>
    </row>
    <row r="11" spans="1:85" ht="50">
      <c r="B11" s="98" t="s">
        <v>2298</v>
      </c>
      <c r="C11" s="81" t="s">
        <v>1692</v>
      </c>
      <c r="D11" s="99" t="s">
        <v>153</v>
      </c>
      <c r="E11" s="10"/>
      <c r="F11" s="82"/>
      <c r="G11" s="83" t="s">
        <v>112</v>
      </c>
      <c r="H11" s="83" t="s">
        <v>112</v>
      </c>
      <c r="I11" s="83" t="s">
        <v>112</v>
      </c>
      <c r="J11" s="83" t="s">
        <v>112</v>
      </c>
      <c r="K11" s="83" t="s">
        <v>112</v>
      </c>
      <c r="L11" s="82"/>
      <c r="M11" s="10" t="s">
        <v>11</v>
      </c>
      <c r="N11" s="10" t="s">
        <v>12</v>
      </c>
      <c r="O11" s="84" t="s">
        <v>2299</v>
      </c>
      <c r="P11" s="10" t="s">
        <v>13</v>
      </c>
      <c r="Q11" s="82"/>
      <c r="R11" s="10"/>
      <c r="S11" s="10"/>
      <c r="T11" s="10"/>
      <c r="U11" s="10"/>
      <c r="V11" s="82"/>
      <c r="W11" s="85"/>
      <c r="X11" s="10"/>
      <c r="Y11" s="10"/>
      <c r="Z11" s="10"/>
      <c r="AA11" s="10"/>
      <c r="AB11" s="10"/>
      <c r="AC11" s="10"/>
      <c r="AD11" s="82"/>
      <c r="AE11" s="83" t="s">
        <v>112</v>
      </c>
      <c r="AF11" s="83" t="s">
        <v>112</v>
      </c>
      <c r="AG11" s="82"/>
      <c r="AH11" s="83" t="s">
        <v>155</v>
      </c>
      <c r="AI11" s="86">
        <v>32519337300017</v>
      </c>
      <c r="AJ11" s="86"/>
      <c r="AK11" s="87" t="s">
        <v>2300</v>
      </c>
      <c r="AL11" s="82"/>
      <c r="AM11" s="10"/>
      <c r="AN11" s="10"/>
      <c r="AO11" s="10"/>
      <c r="AP11" s="10"/>
      <c r="AQ11" s="82"/>
      <c r="AR11" s="10"/>
      <c r="AS11" s="10"/>
      <c r="AT11" s="10"/>
      <c r="AU11" s="10"/>
      <c r="AV11" s="82"/>
      <c r="AW11" s="83" t="s">
        <v>155</v>
      </c>
      <c r="AX11" s="86">
        <v>32519337300017</v>
      </c>
      <c r="AY11" s="83" t="s">
        <v>157</v>
      </c>
      <c r="AZ11" s="87" t="s">
        <v>2300</v>
      </c>
      <c r="BA11" s="82"/>
      <c r="BB11" s="10"/>
      <c r="BC11" s="10"/>
      <c r="BD11" s="10"/>
      <c r="BE11" s="10"/>
      <c r="BF11" s="82"/>
      <c r="BG11" s="10"/>
      <c r="BH11" s="10"/>
      <c r="BI11" s="10"/>
      <c r="BJ11" s="10"/>
      <c r="BK11" s="82"/>
      <c r="BL11" s="83" t="s">
        <v>155</v>
      </c>
      <c r="BM11" s="86">
        <v>32519337300017</v>
      </c>
      <c r="BN11" s="83" t="s">
        <v>157</v>
      </c>
      <c r="BO11" s="83"/>
      <c r="BP11" s="83" t="s">
        <v>146</v>
      </c>
      <c r="BQ11" s="82"/>
      <c r="BR11" s="10"/>
      <c r="BS11" s="10"/>
      <c r="BT11" s="10"/>
      <c r="BU11" s="10"/>
      <c r="BV11" s="82"/>
      <c r="BW11" s="83" t="s">
        <v>155</v>
      </c>
      <c r="BX11" s="86">
        <v>32519337300017</v>
      </c>
      <c r="BY11" s="83" t="s">
        <v>157</v>
      </c>
      <c r="BZ11" s="86"/>
      <c r="CA11" s="83" t="s">
        <v>146</v>
      </c>
      <c r="CB11" s="83" t="s">
        <v>132</v>
      </c>
      <c r="CC11" s="82"/>
      <c r="CD11" s="10"/>
      <c r="CE11" s="10"/>
      <c r="CF11" s="10"/>
      <c r="CG11" s="10"/>
    </row>
    <row r="12" spans="1:85" ht="37.5">
      <c r="A12" s="1"/>
      <c r="B12" s="100" t="s">
        <v>158</v>
      </c>
      <c r="C12" s="101" t="s">
        <v>159</v>
      </c>
      <c r="D12" s="102" t="s">
        <v>160</v>
      </c>
      <c r="E12" s="91"/>
      <c r="F12" s="65"/>
      <c r="G12" s="91"/>
      <c r="H12" s="91"/>
      <c r="I12" s="91"/>
      <c r="J12" s="91"/>
      <c r="K12" s="91"/>
      <c r="L12" s="65"/>
      <c r="M12" s="91" t="s">
        <v>11</v>
      </c>
      <c r="N12" s="91" t="s">
        <v>12</v>
      </c>
      <c r="O12" s="92" t="s">
        <v>2301</v>
      </c>
      <c r="P12" s="91" t="s">
        <v>13</v>
      </c>
      <c r="Q12" s="65"/>
      <c r="R12" s="91"/>
      <c r="S12" s="91"/>
      <c r="T12" s="91"/>
      <c r="U12" s="91"/>
      <c r="V12" s="65"/>
      <c r="W12" s="93"/>
      <c r="X12" s="91"/>
      <c r="Y12" s="91"/>
      <c r="Z12" s="91"/>
      <c r="AA12" s="91"/>
      <c r="AB12" s="91"/>
      <c r="AC12" s="91"/>
      <c r="AD12" s="65"/>
      <c r="AE12" s="94" t="s">
        <v>112</v>
      </c>
      <c r="AF12" s="94" t="s">
        <v>112</v>
      </c>
      <c r="AG12" s="65"/>
      <c r="AH12" s="94" t="s">
        <v>112</v>
      </c>
      <c r="AI12" s="94" t="s">
        <v>112</v>
      </c>
      <c r="AJ12" s="94"/>
      <c r="AK12" s="94" t="s">
        <v>112</v>
      </c>
      <c r="AL12" s="65"/>
      <c r="AM12" s="91"/>
      <c r="AN12" s="91"/>
      <c r="AO12" s="91"/>
      <c r="AP12" s="91"/>
      <c r="AQ12" s="65"/>
      <c r="AR12" s="91"/>
      <c r="AS12" s="91"/>
      <c r="AT12" s="91"/>
      <c r="AU12" s="91"/>
      <c r="AV12" s="65"/>
      <c r="AW12" s="94" t="s">
        <v>163</v>
      </c>
      <c r="AX12" s="103">
        <v>30223694800030</v>
      </c>
      <c r="AY12" s="94" t="s">
        <v>164</v>
      </c>
      <c r="AZ12" s="104">
        <v>7540873</v>
      </c>
      <c r="BA12" s="65"/>
      <c r="BB12" s="91"/>
      <c r="BC12" s="91"/>
      <c r="BD12" s="91"/>
      <c r="BE12" s="91"/>
      <c r="BF12" s="65"/>
      <c r="BG12" s="91"/>
      <c r="BH12" s="91"/>
      <c r="BI12" s="91"/>
      <c r="BJ12" s="91"/>
      <c r="BK12" s="65"/>
      <c r="BL12" s="94" t="s">
        <v>163</v>
      </c>
      <c r="BM12" s="103">
        <v>30223694800030</v>
      </c>
      <c r="BN12" s="94" t="s">
        <v>164</v>
      </c>
      <c r="BO12" s="94"/>
      <c r="BP12" s="94" t="s">
        <v>165</v>
      </c>
      <c r="BQ12" s="65"/>
      <c r="BR12" s="91"/>
      <c r="BS12" s="91"/>
      <c r="BT12" s="91"/>
      <c r="BU12" s="91"/>
      <c r="BV12" s="65"/>
      <c r="BW12" s="94" t="s">
        <v>163</v>
      </c>
      <c r="BX12" s="103">
        <v>30223694800030</v>
      </c>
      <c r="BY12" s="94" t="s">
        <v>164</v>
      </c>
      <c r="BZ12" s="103"/>
      <c r="CA12" s="94" t="s">
        <v>166</v>
      </c>
      <c r="CB12" s="105" t="s">
        <v>167</v>
      </c>
      <c r="CC12" s="65"/>
      <c r="CD12" s="91"/>
      <c r="CE12" s="91"/>
      <c r="CF12" s="91"/>
      <c r="CG12" s="91"/>
    </row>
    <row r="13" spans="1:85" ht="37.5">
      <c r="B13" s="98" t="s">
        <v>168</v>
      </c>
      <c r="C13" s="81" t="s">
        <v>169</v>
      </c>
      <c r="D13" s="106" t="s">
        <v>170</v>
      </c>
      <c r="E13" s="10"/>
      <c r="F13" s="82"/>
      <c r="G13" s="10"/>
      <c r="H13" s="10"/>
      <c r="I13" s="10"/>
      <c r="J13" s="10"/>
      <c r="K13" s="10"/>
      <c r="L13" s="82"/>
      <c r="M13" s="10" t="s">
        <v>11</v>
      </c>
      <c r="N13" s="10" t="s">
        <v>12</v>
      </c>
      <c r="O13" s="84" t="s">
        <v>2302</v>
      </c>
      <c r="P13" s="10" t="s">
        <v>13</v>
      </c>
      <c r="Q13" s="82"/>
      <c r="R13" s="10"/>
      <c r="S13" s="10"/>
      <c r="T13" s="10"/>
      <c r="U13" s="10"/>
      <c r="V13" s="82"/>
      <c r="W13" s="85"/>
      <c r="X13" s="10"/>
      <c r="Y13" s="10"/>
      <c r="Z13" s="10"/>
      <c r="AA13" s="10"/>
      <c r="AB13" s="10"/>
      <c r="AC13" s="10"/>
      <c r="AD13" s="82"/>
      <c r="AE13" s="83" t="s">
        <v>112</v>
      </c>
      <c r="AF13" s="83" t="s">
        <v>112</v>
      </c>
      <c r="AG13" s="82"/>
      <c r="AH13" s="83" t="s">
        <v>113</v>
      </c>
      <c r="AI13" s="107">
        <v>39933934000016</v>
      </c>
      <c r="AJ13" s="107"/>
      <c r="AK13" s="83" t="s">
        <v>2294</v>
      </c>
      <c r="AL13" s="82"/>
      <c r="AM13" s="10"/>
      <c r="AN13" s="10"/>
      <c r="AO13" s="10"/>
      <c r="AP13" s="10"/>
      <c r="AQ13" s="82"/>
      <c r="AR13" s="10"/>
      <c r="AS13" s="10"/>
      <c r="AT13" s="10"/>
      <c r="AU13" s="10"/>
      <c r="AV13" s="82"/>
      <c r="AW13" s="83" t="s">
        <v>113</v>
      </c>
      <c r="AX13" s="107">
        <v>39933934000016</v>
      </c>
      <c r="AY13" s="83" t="s">
        <v>114</v>
      </c>
      <c r="AZ13" s="87" t="s">
        <v>115</v>
      </c>
      <c r="BA13" s="82"/>
      <c r="BB13" s="10"/>
      <c r="BC13" s="10"/>
      <c r="BD13" s="10"/>
      <c r="BE13" s="10"/>
      <c r="BF13" s="82"/>
      <c r="BG13" s="10"/>
      <c r="BH13" s="10"/>
      <c r="BI13" s="10"/>
      <c r="BJ13" s="10"/>
      <c r="BK13" s="82"/>
      <c r="BL13" s="83" t="s">
        <v>113</v>
      </c>
      <c r="BM13" s="107">
        <v>39933934000016</v>
      </c>
      <c r="BN13" s="83" t="s">
        <v>114</v>
      </c>
      <c r="BO13" s="83"/>
      <c r="BP13" s="83" t="s">
        <v>125</v>
      </c>
      <c r="BQ13" s="82"/>
      <c r="BR13" s="10"/>
      <c r="BS13" s="10"/>
      <c r="BT13" s="10"/>
      <c r="BU13" s="10"/>
      <c r="BV13" s="82"/>
      <c r="BW13" s="108" t="s">
        <v>130</v>
      </c>
      <c r="BX13" s="107"/>
      <c r="BY13" s="109"/>
      <c r="BZ13" s="107"/>
      <c r="CA13" s="83" t="s">
        <v>125</v>
      </c>
      <c r="CB13" s="109" t="s">
        <v>132</v>
      </c>
      <c r="CC13" s="82"/>
      <c r="CD13" s="10"/>
      <c r="CE13" s="10"/>
      <c r="CF13" s="10"/>
      <c r="CG13" s="10"/>
    </row>
    <row r="14" spans="1:85" ht="75">
      <c r="A14" s="1"/>
      <c r="B14" s="110" t="s">
        <v>173</v>
      </c>
      <c r="C14" s="111" t="s">
        <v>1928</v>
      </c>
      <c r="D14" s="111"/>
      <c r="E14" s="91"/>
      <c r="F14" s="65"/>
      <c r="G14" s="94" t="s">
        <v>112</v>
      </c>
      <c r="H14" s="94" t="s">
        <v>112</v>
      </c>
      <c r="I14" s="94" t="s">
        <v>112</v>
      </c>
      <c r="J14" s="94" t="s">
        <v>112</v>
      </c>
      <c r="K14" s="94" t="s">
        <v>112</v>
      </c>
      <c r="L14" s="65"/>
      <c r="M14" s="91" t="s">
        <v>11</v>
      </c>
      <c r="N14" s="91" t="s">
        <v>12</v>
      </c>
      <c r="O14" s="92" t="s">
        <v>2303</v>
      </c>
      <c r="P14" s="91" t="s">
        <v>13</v>
      </c>
      <c r="Q14" s="65"/>
      <c r="R14" s="91"/>
      <c r="S14" s="91"/>
      <c r="T14" s="91"/>
      <c r="U14" s="91"/>
      <c r="V14" s="65"/>
      <c r="W14" s="93"/>
      <c r="X14" s="91"/>
      <c r="Y14" s="91"/>
      <c r="Z14" s="91"/>
      <c r="AA14" s="91"/>
      <c r="AB14" s="91"/>
      <c r="AC14" s="91"/>
      <c r="AD14" s="65"/>
      <c r="AE14" s="94" t="s">
        <v>112</v>
      </c>
      <c r="AF14" s="94" t="s">
        <v>112</v>
      </c>
      <c r="AG14" s="65"/>
      <c r="AH14" s="94" t="s">
        <v>112</v>
      </c>
      <c r="AI14" s="94" t="s">
        <v>112</v>
      </c>
      <c r="AJ14" s="94"/>
      <c r="AK14" s="94" t="s">
        <v>112</v>
      </c>
      <c r="AL14" s="65"/>
      <c r="AM14" s="91"/>
      <c r="AN14" s="91"/>
      <c r="AO14" s="91"/>
      <c r="AP14" s="91"/>
      <c r="AQ14" s="65"/>
      <c r="AR14" s="91"/>
      <c r="AS14" s="91"/>
      <c r="AT14" s="91"/>
      <c r="AU14" s="91"/>
      <c r="AV14" s="65"/>
      <c r="AW14" s="94" t="s">
        <v>176</v>
      </c>
      <c r="AX14" s="112">
        <v>38535103600053</v>
      </c>
      <c r="AY14" s="94" t="s">
        <v>178</v>
      </c>
      <c r="AZ14" s="104" t="s">
        <v>179</v>
      </c>
      <c r="BA14" s="65"/>
      <c r="BB14" s="91"/>
      <c r="BC14" s="91"/>
      <c r="BD14" s="91"/>
      <c r="BE14" s="91"/>
      <c r="BF14" s="65"/>
      <c r="BG14" s="91"/>
      <c r="BH14" s="91"/>
      <c r="BI14" s="91"/>
      <c r="BJ14" s="91"/>
      <c r="BK14" s="65"/>
      <c r="BL14" s="94" t="s">
        <v>176</v>
      </c>
      <c r="BM14" s="112">
        <v>38535103600053</v>
      </c>
      <c r="BN14" s="94" t="s">
        <v>178</v>
      </c>
      <c r="BO14" s="94"/>
      <c r="BP14" s="94" t="s">
        <v>180</v>
      </c>
      <c r="BQ14" s="65"/>
      <c r="BR14" s="91"/>
      <c r="BS14" s="91"/>
      <c r="BT14" s="91"/>
      <c r="BU14" s="91"/>
      <c r="BV14" s="65"/>
      <c r="BW14" s="94" t="s">
        <v>176</v>
      </c>
      <c r="BX14" s="112">
        <v>38535103600053</v>
      </c>
      <c r="BY14" s="94" t="s">
        <v>178</v>
      </c>
      <c r="BZ14" s="112"/>
      <c r="CA14" s="94" t="s">
        <v>180</v>
      </c>
      <c r="CB14" s="94" t="s">
        <v>181</v>
      </c>
      <c r="CC14" s="65"/>
      <c r="CD14" s="91"/>
      <c r="CE14" s="91"/>
      <c r="CF14" s="91"/>
      <c r="CG14" s="91"/>
    </row>
    <row r="15" spans="1:85" ht="62.5">
      <c r="B15" s="148" t="s">
        <v>182</v>
      </c>
      <c r="C15" s="81" t="s">
        <v>183</v>
      </c>
      <c r="D15" s="106" t="s">
        <v>184</v>
      </c>
      <c r="E15" s="10"/>
      <c r="F15" s="82"/>
      <c r="G15" s="10"/>
      <c r="H15" s="10"/>
      <c r="I15" s="10"/>
      <c r="J15" s="10"/>
      <c r="K15" s="10"/>
      <c r="L15" s="82"/>
      <c r="M15" s="10" t="s">
        <v>11</v>
      </c>
      <c r="N15" s="10" t="s">
        <v>12</v>
      </c>
      <c r="O15" s="84" t="s">
        <v>2304</v>
      </c>
      <c r="P15" s="10" t="s">
        <v>13</v>
      </c>
      <c r="Q15" s="82"/>
      <c r="R15" s="10"/>
      <c r="S15" s="10"/>
      <c r="T15" s="10"/>
      <c r="U15" s="10"/>
      <c r="V15" s="82"/>
      <c r="W15" s="10"/>
      <c r="X15" s="10"/>
      <c r="Y15" s="10"/>
      <c r="Z15" s="10"/>
      <c r="AA15" s="10"/>
      <c r="AB15" s="10"/>
      <c r="AC15" s="10"/>
      <c r="AD15" s="82"/>
      <c r="AE15" s="83" t="s">
        <v>112</v>
      </c>
      <c r="AF15" s="83" t="s">
        <v>112</v>
      </c>
      <c r="AG15" s="82"/>
      <c r="AH15" s="83" t="s">
        <v>112</v>
      </c>
      <c r="AI15" s="83" t="s">
        <v>112</v>
      </c>
      <c r="AJ15" s="83"/>
      <c r="AK15" s="83" t="s">
        <v>112</v>
      </c>
      <c r="AL15" s="82"/>
      <c r="AM15" s="10"/>
      <c r="AN15" s="10"/>
      <c r="AO15" s="10"/>
      <c r="AP15" s="10"/>
      <c r="AQ15" s="82"/>
      <c r="AR15" s="10"/>
      <c r="AS15" s="10"/>
      <c r="AT15" s="10"/>
      <c r="AU15" s="10"/>
      <c r="AV15" s="82"/>
      <c r="AW15" s="83" t="s">
        <v>187</v>
      </c>
      <c r="AX15" s="107">
        <v>39002820700020</v>
      </c>
      <c r="AY15" s="83" t="s">
        <v>188</v>
      </c>
      <c r="AZ15" s="87" t="s">
        <v>2305</v>
      </c>
      <c r="BA15" s="82"/>
      <c r="BB15" s="10"/>
      <c r="BC15" s="10"/>
      <c r="BD15" s="10"/>
      <c r="BE15" s="10"/>
      <c r="BF15" s="82"/>
      <c r="BG15" s="10"/>
      <c r="BH15" s="10"/>
      <c r="BI15" s="10"/>
      <c r="BJ15" s="10"/>
      <c r="BK15" s="82"/>
      <c r="BL15" s="83" t="s">
        <v>189</v>
      </c>
      <c r="BM15" s="107">
        <v>45025886800022</v>
      </c>
      <c r="BN15" s="83" t="s">
        <v>190</v>
      </c>
      <c r="BO15" s="83"/>
      <c r="BP15" s="83" t="s">
        <v>191</v>
      </c>
      <c r="BQ15" s="82"/>
      <c r="BR15" s="10"/>
      <c r="BS15" s="10"/>
      <c r="BT15" s="10"/>
      <c r="BU15" s="10"/>
      <c r="BV15" s="82"/>
      <c r="BW15" s="83" t="s">
        <v>189</v>
      </c>
      <c r="BX15" s="107">
        <v>45025886800022</v>
      </c>
      <c r="BY15" s="83" t="s">
        <v>190</v>
      </c>
      <c r="BZ15" s="107"/>
      <c r="CA15" s="83" t="s">
        <v>191</v>
      </c>
      <c r="CB15" s="109" t="s">
        <v>132</v>
      </c>
      <c r="CC15" s="82"/>
      <c r="CD15" s="10"/>
      <c r="CE15" s="10"/>
      <c r="CF15" s="10"/>
      <c r="CG15" s="10"/>
    </row>
    <row r="16" spans="1:85" ht="62.5">
      <c r="B16" s="149"/>
      <c r="C16" s="81" t="s">
        <v>183</v>
      </c>
      <c r="D16" s="106" t="s">
        <v>192</v>
      </c>
      <c r="E16" s="10"/>
      <c r="F16" s="82"/>
      <c r="G16" s="10"/>
      <c r="H16" s="10"/>
      <c r="I16" s="10"/>
      <c r="J16" s="10"/>
      <c r="K16" s="10"/>
      <c r="L16" s="82"/>
      <c r="M16" s="10" t="s">
        <v>11</v>
      </c>
      <c r="N16" s="10" t="s">
        <v>12</v>
      </c>
      <c r="O16" s="84" t="s">
        <v>2306</v>
      </c>
      <c r="P16" s="10" t="s">
        <v>13</v>
      </c>
      <c r="Q16" s="82"/>
      <c r="R16" s="10"/>
      <c r="S16" s="10"/>
      <c r="T16" s="10"/>
      <c r="U16" s="10"/>
      <c r="V16" s="82"/>
      <c r="W16" s="10"/>
      <c r="X16" s="10"/>
      <c r="Y16" s="10"/>
      <c r="Z16" s="10"/>
      <c r="AA16" s="10"/>
      <c r="AB16" s="10"/>
      <c r="AC16" s="10"/>
      <c r="AD16" s="82"/>
      <c r="AE16" s="83" t="s">
        <v>112</v>
      </c>
      <c r="AF16" s="83" t="s">
        <v>112</v>
      </c>
      <c r="AG16" s="82"/>
      <c r="AH16" s="83" t="s">
        <v>112</v>
      </c>
      <c r="AI16" s="83" t="s">
        <v>112</v>
      </c>
      <c r="AJ16" s="83"/>
      <c r="AK16" s="83" t="s">
        <v>112</v>
      </c>
      <c r="AL16" s="82"/>
      <c r="AM16" s="10"/>
      <c r="AN16" s="10"/>
      <c r="AO16" s="10"/>
      <c r="AP16" s="10"/>
      <c r="AQ16" s="82"/>
      <c r="AR16" s="10"/>
      <c r="AS16" s="10"/>
      <c r="AT16" s="10"/>
      <c r="AU16" s="10"/>
      <c r="AV16" s="82"/>
      <c r="AW16" s="83" t="s">
        <v>187</v>
      </c>
      <c r="AX16" s="107">
        <v>39002820700020</v>
      </c>
      <c r="AY16" s="83" t="s">
        <v>188</v>
      </c>
      <c r="AZ16" s="87" t="s">
        <v>2305</v>
      </c>
      <c r="BA16" s="82"/>
      <c r="BB16" s="10"/>
      <c r="BC16" s="10"/>
      <c r="BD16" s="10"/>
      <c r="BE16" s="10"/>
      <c r="BF16" s="82"/>
      <c r="BG16" s="10"/>
      <c r="BH16" s="10"/>
      <c r="BI16" s="10"/>
      <c r="BJ16" s="10"/>
      <c r="BK16" s="82"/>
      <c r="BL16" s="83" t="s">
        <v>189</v>
      </c>
      <c r="BM16" s="107">
        <v>45025886800022</v>
      </c>
      <c r="BN16" s="83" t="s">
        <v>190</v>
      </c>
      <c r="BO16" s="83"/>
      <c r="BP16" s="83" t="s">
        <v>191</v>
      </c>
      <c r="BQ16" s="65"/>
      <c r="BR16" s="91"/>
      <c r="BS16" s="91"/>
      <c r="BT16" s="91"/>
      <c r="BU16" s="91"/>
      <c r="BV16" s="65"/>
      <c r="BW16" s="83" t="s">
        <v>189</v>
      </c>
      <c r="BX16" s="107">
        <v>45025886800022</v>
      </c>
      <c r="BY16" s="83" t="s">
        <v>190</v>
      </c>
      <c r="BZ16" s="107"/>
      <c r="CA16" s="83" t="s">
        <v>191</v>
      </c>
      <c r="CB16" s="109" t="s">
        <v>132</v>
      </c>
      <c r="CC16" s="82"/>
      <c r="CD16" s="10"/>
      <c r="CE16" s="10"/>
      <c r="CF16" s="10"/>
      <c r="CG16" s="10"/>
    </row>
    <row r="17" spans="1:85" ht="37.5">
      <c r="A17" s="1"/>
      <c r="B17" s="100" t="s">
        <v>194</v>
      </c>
      <c r="C17" s="111" t="s">
        <v>195</v>
      </c>
      <c r="D17" s="111"/>
      <c r="E17" s="91"/>
      <c r="F17" s="65"/>
      <c r="G17" s="91"/>
      <c r="H17" s="91"/>
      <c r="I17" s="91"/>
      <c r="J17" s="91"/>
      <c r="K17" s="91"/>
      <c r="L17" s="65"/>
      <c r="M17" s="91" t="s">
        <v>11</v>
      </c>
      <c r="N17" s="91" t="s">
        <v>12</v>
      </c>
      <c r="O17" s="92" t="s">
        <v>2307</v>
      </c>
      <c r="P17" s="91" t="s">
        <v>13</v>
      </c>
      <c r="Q17" s="113" t="s">
        <v>2286</v>
      </c>
      <c r="R17" s="91"/>
      <c r="S17" s="91"/>
      <c r="T17" s="91"/>
      <c r="U17" s="91"/>
      <c r="V17" s="65"/>
      <c r="W17" s="91"/>
      <c r="X17" s="91"/>
      <c r="Y17" s="91"/>
      <c r="Z17" s="91"/>
      <c r="AA17" s="91"/>
      <c r="AB17" s="91"/>
      <c r="AC17" s="91"/>
      <c r="AD17" s="65"/>
      <c r="AE17" s="94" t="s">
        <v>112</v>
      </c>
      <c r="AF17" s="94" t="s">
        <v>112</v>
      </c>
      <c r="AG17" s="65"/>
      <c r="AH17" s="94" t="s">
        <v>113</v>
      </c>
      <c r="AI17" s="103">
        <v>39933934000016</v>
      </c>
      <c r="AJ17" s="103"/>
      <c r="AK17" s="94" t="s">
        <v>2294</v>
      </c>
      <c r="AL17" s="65"/>
      <c r="AM17" s="91"/>
      <c r="AN17" s="91"/>
      <c r="AO17" s="91"/>
      <c r="AP17" s="91"/>
      <c r="AQ17" s="65"/>
      <c r="AR17" s="91"/>
      <c r="AS17" s="91"/>
      <c r="AT17" s="91"/>
      <c r="AU17" s="91"/>
      <c r="AV17" s="65"/>
      <c r="AW17" s="94" t="s">
        <v>113</v>
      </c>
      <c r="AX17" s="103">
        <v>39933934000016</v>
      </c>
      <c r="AY17" s="94" t="s">
        <v>114</v>
      </c>
      <c r="AZ17" s="104" t="s">
        <v>115</v>
      </c>
      <c r="BA17" s="65"/>
      <c r="BB17" s="91"/>
      <c r="BC17" s="91"/>
      <c r="BD17" s="91"/>
      <c r="BE17" s="91"/>
      <c r="BF17" s="65"/>
      <c r="BG17" s="91"/>
      <c r="BH17" s="91"/>
      <c r="BI17" s="91"/>
      <c r="BJ17" s="91"/>
      <c r="BK17" s="65"/>
      <c r="BL17" s="94" t="s">
        <v>113</v>
      </c>
      <c r="BM17" s="103">
        <v>39933934000016</v>
      </c>
      <c r="BN17" s="94" t="s">
        <v>114</v>
      </c>
      <c r="BO17" s="94"/>
      <c r="BP17" s="94" t="s">
        <v>125</v>
      </c>
      <c r="BQ17" s="65"/>
      <c r="BR17" s="91"/>
      <c r="BS17" s="91"/>
      <c r="BT17" s="91"/>
      <c r="BU17" s="91"/>
      <c r="BV17" s="65"/>
      <c r="BW17" s="102" t="s">
        <v>130</v>
      </c>
      <c r="BX17" s="103"/>
      <c r="BY17" s="94"/>
      <c r="BZ17" s="103"/>
      <c r="CA17" s="94" t="s">
        <v>131</v>
      </c>
      <c r="CB17" s="105" t="s">
        <v>132</v>
      </c>
      <c r="CC17" s="65"/>
      <c r="CD17" s="91"/>
      <c r="CE17" s="91"/>
      <c r="CF17" s="91"/>
      <c r="CG17" s="91"/>
    </row>
    <row r="18" spans="1:85" ht="62.5">
      <c r="B18" s="150" t="s">
        <v>197</v>
      </c>
      <c r="C18" s="98" t="s">
        <v>198</v>
      </c>
      <c r="D18" s="98"/>
      <c r="E18" s="10"/>
      <c r="F18" s="82"/>
      <c r="G18" s="83" t="s">
        <v>112</v>
      </c>
      <c r="H18" s="83" t="s">
        <v>112</v>
      </c>
      <c r="I18" s="83" t="s">
        <v>112</v>
      </c>
      <c r="J18" s="83" t="s">
        <v>112</v>
      </c>
      <c r="K18" s="83" t="s">
        <v>112</v>
      </c>
      <c r="L18" s="82"/>
      <c r="M18" s="10" t="s">
        <v>11</v>
      </c>
      <c r="N18" s="10" t="s">
        <v>12</v>
      </c>
      <c r="O18" s="84" t="s">
        <v>2308</v>
      </c>
      <c r="P18" s="10" t="s">
        <v>13</v>
      </c>
      <c r="Q18" s="114" t="s">
        <v>2286</v>
      </c>
      <c r="R18" s="10"/>
      <c r="S18" s="10"/>
      <c r="T18" s="10"/>
      <c r="U18" s="10"/>
      <c r="V18" s="82"/>
      <c r="W18" s="10"/>
      <c r="X18" s="10"/>
      <c r="Y18" s="10"/>
      <c r="Z18" s="10"/>
      <c r="AA18" s="10"/>
      <c r="AB18" s="10"/>
      <c r="AC18" s="10"/>
      <c r="AD18" s="82"/>
      <c r="AE18" s="83" t="s">
        <v>112</v>
      </c>
      <c r="AF18" s="83" t="s">
        <v>112</v>
      </c>
      <c r="AG18" s="82"/>
      <c r="AH18" s="83" t="s">
        <v>140</v>
      </c>
      <c r="AI18" s="86">
        <v>50472678700030</v>
      </c>
      <c r="AJ18" s="86"/>
      <c r="AK18" s="87" t="s">
        <v>2296</v>
      </c>
      <c r="AL18" s="82"/>
      <c r="AM18" s="10"/>
      <c r="AN18" s="10"/>
      <c r="AO18" s="10"/>
      <c r="AP18" s="10"/>
      <c r="AQ18" s="82"/>
      <c r="AR18" s="10"/>
      <c r="AS18" s="10"/>
      <c r="AT18" s="10"/>
      <c r="AU18" s="10"/>
      <c r="AV18" s="82"/>
      <c r="AW18" s="83" t="s">
        <v>140</v>
      </c>
      <c r="AX18" s="86">
        <v>50472678700030</v>
      </c>
      <c r="AY18" s="83" t="s">
        <v>142</v>
      </c>
      <c r="AZ18" s="87" t="s">
        <v>2296</v>
      </c>
      <c r="BA18" s="82"/>
      <c r="BB18" s="10"/>
      <c r="BC18" s="10"/>
      <c r="BD18" s="10"/>
      <c r="BE18" s="10"/>
      <c r="BF18" s="82"/>
      <c r="BG18" s="10"/>
      <c r="BH18" s="10"/>
      <c r="BI18" s="10"/>
      <c r="BJ18" s="10"/>
      <c r="BK18" s="82"/>
      <c r="BL18" s="87" t="s">
        <v>163</v>
      </c>
      <c r="BM18" s="86">
        <v>30223694800048</v>
      </c>
      <c r="BN18" s="87" t="s">
        <v>205</v>
      </c>
      <c r="BO18" s="87"/>
      <c r="BP18" s="83" t="s">
        <v>206</v>
      </c>
      <c r="BQ18" s="65"/>
      <c r="BR18" s="91"/>
      <c r="BS18" s="91"/>
      <c r="BT18" s="91"/>
      <c r="BU18" s="91"/>
      <c r="BV18" s="65"/>
      <c r="BW18" s="87" t="s">
        <v>163</v>
      </c>
      <c r="BX18" s="86">
        <v>30223694800048</v>
      </c>
      <c r="BY18" s="87" t="s">
        <v>205</v>
      </c>
      <c r="BZ18" s="86"/>
      <c r="CA18" s="83" t="s">
        <v>206</v>
      </c>
      <c r="CB18" s="83" t="s">
        <v>207</v>
      </c>
      <c r="CC18" s="82"/>
      <c r="CD18" s="10"/>
      <c r="CE18" s="10"/>
      <c r="CF18" s="10"/>
      <c r="CG18" s="10"/>
    </row>
    <row r="19" spans="1:85" ht="50">
      <c r="B19" s="149"/>
      <c r="C19" s="98" t="s">
        <v>198</v>
      </c>
      <c r="D19" s="98"/>
      <c r="E19" s="10"/>
      <c r="F19" s="82"/>
      <c r="G19" s="83" t="s">
        <v>112</v>
      </c>
      <c r="H19" s="83" t="s">
        <v>112</v>
      </c>
      <c r="I19" s="83" t="s">
        <v>112</v>
      </c>
      <c r="J19" s="83" t="s">
        <v>112</v>
      </c>
      <c r="K19" s="83" t="s">
        <v>112</v>
      </c>
      <c r="L19" s="82"/>
      <c r="M19" s="10" t="s">
        <v>11</v>
      </c>
      <c r="N19" s="10" t="s">
        <v>12</v>
      </c>
      <c r="O19" s="84" t="s">
        <v>2309</v>
      </c>
      <c r="P19" s="10" t="s">
        <v>13</v>
      </c>
      <c r="Q19" s="114" t="s">
        <v>2286</v>
      </c>
      <c r="R19" s="10"/>
      <c r="S19" s="10"/>
      <c r="T19" s="10"/>
      <c r="U19" s="10"/>
      <c r="V19" s="82"/>
      <c r="W19" s="10"/>
      <c r="X19" s="10"/>
      <c r="Y19" s="10"/>
      <c r="Z19" s="10"/>
      <c r="AA19" s="10"/>
      <c r="AB19" s="10"/>
      <c r="AC19" s="10"/>
      <c r="AD19" s="82"/>
      <c r="AE19" s="83" t="s">
        <v>112</v>
      </c>
      <c r="AF19" s="83" t="s">
        <v>112</v>
      </c>
      <c r="AG19" s="82"/>
      <c r="AH19" s="83" t="s">
        <v>140</v>
      </c>
      <c r="AI19" s="86">
        <v>50472678700030</v>
      </c>
      <c r="AJ19" s="86"/>
      <c r="AK19" s="87" t="s">
        <v>2296</v>
      </c>
      <c r="AL19" s="82"/>
      <c r="AM19" s="10"/>
      <c r="AN19" s="10"/>
      <c r="AO19" s="10"/>
      <c r="AP19" s="10"/>
      <c r="AQ19" s="82"/>
      <c r="AR19" s="10"/>
      <c r="AS19" s="10"/>
      <c r="AT19" s="10"/>
      <c r="AU19" s="10"/>
      <c r="AV19" s="82"/>
      <c r="AW19" s="83" t="s">
        <v>140</v>
      </c>
      <c r="AX19" s="86">
        <v>50472678700030</v>
      </c>
      <c r="AY19" s="83" t="s">
        <v>142</v>
      </c>
      <c r="AZ19" s="87" t="s">
        <v>2296</v>
      </c>
      <c r="BA19" s="82"/>
      <c r="BB19" s="10"/>
      <c r="BC19" s="10"/>
      <c r="BD19" s="10"/>
      <c r="BE19" s="10"/>
      <c r="BF19" s="82"/>
      <c r="BG19" s="10"/>
      <c r="BH19" s="10"/>
      <c r="BI19" s="10"/>
      <c r="BJ19" s="10"/>
      <c r="BK19" s="82"/>
      <c r="BL19" s="87" t="s">
        <v>143</v>
      </c>
      <c r="BM19" s="86">
        <v>35238105700038</v>
      </c>
      <c r="BN19" s="87" t="s">
        <v>145</v>
      </c>
      <c r="BO19" s="87"/>
      <c r="BP19" s="83" t="s">
        <v>209</v>
      </c>
      <c r="BQ19" s="82"/>
      <c r="BR19" s="10"/>
      <c r="BS19" s="10"/>
      <c r="BT19" s="10"/>
      <c r="BU19" s="10"/>
      <c r="BV19" s="82"/>
      <c r="BW19" s="87" t="s">
        <v>143</v>
      </c>
      <c r="BX19" s="86">
        <v>35238105700038</v>
      </c>
      <c r="BY19" s="87" t="s">
        <v>145</v>
      </c>
      <c r="BZ19" s="86"/>
      <c r="CA19" s="83" t="s">
        <v>209</v>
      </c>
      <c r="CB19" s="83" t="s">
        <v>210</v>
      </c>
      <c r="CC19" s="82"/>
      <c r="CD19" s="10"/>
      <c r="CE19" s="10"/>
      <c r="CF19" s="10"/>
      <c r="CG19" s="10"/>
    </row>
    <row r="20" spans="1:85" ht="37.5">
      <c r="A20" s="1"/>
      <c r="B20" s="100" t="s">
        <v>211</v>
      </c>
      <c r="C20" s="111" t="s">
        <v>212</v>
      </c>
      <c r="D20" s="115" t="s">
        <v>213</v>
      </c>
      <c r="E20" s="91"/>
      <c r="F20" s="65"/>
      <c r="G20" s="94" t="s">
        <v>112</v>
      </c>
      <c r="H20" s="94" t="s">
        <v>112</v>
      </c>
      <c r="I20" s="94" t="s">
        <v>112</v>
      </c>
      <c r="J20" s="94" t="s">
        <v>112</v>
      </c>
      <c r="K20" s="94" t="s">
        <v>112</v>
      </c>
      <c r="L20" s="65"/>
      <c r="M20" s="91" t="s">
        <v>11</v>
      </c>
      <c r="N20" s="91" t="s">
        <v>12</v>
      </c>
      <c r="O20" s="92" t="s">
        <v>2310</v>
      </c>
      <c r="P20" s="91" t="s">
        <v>13</v>
      </c>
      <c r="Q20" s="113" t="s">
        <v>2286</v>
      </c>
      <c r="R20" s="91"/>
      <c r="S20" s="91"/>
      <c r="T20" s="91"/>
      <c r="U20" s="91"/>
      <c r="V20" s="65"/>
      <c r="W20" s="91"/>
      <c r="X20" s="91"/>
      <c r="Y20" s="91"/>
      <c r="Z20" s="91"/>
      <c r="AA20" s="91"/>
      <c r="AB20" s="91"/>
      <c r="AC20" s="91"/>
      <c r="AD20" s="65"/>
      <c r="AE20" s="94" t="s">
        <v>112</v>
      </c>
      <c r="AF20" s="94" t="s">
        <v>112</v>
      </c>
      <c r="AG20" s="65"/>
      <c r="AH20" s="94" t="s">
        <v>113</v>
      </c>
      <c r="AI20" s="103">
        <v>39933934000016</v>
      </c>
      <c r="AJ20" s="103"/>
      <c r="AK20" s="94" t="s">
        <v>2294</v>
      </c>
      <c r="AL20" s="65"/>
      <c r="AM20" s="91"/>
      <c r="AN20" s="91"/>
      <c r="AO20" s="91"/>
      <c r="AP20" s="91"/>
      <c r="AQ20" s="65"/>
      <c r="AR20" s="91"/>
      <c r="AS20" s="91"/>
      <c r="AT20" s="91"/>
      <c r="AU20" s="91"/>
      <c r="AV20" s="65"/>
      <c r="AW20" s="94" t="s">
        <v>113</v>
      </c>
      <c r="AX20" s="103">
        <v>39933934000016</v>
      </c>
      <c r="AY20" s="94" t="s">
        <v>114</v>
      </c>
      <c r="AZ20" s="104" t="s">
        <v>115</v>
      </c>
      <c r="BA20" s="65"/>
      <c r="BB20" s="91"/>
      <c r="BC20" s="91"/>
      <c r="BD20" s="91"/>
      <c r="BE20" s="91"/>
      <c r="BF20" s="65"/>
      <c r="BG20" s="91"/>
      <c r="BH20" s="91"/>
      <c r="BI20" s="91"/>
      <c r="BJ20" s="91"/>
      <c r="BK20" s="65"/>
      <c r="BL20" s="94" t="s">
        <v>113</v>
      </c>
      <c r="BM20" s="103">
        <v>39933934000016</v>
      </c>
      <c r="BN20" s="94" t="s">
        <v>114</v>
      </c>
      <c r="BO20" s="94"/>
      <c r="BP20" s="94" t="s">
        <v>215</v>
      </c>
      <c r="BQ20" s="65"/>
      <c r="BR20" s="91"/>
      <c r="BS20" s="91"/>
      <c r="BT20" s="91"/>
      <c r="BU20" s="91"/>
      <c r="BV20" s="65"/>
      <c r="BW20" s="102" t="s">
        <v>130</v>
      </c>
      <c r="BX20" s="103"/>
      <c r="BY20" s="94"/>
      <c r="BZ20" s="103"/>
      <c r="CA20" s="94" t="s">
        <v>216</v>
      </c>
      <c r="CB20" s="105" t="s">
        <v>217</v>
      </c>
      <c r="CC20" s="65"/>
      <c r="CD20" s="91"/>
      <c r="CE20" s="91"/>
      <c r="CF20" s="91"/>
      <c r="CG20" s="91"/>
    </row>
    <row r="21" spans="1:85" ht="15.75" customHeight="1">
      <c r="B21" s="98" t="s">
        <v>218</v>
      </c>
      <c r="C21" s="81" t="s">
        <v>219</v>
      </c>
      <c r="D21" s="106" t="s">
        <v>220</v>
      </c>
      <c r="E21" s="10"/>
      <c r="F21" s="82"/>
      <c r="G21" s="83" t="s">
        <v>112</v>
      </c>
      <c r="H21" s="83" t="s">
        <v>112</v>
      </c>
      <c r="I21" s="83" t="s">
        <v>112</v>
      </c>
      <c r="J21" s="83" t="s">
        <v>112</v>
      </c>
      <c r="K21" s="83" t="s">
        <v>112</v>
      </c>
      <c r="L21" s="82"/>
      <c r="M21" s="10" t="s">
        <v>11</v>
      </c>
      <c r="N21" s="10" t="s">
        <v>12</v>
      </c>
      <c r="O21" s="84" t="s">
        <v>2311</v>
      </c>
      <c r="P21" s="10" t="s">
        <v>13</v>
      </c>
      <c r="Q21" s="114" t="s">
        <v>2286</v>
      </c>
      <c r="R21" s="10"/>
      <c r="S21" s="10"/>
      <c r="T21" s="10"/>
      <c r="U21" s="10"/>
      <c r="V21" s="82"/>
      <c r="W21" s="10"/>
      <c r="X21" s="10"/>
      <c r="Y21" s="10"/>
      <c r="Z21" s="10"/>
      <c r="AA21" s="10"/>
      <c r="AB21" s="10"/>
      <c r="AC21" s="10"/>
      <c r="AD21" s="82"/>
      <c r="AE21" s="83" t="s">
        <v>112</v>
      </c>
      <c r="AF21" s="83" t="s">
        <v>112</v>
      </c>
      <c r="AG21" s="82"/>
      <c r="AH21" s="83" t="s">
        <v>155</v>
      </c>
      <c r="AI21" s="86">
        <v>32519337300017</v>
      </c>
      <c r="AJ21" s="86"/>
      <c r="AK21" s="87" t="s">
        <v>2300</v>
      </c>
      <c r="AL21" s="82"/>
      <c r="AM21" s="10"/>
      <c r="AN21" s="10"/>
      <c r="AO21" s="10"/>
      <c r="AP21" s="10"/>
      <c r="AQ21" s="82"/>
      <c r="AR21" s="10"/>
      <c r="AS21" s="10"/>
      <c r="AT21" s="10"/>
      <c r="AU21" s="10"/>
      <c r="AV21" s="82"/>
      <c r="AW21" s="83" t="s">
        <v>155</v>
      </c>
      <c r="AX21" s="86">
        <v>32519337300017</v>
      </c>
      <c r="AY21" s="83" t="s">
        <v>157</v>
      </c>
      <c r="AZ21" s="87" t="s">
        <v>2300</v>
      </c>
      <c r="BA21" s="82"/>
      <c r="BB21" s="10"/>
      <c r="BC21" s="10"/>
      <c r="BD21" s="10"/>
      <c r="BE21" s="10"/>
      <c r="BF21" s="82"/>
      <c r="BG21" s="10"/>
      <c r="BH21" s="10"/>
      <c r="BI21" s="10"/>
      <c r="BJ21" s="10"/>
      <c r="BK21" s="82"/>
      <c r="BL21" s="83" t="s">
        <v>155</v>
      </c>
      <c r="BM21" s="86">
        <v>32519337300017</v>
      </c>
      <c r="BN21" s="83" t="s">
        <v>157</v>
      </c>
      <c r="BO21" s="83"/>
      <c r="BP21" s="83" t="s">
        <v>146</v>
      </c>
      <c r="BQ21" s="82"/>
      <c r="BR21" s="10"/>
      <c r="BS21" s="10"/>
      <c r="BT21" s="10"/>
      <c r="BU21" s="10"/>
      <c r="BV21" s="82"/>
      <c r="BW21" s="83" t="s">
        <v>155</v>
      </c>
      <c r="BX21" s="86">
        <v>32519337300017</v>
      </c>
      <c r="BY21" s="83" t="s">
        <v>157</v>
      </c>
      <c r="BZ21" s="86"/>
      <c r="CA21" s="83" t="s">
        <v>146</v>
      </c>
      <c r="CB21" s="83" t="s">
        <v>132</v>
      </c>
      <c r="CC21" s="82"/>
      <c r="CD21" s="10"/>
      <c r="CE21" s="10"/>
      <c r="CF21" s="10"/>
      <c r="CG21" s="10"/>
    </row>
    <row r="22" spans="1:85" ht="15.75" customHeight="1">
      <c r="A22" s="1"/>
      <c r="B22" s="100" t="s">
        <v>2312</v>
      </c>
      <c r="C22" s="111" t="s">
        <v>159</v>
      </c>
      <c r="D22" s="115" t="s">
        <v>222</v>
      </c>
      <c r="E22" s="91"/>
      <c r="F22" s="65"/>
      <c r="G22" s="91"/>
      <c r="H22" s="91"/>
      <c r="I22" s="91"/>
      <c r="J22" s="91"/>
      <c r="K22" s="91"/>
      <c r="L22" s="65"/>
      <c r="M22" s="91" t="s">
        <v>11</v>
      </c>
      <c r="N22" s="91" t="s">
        <v>12</v>
      </c>
      <c r="O22" s="92" t="s">
        <v>2313</v>
      </c>
      <c r="P22" s="91" t="s">
        <v>13</v>
      </c>
      <c r="Q22" s="113" t="s">
        <v>2286</v>
      </c>
      <c r="R22" s="91"/>
      <c r="S22" s="91"/>
      <c r="T22" s="91"/>
      <c r="U22" s="91"/>
      <c r="V22" s="65"/>
      <c r="W22" s="91" t="s">
        <v>201</v>
      </c>
      <c r="X22" s="91"/>
      <c r="Y22" s="91"/>
      <c r="Z22" s="91"/>
      <c r="AA22" s="91"/>
      <c r="AB22" s="91"/>
      <c r="AC22" s="91"/>
      <c r="AD22" s="65"/>
      <c r="AE22" s="94" t="s">
        <v>112</v>
      </c>
      <c r="AF22" s="94" t="s">
        <v>112</v>
      </c>
      <c r="AG22" s="65"/>
      <c r="AH22" s="94" t="s">
        <v>113</v>
      </c>
      <c r="AI22" s="103">
        <v>39933934000016</v>
      </c>
      <c r="AJ22" s="103"/>
      <c r="AK22" s="94" t="s">
        <v>2294</v>
      </c>
      <c r="AL22" s="65"/>
      <c r="AM22" s="91"/>
      <c r="AN22" s="91"/>
      <c r="AO22" s="91"/>
      <c r="AP22" s="91"/>
      <c r="AQ22" s="65"/>
      <c r="AR22" s="91"/>
      <c r="AS22" s="91"/>
      <c r="AT22" s="91"/>
      <c r="AU22" s="91"/>
      <c r="AV22" s="65"/>
      <c r="AW22" s="94" t="s">
        <v>113</v>
      </c>
      <c r="AX22" s="103">
        <v>39933934000016</v>
      </c>
      <c r="AY22" s="94" t="s">
        <v>114</v>
      </c>
      <c r="AZ22" s="104" t="s">
        <v>115</v>
      </c>
      <c r="BA22" s="65"/>
      <c r="BB22" s="91"/>
      <c r="BC22" s="91"/>
      <c r="BD22" s="91"/>
      <c r="BE22" s="91"/>
      <c r="BF22" s="65"/>
      <c r="BG22" s="91"/>
      <c r="BH22" s="91"/>
      <c r="BI22" s="91"/>
      <c r="BJ22" s="91"/>
      <c r="BK22" s="65"/>
      <c r="BL22" s="94" t="s">
        <v>113</v>
      </c>
      <c r="BM22" s="103">
        <v>39933934000016</v>
      </c>
      <c r="BN22" s="94" t="s">
        <v>114</v>
      </c>
      <c r="BO22" s="94"/>
      <c r="BP22" s="94" t="s">
        <v>125</v>
      </c>
      <c r="BQ22" s="65"/>
      <c r="BR22" s="91"/>
      <c r="BS22" s="91"/>
      <c r="BT22" s="91"/>
      <c r="BU22" s="91"/>
      <c r="BV22" s="65"/>
      <c r="BW22" s="102" t="s">
        <v>130</v>
      </c>
      <c r="BX22" s="104"/>
      <c r="BY22" s="94"/>
      <c r="BZ22" s="104"/>
      <c r="CA22" s="94" t="s">
        <v>125</v>
      </c>
      <c r="CB22" s="105" t="s">
        <v>132</v>
      </c>
      <c r="CC22" s="65"/>
      <c r="CD22" s="91"/>
      <c r="CE22" s="91"/>
      <c r="CF22" s="91"/>
      <c r="CG22" s="91"/>
    </row>
    <row r="23" spans="1:85" ht="15.75" customHeight="1">
      <c r="B23" s="151" t="s">
        <v>224</v>
      </c>
      <c r="C23" s="98" t="s">
        <v>225</v>
      </c>
      <c r="D23" s="99"/>
      <c r="E23" s="10"/>
      <c r="F23" s="82"/>
      <c r="G23" s="83" t="s">
        <v>112</v>
      </c>
      <c r="H23" s="83" t="s">
        <v>112</v>
      </c>
      <c r="I23" s="83" t="s">
        <v>112</v>
      </c>
      <c r="J23" s="83" t="s">
        <v>112</v>
      </c>
      <c r="K23" s="83" t="s">
        <v>112</v>
      </c>
      <c r="L23" s="82"/>
      <c r="M23" s="10" t="s">
        <v>11</v>
      </c>
      <c r="N23" s="10" t="s">
        <v>12</v>
      </c>
      <c r="O23" s="84" t="s">
        <v>2314</v>
      </c>
      <c r="P23" s="10" t="s">
        <v>13</v>
      </c>
      <c r="Q23" s="114" t="s">
        <v>2286</v>
      </c>
      <c r="R23" s="10"/>
      <c r="S23" s="10"/>
      <c r="T23" s="10"/>
      <c r="U23" s="10"/>
      <c r="V23" s="82"/>
      <c r="W23" s="10"/>
      <c r="X23" s="10"/>
      <c r="Y23" s="10"/>
      <c r="Z23" s="10"/>
      <c r="AA23" s="10"/>
      <c r="AB23" s="10"/>
      <c r="AC23" s="10"/>
      <c r="AD23" s="82"/>
      <c r="AE23" s="83" t="s">
        <v>112</v>
      </c>
      <c r="AF23" s="83" t="s">
        <v>112</v>
      </c>
      <c r="AG23" s="82"/>
      <c r="AH23" s="83" t="s">
        <v>227</v>
      </c>
      <c r="AI23" s="116">
        <v>55850281100182</v>
      </c>
      <c r="AJ23" s="116"/>
      <c r="AK23" s="87" t="s">
        <v>2315</v>
      </c>
      <c r="AL23" s="82"/>
      <c r="AM23" s="10"/>
      <c r="AN23" s="10"/>
      <c r="AO23" s="10"/>
      <c r="AP23" s="10"/>
      <c r="AQ23" s="82"/>
      <c r="AR23" s="10"/>
      <c r="AS23" s="10"/>
      <c r="AT23" s="10"/>
      <c r="AU23" s="10"/>
      <c r="AV23" s="82"/>
      <c r="AW23" s="83" t="s">
        <v>227</v>
      </c>
      <c r="AX23" s="116">
        <v>55850281100182</v>
      </c>
      <c r="AY23" s="83" t="s">
        <v>229</v>
      </c>
      <c r="AZ23" s="87" t="s">
        <v>230</v>
      </c>
      <c r="BA23" s="82"/>
      <c r="BB23" s="10"/>
      <c r="BC23" s="10"/>
      <c r="BD23" s="10"/>
      <c r="BE23" s="10"/>
      <c r="BF23" s="82"/>
      <c r="BG23" s="10"/>
      <c r="BH23" s="10"/>
      <c r="BI23" s="10"/>
      <c r="BJ23" s="10"/>
      <c r="BK23" s="82"/>
      <c r="BL23" s="83" t="s">
        <v>231</v>
      </c>
      <c r="BM23" s="116">
        <v>55850281100091</v>
      </c>
      <c r="BN23" s="83" t="s">
        <v>233</v>
      </c>
      <c r="BO23" s="83"/>
      <c r="BP23" s="83" t="s">
        <v>131</v>
      </c>
      <c r="BQ23" s="82"/>
      <c r="BR23" s="10"/>
      <c r="BS23" s="10"/>
      <c r="BT23" s="10"/>
      <c r="BU23" s="10"/>
      <c r="BV23" s="82"/>
      <c r="BW23" s="83" t="s">
        <v>231</v>
      </c>
      <c r="BX23" s="116">
        <v>55850281100091</v>
      </c>
      <c r="BY23" s="83" t="s">
        <v>233</v>
      </c>
      <c r="BZ23" s="116"/>
      <c r="CA23" s="83" t="s">
        <v>131</v>
      </c>
      <c r="CB23" s="83" t="s">
        <v>132</v>
      </c>
      <c r="CC23" s="82"/>
      <c r="CD23" s="10"/>
      <c r="CE23" s="10"/>
      <c r="CF23" s="10"/>
      <c r="CG23" s="10"/>
    </row>
    <row r="24" spans="1:85" ht="15.75" customHeight="1">
      <c r="B24" s="149"/>
      <c r="C24" s="98" t="s">
        <v>225</v>
      </c>
      <c r="D24" s="99" t="s">
        <v>234</v>
      </c>
      <c r="E24" s="10"/>
      <c r="F24" s="82"/>
      <c r="G24" s="83" t="s">
        <v>112</v>
      </c>
      <c r="H24" s="83" t="s">
        <v>112</v>
      </c>
      <c r="I24" s="83" t="s">
        <v>112</v>
      </c>
      <c r="J24" s="83" t="s">
        <v>112</v>
      </c>
      <c r="K24" s="83" t="s">
        <v>112</v>
      </c>
      <c r="L24" s="82"/>
      <c r="M24" s="10" t="s">
        <v>11</v>
      </c>
      <c r="N24" s="10" t="s">
        <v>12</v>
      </c>
      <c r="O24" s="84" t="s">
        <v>2316</v>
      </c>
      <c r="P24" s="10" t="s">
        <v>13</v>
      </c>
      <c r="Q24" s="114" t="s">
        <v>2286</v>
      </c>
      <c r="R24" s="10"/>
      <c r="S24" s="10"/>
      <c r="T24" s="10"/>
      <c r="U24" s="10"/>
      <c r="V24" s="82"/>
      <c r="W24" s="10"/>
      <c r="X24" s="10"/>
      <c r="Y24" s="10"/>
      <c r="Z24" s="10"/>
      <c r="AA24" s="10"/>
      <c r="AB24" s="10"/>
      <c r="AC24" s="10"/>
      <c r="AD24" s="82"/>
      <c r="AE24" s="83" t="s">
        <v>112</v>
      </c>
      <c r="AF24" s="83" t="s">
        <v>112</v>
      </c>
      <c r="AG24" s="82"/>
      <c r="AH24" s="83" t="s">
        <v>227</v>
      </c>
      <c r="AI24" s="86">
        <v>55850281100182</v>
      </c>
      <c r="AJ24" s="86"/>
      <c r="AK24" s="87" t="s">
        <v>2315</v>
      </c>
      <c r="AL24" s="82"/>
      <c r="AM24" s="10"/>
      <c r="AN24" s="10"/>
      <c r="AO24" s="10"/>
      <c r="AP24" s="10"/>
      <c r="AQ24" s="82"/>
      <c r="AR24" s="10"/>
      <c r="AS24" s="10"/>
      <c r="AT24" s="10"/>
      <c r="AU24" s="10"/>
      <c r="AV24" s="82"/>
      <c r="AW24" s="83" t="s">
        <v>236</v>
      </c>
      <c r="AX24" s="86">
        <v>32561507800020</v>
      </c>
      <c r="AY24" s="83" t="s">
        <v>238</v>
      </c>
      <c r="AZ24" s="87" t="s">
        <v>2317</v>
      </c>
      <c r="BA24" s="82"/>
      <c r="BB24" s="10"/>
      <c r="BC24" s="10"/>
      <c r="BD24" s="10"/>
      <c r="BE24" s="10"/>
      <c r="BF24" s="82"/>
      <c r="BG24" s="10"/>
      <c r="BH24" s="10"/>
      <c r="BI24" s="10"/>
      <c r="BJ24" s="10"/>
      <c r="BK24" s="82"/>
      <c r="BL24" s="83" t="s">
        <v>239</v>
      </c>
      <c r="BM24" s="86">
        <v>55850281100091</v>
      </c>
      <c r="BN24" s="83" t="s">
        <v>240</v>
      </c>
      <c r="BO24" s="83"/>
      <c r="BP24" s="83" t="s">
        <v>131</v>
      </c>
      <c r="BQ24" s="65"/>
      <c r="BR24" s="91"/>
      <c r="BS24" s="91"/>
      <c r="BT24" s="91"/>
      <c r="BU24" s="91"/>
      <c r="BV24" s="65"/>
      <c r="BW24" s="83" t="s">
        <v>239</v>
      </c>
      <c r="BX24" s="86">
        <v>55850281100091</v>
      </c>
      <c r="BY24" s="83" t="s">
        <v>240</v>
      </c>
      <c r="BZ24" s="86"/>
      <c r="CA24" s="83" t="s">
        <v>131</v>
      </c>
      <c r="CB24" s="83" t="s">
        <v>132</v>
      </c>
      <c r="CC24" s="82"/>
      <c r="CD24" s="10"/>
      <c r="CE24" s="10"/>
      <c r="CF24" s="10"/>
      <c r="CG24" s="10"/>
    </row>
    <row r="25" spans="1:85" ht="15.75" customHeight="1">
      <c r="A25" s="1"/>
      <c r="B25" s="152" t="s">
        <v>241</v>
      </c>
      <c r="C25" s="111" t="s">
        <v>242</v>
      </c>
      <c r="D25" s="115"/>
      <c r="E25" s="91"/>
      <c r="F25" s="65"/>
      <c r="G25" s="91"/>
      <c r="H25" s="91"/>
      <c r="I25" s="91"/>
      <c r="J25" s="91"/>
      <c r="K25" s="91"/>
      <c r="L25" s="65"/>
      <c r="M25" s="91" t="s">
        <v>11</v>
      </c>
      <c r="N25" s="91" t="s">
        <v>12</v>
      </c>
      <c r="O25" s="92" t="s">
        <v>2318</v>
      </c>
      <c r="P25" s="91" t="s">
        <v>13</v>
      </c>
      <c r="Q25" s="113" t="s">
        <v>2286</v>
      </c>
      <c r="R25" s="91"/>
      <c r="S25" s="91"/>
      <c r="T25" s="91"/>
      <c r="U25" s="91"/>
      <c r="V25" s="65"/>
      <c r="W25" s="91"/>
      <c r="X25" s="91"/>
      <c r="Y25" s="91"/>
      <c r="Z25" s="91"/>
      <c r="AA25" s="91"/>
      <c r="AB25" s="91"/>
      <c r="AC25" s="91"/>
      <c r="AD25" s="65"/>
      <c r="AE25" s="94" t="s">
        <v>112</v>
      </c>
      <c r="AF25" s="94" t="s">
        <v>112</v>
      </c>
      <c r="AG25" s="65"/>
      <c r="AH25" s="94" t="s">
        <v>112</v>
      </c>
      <c r="AI25" s="94" t="s">
        <v>112</v>
      </c>
      <c r="AJ25" s="94"/>
      <c r="AK25" s="94" t="s">
        <v>112</v>
      </c>
      <c r="AL25" s="65"/>
      <c r="AM25" s="91"/>
      <c r="AN25" s="91"/>
      <c r="AO25" s="91"/>
      <c r="AP25" s="91"/>
      <c r="AQ25" s="65"/>
      <c r="AR25" s="91"/>
      <c r="AS25" s="91"/>
      <c r="AT25" s="91"/>
      <c r="AU25" s="91"/>
      <c r="AV25" s="65"/>
      <c r="AW25" s="94" t="s">
        <v>245</v>
      </c>
      <c r="AX25" s="103">
        <v>34782395700043</v>
      </c>
      <c r="AY25" s="94" t="s">
        <v>246</v>
      </c>
      <c r="AZ25" s="104" t="s">
        <v>247</v>
      </c>
      <c r="BA25" s="65"/>
      <c r="BB25" s="91"/>
      <c r="BC25" s="91"/>
      <c r="BD25" s="91"/>
      <c r="BE25" s="91"/>
      <c r="BF25" s="65"/>
      <c r="BG25" s="91"/>
      <c r="BH25" s="91"/>
      <c r="BI25" s="91"/>
      <c r="BJ25" s="91"/>
      <c r="BK25" s="65"/>
      <c r="BL25" s="94" t="s">
        <v>248</v>
      </c>
      <c r="BM25" s="103">
        <v>43331348300177</v>
      </c>
      <c r="BN25" s="94" t="s">
        <v>249</v>
      </c>
      <c r="BO25" s="94"/>
      <c r="BP25" s="94" t="s">
        <v>216</v>
      </c>
      <c r="BQ25" s="65"/>
      <c r="BR25" s="91"/>
      <c r="BS25" s="91"/>
      <c r="BT25" s="91"/>
      <c r="BU25" s="91"/>
      <c r="BV25" s="65"/>
      <c r="BW25" s="94" t="s">
        <v>248</v>
      </c>
      <c r="BX25" s="103">
        <v>43331348300177</v>
      </c>
      <c r="BY25" s="94" t="s">
        <v>249</v>
      </c>
      <c r="BZ25" s="103"/>
      <c r="CA25" s="94" t="s">
        <v>216</v>
      </c>
      <c r="CB25" s="105" t="s">
        <v>217</v>
      </c>
      <c r="CC25" s="65"/>
      <c r="CD25" s="91"/>
      <c r="CE25" s="91"/>
      <c r="CF25" s="91"/>
      <c r="CG25" s="91"/>
    </row>
    <row r="26" spans="1:85" ht="15.75" customHeight="1">
      <c r="A26" s="1"/>
      <c r="B26" s="149"/>
      <c r="C26" s="111" t="s">
        <v>242</v>
      </c>
      <c r="D26" s="115"/>
      <c r="E26" s="91"/>
      <c r="F26" s="65"/>
      <c r="G26" s="91"/>
      <c r="H26" s="91"/>
      <c r="I26" s="91"/>
      <c r="J26" s="91"/>
      <c r="K26" s="91"/>
      <c r="L26" s="65"/>
      <c r="M26" s="91" t="s">
        <v>11</v>
      </c>
      <c r="N26" s="91" t="s">
        <v>12</v>
      </c>
      <c r="O26" s="92" t="s">
        <v>2319</v>
      </c>
      <c r="P26" s="91" t="s">
        <v>13</v>
      </c>
      <c r="Q26" s="113" t="s">
        <v>2286</v>
      </c>
      <c r="R26" s="91"/>
      <c r="S26" s="91"/>
      <c r="T26" s="91"/>
      <c r="U26" s="91"/>
      <c r="V26" s="65"/>
      <c r="W26" s="91"/>
      <c r="X26" s="91"/>
      <c r="Y26" s="91"/>
      <c r="Z26" s="91"/>
      <c r="AA26" s="91"/>
      <c r="AB26" s="91"/>
      <c r="AC26" s="91"/>
      <c r="AD26" s="65"/>
      <c r="AE26" s="94" t="s">
        <v>112</v>
      </c>
      <c r="AF26" s="94" t="s">
        <v>112</v>
      </c>
      <c r="AG26" s="65"/>
      <c r="AH26" s="94" t="s">
        <v>113</v>
      </c>
      <c r="AI26" s="103">
        <v>39933934000016</v>
      </c>
      <c r="AJ26" s="103"/>
      <c r="AK26" s="94" t="s">
        <v>2294</v>
      </c>
      <c r="AL26" s="65"/>
      <c r="AM26" s="91"/>
      <c r="AN26" s="91"/>
      <c r="AO26" s="91"/>
      <c r="AP26" s="91"/>
      <c r="AQ26" s="65"/>
      <c r="AR26" s="91"/>
      <c r="AS26" s="91"/>
      <c r="AT26" s="91"/>
      <c r="AU26" s="91"/>
      <c r="AV26" s="65"/>
      <c r="AW26" s="94" t="s">
        <v>113</v>
      </c>
      <c r="AX26" s="103">
        <v>39933934000016</v>
      </c>
      <c r="AY26" s="94" t="s">
        <v>114</v>
      </c>
      <c r="AZ26" s="104" t="s">
        <v>115</v>
      </c>
      <c r="BA26" s="65"/>
      <c r="BB26" s="91"/>
      <c r="BC26" s="91"/>
      <c r="BD26" s="91"/>
      <c r="BE26" s="91"/>
      <c r="BF26" s="65"/>
      <c r="BG26" s="91"/>
      <c r="BH26" s="91"/>
      <c r="BI26" s="91"/>
      <c r="BJ26" s="91"/>
      <c r="BK26" s="65"/>
      <c r="BL26" s="94" t="s">
        <v>113</v>
      </c>
      <c r="BM26" s="103">
        <v>39933934000016</v>
      </c>
      <c r="BN26" s="94" t="s">
        <v>114</v>
      </c>
      <c r="BO26" s="94"/>
      <c r="BP26" s="94" t="s">
        <v>216</v>
      </c>
      <c r="BQ26" s="65"/>
      <c r="BR26" s="91"/>
      <c r="BS26" s="91"/>
      <c r="BT26" s="91"/>
      <c r="BU26" s="91"/>
      <c r="BV26" s="65"/>
      <c r="BW26" s="94"/>
      <c r="BX26" s="103"/>
      <c r="BY26" s="94"/>
      <c r="BZ26" s="103"/>
      <c r="CA26" s="94" t="s">
        <v>216</v>
      </c>
      <c r="CB26" s="105" t="s">
        <v>217</v>
      </c>
      <c r="CC26" s="65"/>
      <c r="CD26" s="91"/>
      <c r="CE26" s="91"/>
      <c r="CF26" s="91"/>
      <c r="CG26" s="91"/>
    </row>
    <row r="27" spans="1:85" ht="15.75" customHeight="1">
      <c r="B27" s="98" t="s">
        <v>251</v>
      </c>
      <c r="C27" s="81" t="s">
        <v>252</v>
      </c>
      <c r="D27" s="106"/>
      <c r="E27" s="10"/>
      <c r="F27" s="82"/>
      <c r="G27" s="83" t="s">
        <v>112</v>
      </c>
      <c r="H27" s="83" t="s">
        <v>112</v>
      </c>
      <c r="I27" s="83" t="s">
        <v>112</v>
      </c>
      <c r="J27" s="83" t="s">
        <v>112</v>
      </c>
      <c r="K27" s="83" t="s">
        <v>112</v>
      </c>
      <c r="L27" s="82"/>
      <c r="M27" s="10" t="s">
        <v>11</v>
      </c>
      <c r="N27" s="10" t="s">
        <v>12</v>
      </c>
      <c r="O27" s="84" t="s">
        <v>2320</v>
      </c>
      <c r="P27" s="10" t="s">
        <v>13</v>
      </c>
      <c r="Q27" s="114" t="s">
        <v>2286</v>
      </c>
      <c r="R27" s="10"/>
      <c r="S27" s="10"/>
      <c r="T27" s="10"/>
      <c r="U27" s="10"/>
      <c r="V27" s="82"/>
      <c r="W27" s="10"/>
      <c r="X27" s="10"/>
      <c r="Y27" s="10"/>
      <c r="Z27" s="10"/>
      <c r="AA27" s="10"/>
      <c r="AB27" s="10"/>
      <c r="AC27" s="10"/>
      <c r="AD27" s="82"/>
      <c r="AE27" s="83" t="s">
        <v>112</v>
      </c>
      <c r="AF27" s="83" t="s">
        <v>112</v>
      </c>
      <c r="AG27" s="82"/>
      <c r="AH27" s="83" t="s">
        <v>155</v>
      </c>
      <c r="AI27" s="86">
        <v>32519337300017</v>
      </c>
      <c r="AJ27" s="86"/>
      <c r="AK27" s="87" t="s">
        <v>2300</v>
      </c>
      <c r="AL27" s="82"/>
      <c r="AM27" s="10"/>
      <c r="AN27" s="10"/>
      <c r="AO27" s="10"/>
      <c r="AP27" s="10"/>
      <c r="AQ27" s="82"/>
      <c r="AR27" s="10"/>
      <c r="AS27" s="10"/>
      <c r="AT27" s="10"/>
      <c r="AU27" s="10"/>
      <c r="AV27" s="82"/>
      <c r="AW27" s="83" t="s">
        <v>155</v>
      </c>
      <c r="AX27" s="86">
        <v>32519337300017</v>
      </c>
      <c r="AY27" s="83" t="s">
        <v>157</v>
      </c>
      <c r="AZ27" s="87" t="s">
        <v>2300</v>
      </c>
      <c r="BA27" s="82"/>
      <c r="BB27" s="10"/>
      <c r="BC27" s="10"/>
      <c r="BD27" s="10"/>
      <c r="BE27" s="10"/>
      <c r="BF27" s="82"/>
      <c r="BG27" s="10"/>
      <c r="BH27" s="10"/>
      <c r="BI27" s="10"/>
      <c r="BJ27" s="10"/>
      <c r="BK27" s="82"/>
      <c r="BL27" s="83" t="s">
        <v>155</v>
      </c>
      <c r="BM27" s="86">
        <v>32519337300017</v>
      </c>
      <c r="BN27" s="83" t="s">
        <v>157</v>
      </c>
      <c r="BO27" s="83"/>
      <c r="BP27" s="83" t="s">
        <v>146</v>
      </c>
      <c r="BQ27" s="65"/>
      <c r="BR27" s="91"/>
      <c r="BS27" s="91"/>
      <c r="BT27" s="91"/>
      <c r="BU27" s="91"/>
      <c r="BV27" s="65"/>
      <c r="BW27" s="83" t="s">
        <v>155</v>
      </c>
      <c r="BX27" s="86">
        <v>32519337300017</v>
      </c>
      <c r="BY27" s="83" t="s">
        <v>157</v>
      </c>
      <c r="BZ27" s="86"/>
      <c r="CA27" s="83" t="s">
        <v>146</v>
      </c>
      <c r="CB27" s="83" t="s">
        <v>132</v>
      </c>
      <c r="CC27" s="82"/>
      <c r="CD27" s="10"/>
      <c r="CE27" s="10"/>
      <c r="CF27" s="10"/>
      <c r="CG27" s="10"/>
    </row>
    <row r="28" spans="1:85" ht="15.75" customHeight="1">
      <c r="A28" s="1"/>
      <c r="B28" s="100" t="s">
        <v>254</v>
      </c>
      <c r="C28" s="101" t="s">
        <v>1613</v>
      </c>
      <c r="D28" s="102"/>
      <c r="E28" s="91"/>
      <c r="F28" s="65"/>
      <c r="G28" s="91"/>
      <c r="H28" s="91"/>
      <c r="I28" s="91"/>
      <c r="J28" s="91"/>
      <c r="K28" s="91"/>
      <c r="L28" s="65"/>
      <c r="M28" s="91" t="s">
        <v>11</v>
      </c>
      <c r="N28" s="91" t="s">
        <v>12</v>
      </c>
      <c r="O28" s="92" t="s">
        <v>2321</v>
      </c>
      <c r="P28" s="91" t="s">
        <v>13</v>
      </c>
      <c r="Q28" s="113" t="s">
        <v>2286</v>
      </c>
      <c r="R28" s="91"/>
      <c r="S28" s="91"/>
      <c r="T28" s="91"/>
      <c r="U28" s="91"/>
      <c r="V28" s="65"/>
      <c r="W28" s="91"/>
      <c r="X28" s="91"/>
      <c r="Y28" s="91"/>
      <c r="Z28" s="91"/>
      <c r="AA28" s="91"/>
      <c r="AB28" s="91"/>
      <c r="AC28" s="91"/>
      <c r="AD28" s="65"/>
      <c r="AE28" s="94" t="s">
        <v>112</v>
      </c>
      <c r="AF28" s="94" t="s">
        <v>112</v>
      </c>
      <c r="AG28" s="65"/>
      <c r="AH28" s="94" t="s">
        <v>113</v>
      </c>
      <c r="AI28" s="103">
        <v>39933934000016</v>
      </c>
      <c r="AJ28" s="103"/>
      <c r="AK28" s="94" t="s">
        <v>2294</v>
      </c>
      <c r="AL28" s="65"/>
      <c r="AM28" s="91"/>
      <c r="AN28" s="91"/>
      <c r="AO28" s="91"/>
      <c r="AP28" s="91"/>
      <c r="AQ28" s="65"/>
      <c r="AR28" s="91"/>
      <c r="AS28" s="91"/>
      <c r="AT28" s="91"/>
      <c r="AU28" s="91"/>
      <c r="AV28" s="65"/>
      <c r="AW28" s="94" t="s">
        <v>113</v>
      </c>
      <c r="AX28" s="103">
        <v>39933934000016</v>
      </c>
      <c r="AY28" s="94" t="s">
        <v>114</v>
      </c>
      <c r="AZ28" s="104" t="s">
        <v>258</v>
      </c>
      <c r="BA28" s="65"/>
      <c r="BB28" s="91"/>
      <c r="BC28" s="91"/>
      <c r="BD28" s="91"/>
      <c r="BE28" s="91"/>
      <c r="BF28" s="65"/>
      <c r="BG28" s="91"/>
      <c r="BH28" s="91"/>
      <c r="BI28" s="91"/>
      <c r="BJ28" s="91"/>
      <c r="BK28" s="65"/>
      <c r="BL28" s="94" t="s">
        <v>113</v>
      </c>
      <c r="BM28" s="103">
        <v>39933934000016</v>
      </c>
      <c r="BN28" s="94" t="s">
        <v>114</v>
      </c>
      <c r="BO28" s="94"/>
      <c r="BP28" s="94" t="s">
        <v>125</v>
      </c>
      <c r="BQ28" s="65"/>
      <c r="BR28" s="91"/>
      <c r="BS28" s="91"/>
      <c r="BT28" s="91"/>
      <c r="BU28" s="91"/>
      <c r="BV28" s="65"/>
      <c r="BW28" s="102" t="s">
        <v>130</v>
      </c>
      <c r="BX28" s="104" t="s">
        <v>259</v>
      </c>
      <c r="BY28" s="94"/>
      <c r="BZ28" s="104"/>
      <c r="CA28" s="94" t="s">
        <v>166</v>
      </c>
      <c r="CB28" s="105" t="s">
        <v>167</v>
      </c>
      <c r="CC28" s="65"/>
      <c r="CD28" s="91"/>
      <c r="CE28" s="91"/>
      <c r="CF28" s="91"/>
      <c r="CG28" s="91"/>
    </row>
    <row r="29" spans="1:85" ht="15.75" customHeight="1">
      <c r="B29" s="80" t="s">
        <v>260</v>
      </c>
      <c r="C29" s="81" t="s">
        <v>261</v>
      </c>
      <c r="D29" s="106"/>
      <c r="E29" s="10"/>
      <c r="F29" s="82"/>
      <c r="G29" s="10"/>
      <c r="H29" s="10"/>
      <c r="I29" s="10"/>
      <c r="J29" s="10"/>
      <c r="K29" s="10"/>
      <c r="L29" s="82"/>
      <c r="M29" s="10" t="s">
        <v>11</v>
      </c>
      <c r="N29" s="10" t="s">
        <v>12</v>
      </c>
      <c r="O29" s="84" t="s">
        <v>2322</v>
      </c>
      <c r="P29" s="10" t="s">
        <v>13</v>
      </c>
      <c r="Q29" s="114" t="s">
        <v>2286</v>
      </c>
      <c r="R29" s="10"/>
      <c r="S29" s="10"/>
      <c r="T29" s="10"/>
      <c r="U29" s="10"/>
      <c r="V29" s="82"/>
      <c r="W29" s="10"/>
      <c r="X29" s="10"/>
      <c r="Y29" s="10"/>
      <c r="Z29" s="10"/>
      <c r="AA29" s="10"/>
      <c r="AB29" s="10"/>
      <c r="AC29" s="10"/>
      <c r="AD29" s="82"/>
      <c r="AE29" s="83" t="s">
        <v>112</v>
      </c>
      <c r="AF29" s="83" t="s">
        <v>112</v>
      </c>
      <c r="AG29" s="82"/>
      <c r="AH29" s="83" t="s">
        <v>113</v>
      </c>
      <c r="AI29" s="107">
        <v>39933934000016</v>
      </c>
      <c r="AJ29" s="107"/>
      <c r="AK29" s="83" t="s">
        <v>2294</v>
      </c>
      <c r="AL29" s="82"/>
      <c r="AM29" s="10"/>
      <c r="AN29" s="10"/>
      <c r="AO29" s="10"/>
      <c r="AP29" s="10"/>
      <c r="AQ29" s="82"/>
      <c r="AR29" s="10"/>
      <c r="AS29" s="10"/>
      <c r="AT29" s="10"/>
      <c r="AU29" s="10"/>
      <c r="AV29" s="82"/>
      <c r="AW29" s="83" t="s">
        <v>113</v>
      </c>
      <c r="AX29" s="107">
        <v>39933934000016</v>
      </c>
      <c r="AY29" s="83" t="s">
        <v>114</v>
      </c>
      <c r="AZ29" s="87" t="s">
        <v>115</v>
      </c>
      <c r="BA29" s="82"/>
      <c r="BB29" s="10"/>
      <c r="BC29" s="10"/>
      <c r="BD29" s="10"/>
      <c r="BE29" s="10"/>
      <c r="BF29" s="82"/>
      <c r="BG29" s="10"/>
      <c r="BH29" s="10"/>
      <c r="BI29" s="10"/>
      <c r="BJ29" s="10"/>
      <c r="BK29" s="82"/>
      <c r="BL29" s="83" t="s">
        <v>113</v>
      </c>
      <c r="BM29" s="107">
        <v>39933934000016</v>
      </c>
      <c r="BN29" s="83" t="s">
        <v>114</v>
      </c>
      <c r="BO29" s="83"/>
      <c r="BP29" s="83" t="s">
        <v>125</v>
      </c>
      <c r="BQ29" s="82"/>
      <c r="BR29" s="10"/>
      <c r="BS29" s="10"/>
      <c r="BT29" s="10"/>
      <c r="BU29" s="10"/>
      <c r="BV29" s="82"/>
      <c r="BW29" s="108" t="s">
        <v>130</v>
      </c>
      <c r="BX29" s="87"/>
      <c r="BY29" s="83"/>
      <c r="BZ29" s="87"/>
      <c r="CA29" s="83" t="s">
        <v>166</v>
      </c>
      <c r="CB29" s="109" t="s">
        <v>167</v>
      </c>
      <c r="CC29" s="82"/>
      <c r="CD29" s="10"/>
      <c r="CE29" s="10"/>
      <c r="CF29" s="10"/>
      <c r="CG29" s="10"/>
    </row>
    <row r="30" spans="1:85" ht="15.75" customHeight="1">
      <c r="A30" s="1"/>
      <c r="B30" s="100" t="s">
        <v>263</v>
      </c>
      <c r="C30" s="111" t="s">
        <v>264</v>
      </c>
      <c r="D30" s="115" t="s">
        <v>265</v>
      </c>
      <c r="E30" s="91"/>
      <c r="F30" s="65"/>
      <c r="G30" s="91"/>
      <c r="H30" s="91"/>
      <c r="I30" s="91"/>
      <c r="J30" s="91"/>
      <c r="K30" s="91"/>
      <c r="L30" s="65"/>
      <c r="M30" s="91" t="s">
        <v>11</v>
      </c>
      <c r="N30" s="91" t="s">
        <v>12</v>
      </c>
      <c r="O30" s="92" t="s">
        <v>2323</v>
      </c>
      <c r="P30" s="91" t="s">
        <v>13</v>
      </c>
      <c r="Q30" s="113" t="s">
        <v>2286</v>
      </c>
      <c r="R30" s="91"/>
      <c r="S30" s="91"/>
      <c r="T30" s="91"/>
      <c r="U30" s="91"/>
      <c r="V30" s="65"/>
      <c r="W30" s="91"/>
      <c r="X30" s="91"/>
      <c r="Y30" s="91"/>
      <c r="Z30" s="91"/>
      <c r="AA30" s="91"/>
      <c r="AB30" s="91"/>
      <c r="AC30" s="91"/>
      <c r="AD30" s="65"/>
      <c r="AE30" s="94" t="s">
        <v>112</v>
      </c>
      <c r="AF30" s="94" t="s">
        <v>112</v>
      </c>
      <c r="AG30" s="65"/>
      <c r="AH30" s="94" t="s">
        <v>113</v>
      </c>
      <c r="AI30" s="103">
        <v>39933934000016</v>
      </c>
      <c r="AJ30" s="103"/>
      <c r="AK30" s="94" t="s">
        <v>2294</v>
      </c>
      <c r="AL30" s="65"/>
      <c r="AM30" s="91"/>
      <c r="AN30" s="91"/>
      <c r="AO30" s="91"/>
      <c r="AP30" s="91"/>
      <c r="AQ30" s="65"/>
      <c r="AR30" s="91"/>
      <c r="AS30" s="91"/>
      <c r="AT30" s="91"/>
      <c r="AU30" s="91"/>
      <c r="AV30" s="65"/>
      <c r="AW30" s="94" t="s">
        <v>113</v>
      </c>
      <c r="AX30" s="103">
        <v>39933934000016</v>
      </c>
      <c r="AY30" s="94" t="s">
        <v>114</v>
      </c>
      <c r="AZ30" s="104" t="s">
        <v>115</v>
      </c>
      <c r="BA30" s="65"/>
      <c r="BB30" s="91"/>
      <c r="BC30" s="91"/>
      <c r="BD30" s="91"/>
      <c r="BE30" s="91"/>
      <c r="BF30" s="65"/>
      <c r="BG30" s="91"/>
      <c r="BH30" s="91"/>
      <c r="BI30" s="91"/>
      <c r="BJ30" s="91"/>
      <c r="BK30" s="65"/>
      <c r="BL30" s="94" t="s">
        <v>113</v>
      </c>
      <c r="BM30" s="103">
        <v>39933934000016</v>
      </c>
      <c r="BN30" s="94" t="s">
        <v>114</v>
      </c>
      <c r="BO30" s="94"/>
      <c r="BP30" s="94" t="s">
        <v>125</v>
      </c>
      <c r="BQ30" s="65"/>
      <c r="BR30" s="91"/>
      <c r="BS30" s="91"/>
      <c r="BT30" s="91"/>
      <c r="BU30" s="91"/>
      <c r="BV30" s="65"/>
      <c r="BW30" s="102" t="s">
        <v>130</v>
      </c>
      <c r="BX30" s="104"/>
      <c r="BY30" s="94"/>
      <c r="BZ30" s="104"/>
      <c r="CA30" s="94" t="s">
        <v>125</v>
      </c>
      <c r="CB30" s="105" t="s">
        <v>132</v>
      </c>
      <c r="CC30" s="65"/>
      <c r="CD30" s="91"/>
      <c r="CE30" s="91"/>
      <c r="CF30" s="91"/>
      <c r="CG30" s="91"/>
    </row>
    <row r="31" spans="1:85" ht="15.75" customHeight="1">
      <c r="B31" s="98" t="s">
        <v>271</v>
      </c>
      <c r="C31" s="81" t="s">
        <v>272</v>
      </c>
      <c r="D31" s="106"/>
      <c r="E31" s="10"/>
      <c r="F31" s="82"/>
      <c r="G31" s="10"/>
      <c r="H31" s="10"/>
      <c r="I31" s="10"/>
      <c r="J31" s="10"/>
      <c r="K31" s="10"/>
      <c r="L31" s="82"/>
      <c r="M31" s="10" t="s">
        <v>11</v>
      </c>
      <c r="N31" s="10" t="s">
        <v>12</v>
      </c>
      <c r="O31" s="84" t="s">
        <v>2324</v>
      </c>
      <c r="P31" s="10" t="s">
        <v>13</v>
      </c>
      <c r="Q31" s="114" t="s">
        <v>2286</v>
      </c>
      <c r="R31" s="10"/>
      <c r="S31" s="10"/>
      <c r="T31" s="10"/>
      <c r="U31" s="10"/>
      <c r="V31" s="82"/>
      <c r="W31" s="10"/>
      <c r="X31" s="10"/>
      <c r="Y31" s="10"/>
      <c r="Z31" s="10"/>
      <c r="AA31" s="10"/>
      <c r="AB31" s="10"/>
      <c r="AC31" s="10"/>
      <c r="AD31" s="82"/>
      <c r="AE31" s="83" t="s">
        <v>112</v>
      </c>
      <c r="AF31" s="83" t="s">
        <v>112</v>
      </c>
      <c r="AG31" s="82"/>
      <c r="AH31" s="83" t="s">
        <v>113</v>
      </c>
      <c r="AI31" s="107">
        <v>39933934000016</v>
      </c>
      <c r="AJ31" s="107"/>
      <c r="AK31" s="83" t="s">
        <v>2294</v>
      </c>
      <c r="AL31" s="82"/>
      <c r="AM31" s="10"/>
      <c r="AN31" s="10"/>
      <c r="AO31" s="10"/>
      <c r="AP31" s="10"/>
      <c r="AQ31" s="82"/>
      <c r="AR31" s="10"/>
      <c r="AS31" s="10"/>
      <c r="AT31" s="10"/>
      <c r="AU31" s="10"/>
      <c r="AV31" s="82"/>
      <c r="AW31" s="83" t="s">
        <v>113</v>
      </c>
      <c r="AX31" s="107">
        <v>39933934000016</v>
      </c>
      <c r="AY31" s="83" t="s">
        <v>114</v>
      </c>
      <c r="AZ31" s="87" t="s">
        <v>115</v>
      </c>
      <c r="BA31" s="82"/>
      <c r="BB31" s="10"/>
      <c r="BC31" s="10"/>
      <c r="BD31" s="10"/>
      <c r="BE31" s="10"/>
      <c r="BF31" s="82"/>
      <c r="BG31" s="10"/>
      <c r="BH31" s="10"/>
      <c r="BI31" s="10"/>
      <c r="BJ31" s="10"/>
      <c r="BK31" s="82"/>
      <c r="BL31" s="83" t="s">
        <v>113</v>
      </c>
      <c r="BM31" s="107">
        <v>39933934000016</v>
      </c>
      <c r="BN31" s="83" t="s">
        <v>114</v>
      </c>
      <c r="BO31" s="83"/>
      <c r="BP31" s="83" t="s">
        <v>125</v>
      </c>
      <c r="BQ31" s="82"/>
      <c r="BR31" s="10"/>
      <c r="BS31" s="10"/>
      <c r="BT31" s="10"/>
      <c r="BU31" s="10"/>
      <c r="BV31" s="82"/>
      <c r="BW31" s="108" t="s">
        <v>130</v>
      </c>
      <c r="BX31" s="87"/>
      <c r="BY31" s="83"/>
      <c r="BZ31" s="87"/>
      <c r="CA31" s="83" t="s">
        <v>131</v>
      </c>
      <c r="CB31" s="83" t="s">
        <v>132</v>
      </c>
      <c r="CC31" s="82"/>
      <c r="CD31" s="10"/>
      <c r="CE31" s="10"/>
      <c r="CF31" s="10"/>
      <c r="CG31" s="10"/>
    </row>
    <row r="32" spans="1:85" ht="15.75" customHeight="1">
      <c r="A32" s="1"/>
      <c r="B32" s="117" t="s">
        <v>277</v>
      </c>
      <c r="C32" s="100" t="s">
        <v>278</v>
      </c>
      <c r="D32" s="118"/>
      <c r="E32" s="91"/>
      <c r="F32" s="65"/>
      <c r="G32" s="94" t="s">
        <v>112</v>
      </c>
      <c r="H32" s="94" t="s">
        <v>112</v>
      </c>
      <c r="I32" s="94" t="s">
        <v>112</v>
      </c>
      <c r="J32" s="94" t="s">
        <v>112</v>
      </c>
      <c r="K32" s="94" t="s">
        <v>112</v>
      </c>
      <c r="L32" s="65"/>
      <c r="M32" s="91" t="s">
        <v>11</v>
      </c>
      <c r="N32" s="91" t="s">
        <v>12</v>
      </c>
      <c r="O32" s="92" t="s">
        <v>2325</v>
      </c>
      <c r="P32" s="91" t="s">
        <v>13</v>
      </c>
      <c r="Q32" s="113" t="s">
        <v>2286</v>
      </c>
      <c r="R32" s="91"/>
      <c r="S32" s="91"/>
      <c r="T32" s="91"/>
      <c r="U32" s="91"/>
      <c r="V32" s="65"/>
      <c r="W32" s="91"/>
      <c r="X32" s="91"/>
      <c r="Y32" s="91"/>
      <c r="Z32" s="91"/>
      <c r="AA32" s="91"/>
      <c r="AB32" s="91"/>
      <c r="AC32" s="91"/>
      <c r="AD32" s="65"/>
      <c r="AE32" s="94" t="s">
        <v>112</v>
      </c>
      <c r="AF32" s="94" t="s">
        <v>112</v>
      </c>
      <c r="AG32" s="65"/>
      <c r="AH32" s="94" t="s">
        <v>227</v>
      </c>
      <c r="AI32" s="119">
        <v>55850281100182</v>
      </c>
      <c r="AJ32" s="119"/>
      <c r="AK32" s="104" t="s">
        <v>2315</v>
      </c>
      <c r="AL32" s="65"/>
      <c r="AM32" s="91"/>
      <c r="AN32" s="91"/>
      <c r="AO32" s="91"/>
      <c r="AP32" s="91"/>
      <c r="AQ32" s="65"/>
      <c r="AR32" s="91"/>
      <c r="AS32" s="91"/>
      <c r="AT32" s="91"/>
      <c r="AU32" s="91"/>
      <c r="AV32" s="65"/>
      <c r="AW32" s="94" t="s">
        <v>227</v>
      </c>
      <c r="AX32" s="119">
        <v>55850281100182</v>
      </c>
      <c r="AY32" s="94" t="s">
        <v>229</v>
      </c>
      <c r="AZ32" s="104" t="s">
        <v>230</v>
      </c>
      <c r="BA32" s="65"/>
      <c r="BB32" s="91"/>
      <c r="BC32" s="91"/>
      <c r="BD32" s="91"/>
      <c r="BE32" s="91"/>
      <c r="BF32" s="65"/>
      <c r="BG32" s="91"/>
      <c r="BH32" s="91"/>
      <c r="BI32" s="91"/>
      <c r="BJ32" s="91"/>
      <c r="BK32" s="65"/>
      <c r="BL32" s="94" t="s">
        <v>231</v>
      </c>
      <c r="BM32" s="119">
        <v>55850281100091</v>
      </c>
      <c r="BN32" s="94" t="s">
        <v>233</v>
      </c>
      <c r="BO32" s="94"/>
      <c r="BP32" s="94" t="s">
        <v>131</v>
      </c>
      <c r="BQ32" s="65"/>
      <c r="BR32" s="91"/>
      <c r="BS32" s="91"/>
      <c r="BT32" s="91"/>
      <c r="BU32" s="91"/>
      <c r="BV32" s="65"/>
      <c r="BW32" s="94" t="s">
        <v>231</v>
      </c>
      <c r="BX32" s="119">
        <v>55850281100091</v>
      </c>
      <c r="BY32" s="94" t="s">
        <v>233</v>
      </c>
      <c r="BZ32" s="119"/>
      <c r="CA32" s="94" t="s">
        <v>131</v>
      </c>
      <c r="CB32" s="94" t="s">
        <v>132</v>
      </c>
      <c r="CC32" s="65"/>
      <c r="CD32" s="91"/>
      <c r="CE32" s="91"/>
      <c r="CF32" s="91"/>
      <c r="CG32" s="91"/>
    </row>
    <row r="33" spans="1:85" ht="15.75" customHeight="1">
      <c r="B33" s="148" t="s">
        <v>280</v>
      </c>
      <c r="C33" s="81" t="s">
        <v>2326</v>
      </c>
      <c r="D33" s="106" t="s">
        <v>281</v>
      </c>
      <c r="E33" s="10"/>
      <c r="F33" s="82"/>
      <c r="G33" s="83" t="s">
        <v>112</v>
      </c>
      <c r="H33" s="83" t="s">
        <v>112</v>
      </c>
      <c r="I33" s="83" t="s">
        <v>112</v>
      </c>
      <c r="J33" s="83" t="s">
        <v>112</v>
      </c>
      <c r="K33" s="83" t="s">
        <v>112</v>
      </c>
      <c r="L33" s="82"/>
      <c r="M33" s="10" t="s">
        <v>11</v>
      </c>
      <c r="N33" s="10" t="s">
        <v>12</v>
      </c>
      <c r="O33" s="84" t="s">
        <v>2327</v>
      </c>
      <c r="P33" s="10" t="s">
        <v>13</v>
      </c>
      <c r="Q33" s="114" t="s">
        <v>2286</v>
      </c>
      <c r="R33" s="10"/>
      <c r="S33" s="10"/>
      <c r="T33" s="10"/>
      <c r="U33" s="10"/>
      <c r="V33" s="82"/>
      <c r="W33" s="10"/>
      <c r="X33" s="10"/>
      <c r="Y33" s="10"/>
      <c r="Z33" s="10"/>
      <c r="AA33" s="10"/>
      <c r="AB33" s="10"/>
      <c r="AC33" s="10"/>
      <c r="AD33" s="82"/>
      <c r="AE33" s="83" t="s">
        <v>112</v>
      </c>
      <c r="AF33" s="83" t="s">
        <v>112</v>
      </c>
      <c r="AG33" s="82"/>
      <c r="AH33" s="107"/>
      <c r="AI33" s="107"/>
      <c r="AJ33" s="107"/>
      <c r="AK33" s="107"/>
      <c r="AL33" s="82"/>
      <c r="AM33" s="10"/>
      <c r="AN33" s="10"/>
      <c r="AO33" s="10"/>
      <c r="AP33" s="10"/>
      <c r="AQ33" s="82"/>
      <c r="AR33" s="10"/>
      <c r="AS33" s="10"/>
      <c r="AT33" s="10"/>
      <c r="AU33" s="10"/>
      <c r="AV33" s="82"/>
      <c r="AW33" s="83" t="s">
        <v>283</v>
      </c>
      <c r="AX33" s="107" t="s">
        <v>284</v>
      </c>
      <c r="AY33" s="83" t="s">
        <v>285</v>
      </c>
      <c r="AZ33" s="107"/>
      <c r="BA33" s="82"/>
      <c r="BB33" s="10"/>
      <c r="BC33" s="10"/>
      <c r="BD33" s="10"/>
      <c r="BE33" s="10"/>
      <c r="BF33" s="82"/>
      <c r="BG33" s="10"/>
      <c r="BH33" s="10"/>
      <c r="BI33" s="10"/>
      <c r="BJ33" s="10"/>
      <c r="BK33" s="82"/>
      <c r="BL33" s="83" t="s">
        <v>283</v>
      </c>
      <c r="BM33" s="107" t="s">
        <v>284</v>
      </c>
      <c r="BN33" s="83" t="s">
        <v>285</v>
      </c>
      <c r="BO33" s="83"/>
      <c r="BP33" s="107" t="s">
        <v>165</v>
      </c>
      <c r="BQ33" s="82"/>
      <c r="BR33" s="10"/>
      <c r="BS33" s="10"/>
      <c r="BT33" s="10"/>
      <c r="BU33" s="10"/>
      <c r="BV33" s="82"/>
      <c r="BW33" s="83" t="s">
        <v>283</v>
      </c>
      <c r="BX33" s="107" t="s">
        <v>284</v>
      </c>
      <c r="BY33" s="83" t="s">
        <v>285</v>
      </c>
      <c r="BZ33" s="107"/>
      <c r="CA33" s="107" t="s">
        <v>146</v>
      </c>
      <c r="CB33" s="83" t="s">
        <v>2328</v>
      </c>
      <c r="CC33" s="82"/>
      <c r="CD33" s="10"/>
      <c r="CE33" s="10"/>
      <c r="CF33" s="10"/>
      <c r="CG33" s="10"/>
    </row>
    <row r="34" spans="1:85" ht="15.75" customHeight="1">
      <c r="B34" s="149"/>
      <c r="C34" s="81" t="s">
        <v>2326</v>
      </c>
      <c r="D34" s="106" t="s">
        <v>281</v>
      </c>
      <c r="E34" s="10"/>
      <c r="F34" s="82"/>
      <c r="G34" s="83" t="s">
        <v>112</v>
      </c>
      <c r="H34" s="83" t="s">
        <v>112</v>
      </c>
      <c r="I34" s="83" t="s">
        <v>112</v>
      </c>
      <c r="J34" s="83" t="s">
        <v>112</v>
      </c>
      <c r="K34" s="83" t="s">
        <v>112</v>
      </c>
      <c r="L34" s="82"/>
      <c r="M34" s="10" t="s">
        <v>11</v>
      </c>
      <c r="N34" s="10" t="s">
        <v>12</v>
      </c>
      <c r="O34" s="84" t="s">
        <v>2329</v>
      </c>
      <c r="P34" s="10" t="s">
        <v>13</v>
      </c>
      <c r="Q34" s="114" t="s">
        <v>2286</v>
      </c>
      <c r="R34" s="10"/>
      <c r="S34" s="10"/>
      <c r="T34" s="10"/>
      <c r="U34" s="10"/>
      <c r="V34" s="82"/>
      <c r="W34" s="10"/>
      <c r="X34" s="10"/>
      <c r="Y34" s="10"/>
      <c r="Z34" s="10"/>
      <c r="AA34" s="10"/>
      <c r="AB34" s="10"/>
      <c r="AC34" s="10"/>
      <c r="AD34" s="82"/>
      <c r="AE34" s="83" t="s">
        <v>112</v>
      </c>
      <c r="AF34" s="83" t="s">
        <v>112</v>
      </c>
      <c r="AG34" s="82"/>
      <c r="AH34" s="107"/>
      <c r="AI34" s="107"/>
      <c r="AJ34" s="107"/>
      <c r="AK34" s="107"/>
      <c r="AL34" s="82"/>
      <c r="AM34" s="10"/>
      <c r="AN34" s="10"/>
      <c r="AO34" s="10"/>
      <c r="AP34" s="10"/>
      <c r="AQ34" s="82"/>
      <c r="AR34" s="10"/>
      <c r="AS34" s="10"/>
      <c r="AT34" s="10"/>
      <c r="AU34" s="10"/>
      <c r="AV34" s="82"/>
      <c r="AW34" s="83" t="s">
        <v>283</v>
      </c>
      <c r="AX34" s="107" t="s">
        <v>284</v>
      </c>
      <c r="AY34" s="83" t="s">
        <v>285</v>
      </c>
      <c r="AZ34" s="107"/>
      <c r="BA34" s="82"/>
      <c r="BB34" s="10"/>
      <c r="BC34" s="10"/>
      <c r="BD34" s="10"/>
      <c r="BE34" s="10"/>
      <c r="BF34" s="82"/>
      <c r="BG34" s="10"/>
      <c r="BH34" s="10"/>
      <c r="BI34" s="10"/>
      <c r="BJ34" s="10"/>
      <c r="BK34" s="82"/>
      <c r="BL34" s="83" t="s">
        <v>287</v>
      </c>
      <c r="BM34" s="107" t="s">
        <v>284</v>
      </c>
      <c r="BN34" s="83" t="s">
        <v>288</v>
      </c>
      <c r="BO34" s="83"/>
      <c r="BP34" s="107" t="s">
        <v>165</v>
      </c>
      <c r="BQ34" s="82"/>
      <c r="BR34" s="10"/>
      <c r="BS34" s="10"/>
      <c r="BT34" s="10"/>
      <c r="BU34" s="10"/>
      <c r="BV34" s="82"/>
      <c r="BW34" s="83" t="s">
        <v>287</v>
      </c>
      <c r="BX34" s="107" t="s">
        <v>284</v>
      </c>
      <c r="BY34" s="83" t="s">
        <v>288</v>
      </c>
      <c r="BZ34" s="107"/>
      <c r="CA34" s="107" t="s">
        <v>146</v>
      </c>
      <c r="CB34" s="83" t="s">
        <v>2328</v>
      </c>
      <c r="CC34" s="82"/>
      <c r="CD34" s="10"/>
      <c r="CE34" s="10"/>
      <c r="CF34" s="10"/>
      <c r="CG34" s="10"/>
    </row>
    <row r="35" spans="1:85" ht="15.75" customHeight="1">
      <c r="A35" s="1"/>
      <c r="B35" s="100" t="s">
        <v>289</v>
      </c>
      <c r="C35" s="111" t="s">
        <v>290</v>
      </c>
      <c r="D35" s="115" t="s">
        <v>2330</v>
      </c>
      <c r="E35" s="91"/>
      <c r="F35" s="65"/>
      <c r="G35" s="91"/>
      <c r="H35" s="91"/>
      <c r="I35" s="91"/>
      <c r="J35" s="91"/>
      <c r="K35" s="91"/>
      <c r="L35" s="65"/>
      <c r="M35" s="91" t="s">
        <v>11</v>
      </c>
      <c r="N35" s="91" t="s">
        <v>12</v>
      </c>
      <c r="O35" s="92" t="s">
        <v>2331</v>
      </c>
      <c r="P35" s="91" t="s">
        <v>13</v>
      </c>
      <c r="Q35" s="113" t="s">
        <v>2286</v>
      </c>
      <c r="R35" s="91"/>
      <c r="S35" s="91"/>
      <c r="T35" s="91"/>
      <c r="U35" s="91"/>
      <c r="V35" s="65"/>
      <c r="W35" s="91"/>
      <c r="X35" s="91"/>
      <c r="Y35" s="91"/>
      <c r="Z35" s="91"/>
      <c r="AA35" s="91"/>
      <c r="AB35" s="91"/>
      <c r="AC35" s="91"/>
      <c r="AD35" s="65"/>
      <c r="AE35" s="94" t="s">
        <v>112</v>
      </c>
      <c r="AF35" s="94" t="s">
        <v>112</v>
      </c>
      <c r="AG35" s="65"/>
      <c r="AH35" s="94" t="s">
        <v>113</v>
      </c>
      <c r="AI35" s="103">
        <v>39933934000016</v>
      </c>
      <c r="AJ35" s="103"/>
      <c r="AK35" s="94" t="s">
        <v>2294</v>
      </c>
      <c r="AL35" s="65"/>
      <c r="AM35" s="91"/>
      <c r="AN35" s="91"/>
      <c r="AO35" s="91"/>
      <c r="AP35" s="91"/>
      <c r="AQ35" s="65"/>
      <c r="AR35" s="91"/>
      <c r="AS35" s="91"/>
      <c r="AT35" s="91"/>
      <c r="AU35" s="91"/>
      <c r="AV35" s="65"/>
      <c r="AW35" s="94" t="s">
        <v>113</v>
      </c>
      <c r="AX35" s="103">
        <v>39933934000016</v>
      </c>
      <c r="AY35" s="94" t="s">
        <v>114</v>
      </c>
      <c r="AZ35" s="104" t="s">
        <v>115</v>
      </c>
      <c r="BA35" s="65"/>
      <c r="BB35" s="91"/>
      <c r="BC35" s="91"/>
      <c r="BD35" s="91"/>
      <c r="BE35" s="91"/>
      <c r="BF35" s="65"/>
      <c r="BG35" s="91"/>
      <c r="BH35" s="91"/>
      <c r="BI35" s="91"/>
      <c r="BJ35" s="91"/>
      <c r="BK35" s="65"/>
      <c r="BL35" s="94" t="s">
        <v>113</v>
      </c>
      <c r="BM35" s="103">
        <v>39933934000016</v>
      </c>
      <c r="BN35" s="94" t="s">
        <v>114</v>
      </c>
      <c r="BO35" s="94"/>
      <c r="BP35" s="94" t="s">
        <v>215</v>
      </c>
      <c r="BQ35" s="65"/>
      <c r="BR35" s="91"/>
      <c r="BS35" s="91"/>
      <c r="BT35" s="91"/>
      <c r="BU35" s="91"/>
      <c r="BV35" s="65"/>
      <c r="BW35" s="102" t="s">
        <v>130</v>
      </c>
      <c r="BX35" s="103"/>
      <c r="BY35" s="94"/>
      <c r="BZ35" s="103"/>
      <c r="CA35" s="94" t="s">
        <v>293</v>
      </c>
      <c r="CB35" s="105" t="s">
        <v>294</v>
      </c>
      <c r="CC35" s="65"/>
      <c r="CD35" s="91"/>
      <c r="CE35" s="91"/>
      <c r="CF35" s="91"/>
      <c r="CG35" s="91"/>
    </row>
    <row r="36" spans="1:85" ht="15.75" customHeight="1">
      <c r="B36" s="98" t="s">
        <v>2332</v>
      </c>
      <c r="C36" s="81" t="s">
        <v>1435</v>
      </c>
      <c r="D36" s="106" t="s">
        <v>2333</v>
      </c>
      <c r="E36" s="10"/>
      <c r="F36" s="82"/>
      <c r="G36" s="83" t="s">
        <v>112</v>
      </c>
      <c r="H36" s="83" t="s">
        <v>112</v>
      </c>
      <c r="I36" s="83" t="s">
        <v>112</v>
      </c>
      <c r="J36" s="83" t="s">
        <v>112</v>
      </c>
      <c r="K36" s="83" t="s">
        <v>112</v>
      </c>
      <c r="L36" s="82"/>
      <c r="M36" s="10" t="s">
        <v>11</v>
      </c>
      <c r="N36" s="10" t="s">
        <v>12</v>
      </c>
      <c r="O36" s="84" t="s">
        <v>2334</v>
      </c>
      <c r="P36" s="10" t="s">
        <v>13</v>
      </c>
      <c r="Q36" s="114" t="s">
        <v>2286</v>
      </c>
      <c r="R36" s="10"/>
      <c r="S36" s="10"/>
      <c r="T36" s="10"/>
      <c r="U36" s="10"/>
      <c r="V36" s="82"/>
      <c r="W36" s="10"/>
      <c r="X36" s="10"/>
      <c r="Y36" s="10"/>
      <c r="Z36" s="10"/>
      <c r="AA36" s="10"/>
      <c r="AB36" s="10"/>
      <c r="AC36" s="10"/>
      <c r="AD36" s="82"/>
      <c r="AE36" s="83" t="s">
        <v>112</v>
      </c>
      <c r="AF36" s="83" t="s">
        <v>112</v>
      </c>
      <c r="AG36" s="82"/>
      <c r="AH36" s="107"/>
      <c r="AI36" s="107"/>
      <c r="AJ36" s="107"/>
      <c r="AK36" s="107"/>
      <c r="AL36" s="82"/>
      <c r="AM36" s="10"/>
      <c r="AN36" s="10"/>
      <c r="AO36" s="10"/>
      <c r="AP36" s="10"/>
      <c r="AQ36" s="82"/>
      <c r="AR36" s="10"/>
      <c r="AS36" s="10"/>
      <c r="AT36" s="10"/>
      <c r="AU36" s="10"/>
      <c r="AV36" s="82"/>
      <c r="AW36" s="83" t="s">
        <v>297</v>
      </c>
      <c r="AX36" s="107">
        <v>42196220000018</v>
      </c>
      <c r="AY36" s="83" t="s">
        <v>298</v>
      </c>
      <c r="AZ36" s="107"/>
      <c r="BA36" s="82"/>
      <c r="BB36" s="10"/>
      <c r="BC36" s="10"/>
      <c r="BD36" s="10"/>
      <c r="BE36" s="10"/>
      <c r="BF36" s="82"/>
      <c r="BG36" s="10"/>
      <c r="BH36" s="10"/>
      <c r="BI36" s="10"/>
      <c r="BJ36" s="10"/>
      <c r="BK36" s="82"/>
      <c r="BL36" s="83" t="s">
        <v>299</v>
      </c>
      <c r="BM36" s="107"/>
      <c r="BN36" s="83" t="s">
        <v>2335</v>
      </c>
      <c r="BO36" s="83"/>
      <c r="BP36" s="107"/>
      <c r="BQ36" s="82"/>
      <c r="BR36" s="10"/>
      <c r="BS36" s="10"/>
      <c r="BT36" s="10"/>
      <c r="BU36" s="10"/>
      <c r="BV36" s="82"/>
      <c r="BW36" s="83" t="s">
        <v>299</v>
      </c>
      <c r="BX36" s="107"/>
      <c r="BY36" s="83" t="s">
        <v>2335</v>
      </c>
      <c r="BZ36" s="107"/>
      <c r="CA36" s="107"/>
      <c r="CB36" s="83"/>
      <c r="CC36" s="82"/>
      <c r="CD36" s="10"/>
      <c r="CE36" s="10"/>
      <c r="CF36" s="10"/>
      <c r="CG36" s="10"/>
    </row>
    <row r="37" spans="1:85" ht="15.75" customHeight="1">
      <c r="A37" s="1"/>
      <c r="B37" s="117" t="s">
        <v>301</v>
      </c>
      <c r="C37" s="100" t="s">
        <v>302</v>
      </c>
      <c r="D37" s="120" t="s">
        <v>303</v>
      </c>
      <c r="E37" s="91"/>
      <c r="F37" s="65"/>
      <c r="G37" s="94" t="s">
        <v>112</v>
      </c>
      <c r="H37" s="94" t="s">
        <v>112</v>
      </c>
      <c r="I37" s="94" t="s">
        <v>112</v>
      </c>
      <c r="J37" s="94" t="s">
        <v>112</v>
      </c>
      <c r="K37" s="94" t="s">
        <v>112</v>
      </c>
      <c r="L37" s="65"/>
      <c r="M37" s="91" t="s">
        <v>11</v>
      </c>
      <c r="N37" s="91" t="s">
        <v>12</v>
      </c>
      <c r="O37" s="92" t="s">
        <v>2336</v>
      </c>
      <c r="P37" s="91" t="s">
        <v>13</v>
      </c>
      <c r="Q37" s="113" t="s">
        <v>2286</v>
      </c>
      <c r="R37" s="91"/>
      <c r="S37" s="91"/>
      <c r="T37" s="91"/>
      <c r="U37" s="91"/>
      <c r="V37" s="65"/>
      <c r="W37" s="91"/>
      <c r="X37" s="91"/>
      <c r="Y37" s="91"/>
      <c r="Z37" s="91"/>
      <c r="AA37" s="91"/>
      <c r="AB37" s="91"/>
      <c r="AC37" s="91"/>
      <c r="AD37" s="65"/>
      <c r="AE37" s="94" t="s">
        <v>112</v>
      </c>
      <c r="AF37" s="94" t="s">
        <v>112</v>
      </c>
      <c r="AG37" s="65"/>
      <c r="AH37" s="94" t="s">
        <v>227</v>
      </c>
      <c r="AI37" s="119">
        <v>55850281100182</v>
      </c>
      <c r="AJ37" s="119"/>
      <c r="AK37" s="104" t="s">
        <v>2315</v>
      </c>
      <c r="AL37" s="65"/>
      <c r="AM37" s="91"/>
      <c r="AN37" s="91"/>
      <c r="AO37" s="91"/>
      <c r="AP37" s="91"/>
      <c r="AQ37" s="65"/>
      <c r="AR37" s="91"/>
      <c r="AS37" s="91"/>
      <c r="AT37" s="91"/>
      <c r="AU37" s="91"/>
      <c r="AV37" s="65"/>
      <c r="AW37" s="94" t="s">
        <v>227</v>
      </c>
      <c r="AX37" s="119">
        <v>55850281100182</v>
      </c>
      <c r="AY37" s="94" t="s">
        <v>229</v>
      </c>
      <c r="AZ37" s="104" t="s">
        <v>230</v>
      </c>
      <c r="BA37" s="65"/>
      <c r="BB37" s="91"/>
      <c r="BC37" s="91"/>
      <c r="BD37" s="91"/>
      <c r="BE37" s="91"/>
      <c r="BF37" s="65"/>
      <c r="BG37" s="91"/>
      <c r="BH37" s="91"/>
      <c r="BI37" s="91"/>
      <c r="BJ37" s="91"/>
      <c r="BK37" s="65"/>
      <c r="BL37" s="94" t="s">
        <v>231</v>
      </c>
      <c r="BM37" s="119">
        <v>55850281100091</v>
      </c>
      <c r="BN37" s="94" t="s">
        <v>233</v>
      </c>
      <c r="BO37" s="94"/>
      <c r="BP37" s="94" t="s">
        <v>308</v>
      </c>
      <c r="BQ37" s="65"/>
      <c r="BR37" s="91"/>
      <c r="BS37" s="91"/>
      <c r="BT37" s="91"/>
      <c r="BU37" s="91"/>
      <c r="BV37" s="65"/>
      <c r="BW37" s="94" t="s">
        <v>231</v>
      </c>
      <c r="BX37" s="119">
        <v>55850281100091</v>
      </c>
      <c r="BY37" s="94" t="s">
        <v>233</v>
      </c>
      <c r="BZ37" s="119"/>
      <c r="CA37" s="94" t="s">
        <v>308</v>
      </c>
      <c r="CB37" s="94" t="s">
        <v>309</v>
      </c>
      <c r="CC37" s="65"/>
      <c r="CD37" s="91"/>
      <c r="CE37" s="91"/>
      <c r="CF37" s="91"/>
      <c r="CG37" s="91"/>
    </row>
    <row r="38" spans="1:85" ht="15.75" customHeight="1">
      <c r="B38" s="36"/>
      <c r="D38" s="36"/>
      <c r="F38" s="43"/>
      <c r="L38" s="43"/>
      <c r="Q38" s="43"/>
      <c r="V38" s="43"/>
      <c r="AD38" s="43"/>
      <c r="AG38" s="43"/>
      <c r="AL38" s="43"/>
      <c r="AQ38" s="43"/>
      <c r="AV38" s="43"/>
      <c r="BA38" s="43"/>
      <c r="BF38" s="43"/>
      <c r="BK38" s="43"/>
      <c r="BQ38" s="43"/>
      <c r="BV38" s="43"/>
      <c r="CC38" s="43"/>
    </row>
    <row r="39" spans="1:85" ht="15.75" customHeight="1">
      <c r="B39" s="36"/>
      <c r="D39" s="36"/>
      <c r="F39" s="43"/>
      <c r="L39" s="43"/>
      <c r="Q39" s="43"/>
      <c r="V39" s="43"/>
      <c r="AD39" s="43"/>
      <c r="AG39" s="43"/>
      <c r="AL39" s="43"/>
      <c r="AQ39" s="43"/>
      <c r="AV39" s="43"/>
      <c r="BA39" s="43"/>
      <c r="BF39" s="43"/>
      <c r="BK39" s="43"/>
      <c r="BQ39" s="43"/>
      <c r="BV39" s="43"/>
      <c r="CC39" s="43"/>
    </row>
    <row r="40" spans="1:85" ht="15.75" customHeight="1">
      <c r="B40" s="36"/>
      <c r="D40" s="36"/>
      <c r="F40" s="43"/>
      <c r="L40" s="43"/>
      <c r="Q40" s="43"/>
      <c r="V40" s="43"/>
      <c r="AD40" s="43"/>
      <c r="AG40" s="43"/>
      <c r="AL40" s="43"/>
      <c r="AQ40" s="43"/>
      <c r="AV40" s="43"/>
      <c r="BA40" s="43"/>
      <c r="BF40" s="43"/>
      <c r="BK40" s="43"/>
      <c r="BQ40" s="43"/>
      <c r="BV40" s="43"/>
      <c r="CC40" s="43"/>
    </row>
    <row r="41" spans="1:85" ht="15.75" customHeight="1">
      <c r="B41" s="36"/>
      <c r="D41" s="36"/>
      <c r="F41" s="43"/>
      <c r="L41" s="43"/>
      <c r="Q41" s="43"/>
      <c r="V41" s="43"/>
      <c r="AD41" s="43"/>
      <c r="AG41" s="43"/>
      <c r="AL41" s="43"/>
      <c r="AQ41" s="43"/>
      <c r="AV41" s="43"/>
      <c r="BA41" s="43"/>
      <c r="BF41" s="43"/>
      <c r="BK41" s="43"/>
      <c r="BQ41" s="43"/>
      <c r="BV41" s="43"/>
      <c r="CC41" s="43"/>
    </row>
    <row r="42" spans="1:85" ht="15.75" customHeight="1">
      <c r="B42" s="36"/>
      <c r="D42" s="36"/>
      <c r="F42" s="43"/>
      <c r="L42" s="43"/>
      <c r="Q42" s="43"/>
      <c r="V42" s="43"/>
      <c r="AD42" s="43"/>
      <c r="AG42" s="43"/>
      <c r="AL42" s="43"/>
      <c r="AQ42" s="43"/>
      <c r="AV42" s="43"/>
      <c r="BA42" s="43"/>
      <c r="BF42" s="43"/>
      <c r="BK42" s="43"/>
      <c r="BQ42" s="43"/>
      <c r="BV42" s="43"/>
      <c r="CC42" s="43"/>
    </row>
    <row r="43" spans="1:85" ht="15.75" customHeight="1">
      <c r="B43" s="36"/>
      <c r="D43" s="36"/>
      <c r="F43" s="43"/>
      <c r="L43" s="43"/>
      <c r="Q43" s="43"/>
      <c r="V43" s="43"/>
      <c r="AD43" s="43"/>
      <c r="AG43" s="43"/>
      <c r="AL43" s="43"/>
      <c r="AQ43" s="43"/>
      <c r="AV43" s="43"/>
      <c r="BA43" s="43"/>
      <c r="BF43" s="43"/>
      <c r="BK43" s="43"/>
      <c r="BQ43" s="43"/>
      <c r="BV43" s="43"/>
      <c r="CC43" s="43"/>
    </row>
    <row r="44" spans="1:85" ht="15.75" customHeight="1">
      <c r="B44" s="36"/>
      <c r="D44" s="36"/>
      <c r="F44" s="43"/>
      <c r="L44" s="43"/>
      <c r="Q44" s="43"/>
      <c r="V44" s="43"/>
      <c r="AD44" s="43"/>
      <c r="AG44" s="43"/>
      <c r="AL44" s="43"/>
      <c r="AQ44" s="43"/>
      <c r="AV44" s="43"/>
      <c r="BA44" s="43"/>
      <c r="BF44" s="43"/>
      <c r="BK44" s="43"/>
      <c r="BQ44" s="43"/>
      <c r="BV44" s="43"/>
      <c r="CC44" s="43"/>
    </row>
    <row r="45" spans="1:85" ht="15.75" customHeight="1">
      <c r="B45" s="36"/>
      <c r="D45" s="36"/>
      <c r="F45" s="43"/>
      <c r="L45" s="43"/>
      <c r="Q45" s="43"/>
      <c r="V45" s="43"/>
      <c r="AD45" s="43"/>
      <c r="AG45" s="43"/>
      <c r="AL45" s="43"/>
      <c r="AQ45" s="43"/>
      <c r="AV45" s="43"/>
      <c r="BA45" s="43"/>
      <c r="BF45" s="43"/>
      <c r="BK45" s="43"/>
      <c r="BQ45" s="43"/>
      <c r="BV45" s="43"/>
      <c r="CC45" s="43"/>
    </row>
    <row r="46" spans="1:85" ht="15.75" customHeight="1">
      <c r="B46" s="36"/>
      <c r="D46" s="36"/>
      <c r="F46" s="43"/>
      <c r="L46" s="43"/>
      <c r="Q46" s="43"/>
      <c r="V46" s="43"/>
      <c r="AD46" s="43"/>
      <c r="AG46" s="43"/>
      <c r="AL46" s="43"/>
      <c r="AQ46" s="43"/>
      <c r="AV46" s="43"/>
      <c r="BA46" s="43"/>
      <c r="BF46" s="43"/>
      <c r="BK46" s="43"/>
      <c r="BQ46" s="43"/>
      <c r="BV46" s="43"/>
      <c r="CC46" s="43"/>
    </row>
    <row r="47" spans="1:85" ht="15.75" customHeight="1">
      <c r="B47" s="36"/>
      <c r="D47" s="36"/>
      <c r="F47" s="43"/>
      <c r="L47" s="43"/>
      <c r="Q47" s="43"/>
      <c r="V47" s="43"/>
      <c r="AD47" s="43"/>
      <c r="AG47" s="43"/>
      <c r="AL47" s="43"/>
      <c r="AQ47" s="43"/>
      <c r="AV47" s="43"/>
      <c r="BA47" s="43"/>
      <c r="BF47" s="43"/>
      <c r="BK47" s="43"/>
      <c r="BQ47" s="43"/>
      <c r="BV47" s="43"/>
      <c r="CC47" s="43"/>
    </row>
    <row r="48" spans="1:85" ht="15.75" customHeight="1">
      <c r="B48" s="36"/>
      <c r="D48" s="36"/>
      <c r="F48" s="43"/>
      <c r="L48" s="43"/>
      <c r="Q48" s="43"/>
      <c r="V48" s="43"/>
      <c r="AD48" s="43"/>
      <c r="AG48" s="43"/>
      <c r="AL48" s="43"/>
      <c r="AQ48" s="43"/>
      <c r="AV48" s="43"/>
      <c r="BA48" s="43"/>
      <c r="BF48" s="43"/>
      <c r="BK48" s="43"/>
      <c r="BQ48" s="43"/>
      <c r="BV48" s="43"/>
      <c r="CC48" s="43"/>
    </row>
    <row r="49" spans="2:81" ht="15.75" customHeight="1">
      <c r="B49" s="36"/>
      <c r="D49" s="36"/>
      <c r="F49" s="43"/>
      <c r="L49" s="43"/>
      <c r="Q49" s="43"/>
      <c r="V49" s="43"/>
      <c r="AD49" s="43"/>
      <c r="AG49" s="43"/>
      <c r="AL49" s="43"/>
      <c r="AQ49" s="43"/>
      <c r="AV49" s="43"/>
      <c r="BA49" s="43"/>
      <c r="BF49" s="43"/>
      <c r="BK49" s="43"/>
      <c r="BQ49" s="43"/>
      <c r="BV49" s="43"/>
      <c r="CC49" s="43"/>
    </row>
    <row r="50" spans="2:81" ht="15.75" customHeight="1">
      <c r="B50" s="36"/>
      <c r="D50" s="36"/>
      <c r="F50" s="43"/>
      <c r="L50" s="43"/>
      <c r="Q50" s="43"/>
      <c r="V50" s="43"/>
      <c r="AD50" s="43"/>
      <c r="AG50" s="43"/>
      <c r="AL50" s="43"/>
      <c r="AQ50" s="43"/>
      <c r="AV50" s="43"/>
      <c r="BA50" s="43"/>
      <c r="BF50" s="43"/>
      <c r="BK50" s="43"/>
      <c r="BQ50" s="43"/>
      <c r="BV50" s="43"/>
      <c r="CC50" s="43"/>
    </row>
    <row r="51" spans="2:81" ht="15.75" customHeight="1">
      <c r="B51" s="36"/>
      <c r="D51" s="36"/>
      <c r="F51" s="43"/>
      <c r="L51" s="43"/>
      <c r="Q51" s="43"/>
      <c r="V51" s="43"/>
      <c r="AD51" s="43"/>
      <c r="AG51" s="43"/>
      <c r="AL51" s="43"/>
      <c r="AQ51" s="43"/>
      <c r="AV51" s="43"/>
      <c r="BA51" s="43"/>
      <c r="BF51" s="43"/>
      <c r="BK51" s="43"/>
      <c r="BQ51" s="43"/>
      <c r="BV51" s="43"/>
      <c r="CC51" s="43"/>
    </row>
    <row r="52" spans="2:81" ht="15.75" customHeight="1">
      <c r="B52" s="36"/>
      <c r="D52" s="36"/>
      <c r="F52" s="43"/>
      <c r="L52" s="43"/>
      <c r="Q52" s="43"/>
      <c r="V52" s="43"/>
      <c r="AD52" s="43"/>
      <c r="AG52" s="43"/>
      <c r="AL52" s="43"/>
      <c r="AQ52" s="43"/>
      <c r="AV52" s="43"/>
      <c r="BA52" s="43"/>
      <c r="BF52" s="43"/>
      <c r="BK52" s="43"/>
      <c r="BQ52" s="43"/>
      <c r="BV52" s="43"/>
      <c r="CC52" s="43"/>
    </row>
    <row r="53" spans="2:81" ht="15.75" customHeight="1">
      <c r="B53" s="36"/>
      <c r="D53" s="36"/>
      <c r="F53" s="43"/>
      <c r="L53" s="43"/>
      <c r="Q53" s="43"/>
      <c r="V53" s="43"/>
      <c r="AD53" s="43"/>
      <c r="AG53" s="43"/>
      <c r="AL53" s="43"/>
      <c r="AQ53" s="43"/>
      <c r="AV53" s="43"/>
      <c r="BA53" s="43"/>
      <c r="BF53" s="43"/>
      <c r="BK53" s="43"/>
      <c r="BQ53" s="43"/>
      <c r="BV53" s="43"/>
      <c r="CC53" s="43"/>
    </row>
    <row r="54" spans="2:81" ht="15.75" customHeight="1">
      <c r="B54" s="36"/>
      <c r="D54" s="36"/>
      <c r="F54" s="43"/>
      <c r="L54" s="43"/>
      <c r="Q54" s="43"/>
      <c r="V54" s="43"/>
      <c r="AD54" s="43"/>
      <c r="AG54" s="43"/>
      <c r="AL54" s="43"/>
      <c r="AQ54" s="43"/>
      <c r="AV54" s="43"/>
      <c r="BA54" s="43"/>
      <c r="BF54" s="43"/>
      <c r="BK54" s="43"/>
      <c r="BQ54" s="43"/>
      <c r="BV54" s="43"/>
      <c r="CC54" s="43"/>
    </row>
    <row r="55" spans="2:81" ht="15.75" customHeight="1">
      <c r="B55" s="36"/>
      <c r="D55" s="36"/>
      <c r="F55" s="43"/>
      <c r="L55" s="43"/>
      <c r="Q55" s="43"/>
      <c r="V55" s="43"/>
      <c r="AD55" s="43"/>
      <c r="AG55" s="43"/>
      <c r="AL55" s="43"/>
      <c r="AQ55" s="43"/>
      <c r="AV55" s="43"/>
      <c r="BA55" s="43"/>
      <c r="BF55" s="43"/>
      <c r="BK55" s="43"/>
      <c r="BQ55" s="43"/>
      <c r="BV55" s="43"/>
      <c r="CC55" s="43"/>
    </row>
    <row r="56" spans="2:81" ht="15.75" customHeight="1">
      <c r="B56" s="36"/>
      <c r="D56" s="36"/>
      <c r="F56" s="43"/>
      <c r="L56" s="43"/>
      <c r="Q56" s="43"/>
      <c r="V56" s="43"/>
      <c r="AD56" s="43"/>
      <c r="AG56" s="43"/>
      <c r="AL56" s="43"/>
      <c r="AQ56" s="43"/>
      <c r="AV56" s="43"/>
      <c r="BA56" s="43"/>
      <c r="BF56" s="43"/>
      <c r="BK56" s="43"/>
      <c r="BQ56" s="43"/>
      <c r="BV56" s="43"/>
      <c r="CC56" s="43"/>
    </row>
    <row r="57" spans="2:81" ht="15.75" customHeight="1">
      <c r="B57" s="36"/>
      <c r="D57" s="36"/>
      <c r="F57" s="43"/>
      <c r="L57" s="43"/>
      <c r="Q57" s="43"/>
      <c r="V57" s="43"/>
      <c r="AD57" s="43"/>
      <c r="AG57" s="43"/>
      <c r="AL57" s="43"/>
      <c r="AQ57" s="43"/>
      <c r="AV57" s="43"/>
      <c r="BA57" s="43"/>
      <c r="BF57" s="43"/>
      <c r="BK57" s="43"/>
      <c r="BQ57" s="43"/>
      <c r="BV57" s="43"/>
      <c r="CC57" s="43"/>
    </row>
    <row r="58" spans="2:81" ht="15.75" customHeight="1">
      <c r="B58" s="36"/>
      <c r="D58" s="36"/>
      <c r="F58" s="43"/>
      <c r="L58" s="43"/>
      <c r="Q58" s="43"/>
      <c r="V58" s="43"/>
      <c r="AD58" s="43"/>
      <c r="AG58" s="43"/>
      <c r="AL58" s="43"/>
      <c r="AQ58" s="43"/>
      <c r="AV58" s="43"/>
      <c r="BA58" s="43"/>
      <c r="BF58" s="43"/>
      <c r="BK58" s="43"/>
      <c r="BQ58" s="43"/>
      <c r="BV58" s="43"/>
      <c r="CC58" s="43"/>
    </row>
    <row r="59" spans="2:81" ht="15.75" customHeight="1">
      <c r="B59" s="36"/>
      <c r="D59" s="36"/>
      <c r="F59" s="43"/>
      <c r="L59" s="43"/>
      <c r="Q59" s="43"/>
      <c r="V59" s="43"/>
      <c r="AD59" s="43"/>
      <c r="AG59" s="43"/>
      <c r="AL59" s="43"/>
      <c r="AQ59" s="43"/>
      <c r="AV59" s="43"/>
      <c r="BA59" s="43"/>
      <c r="BF59" s="43"/>
      <c r="BK59" s="43"/>
      <c r="BQ59" s="43"/>
      <c r="BV59" s="43"/>
      <c r="CC59" s="43"/>
    </row>
    <row r="60" spans="2:81" ht="15.75" customHeight="1">
      <c r="B60" s="36"/>
      <c r="D60" s="36"/>
      <c r="F60" s="43"/>
      <c r="L60" s="43"/>
      <c r="Q60" s="43"/>
      <c r="V60" s="43"/>
      <c r="AD60" s="43"/>
      <c r="AG60" s="43"/>
      <c r="AL60" s="43"/>
      <c r="AQ60" s="43"/>
      <c r="AV60" s="43"/>
      <c r="BA60" s="43"/>
      <c r="BF60" s="43"/>
      <c r="BK60" s="43"/>
      <c r="BQ60" s="43"/>
      <c r="BV60" s="43"/>
      <c r="CC60" s="43"/>
    </row>
    <row r="61" spans="2:81" ht="15.75" customHeight="1">
      <c r="B61" s="36"/>
      <c r="D61" s="36"/>
      <c r="F61" s="43"/>
      <c r="L61" s="43"/>
      <c r="Q61" s="43"/>
      <c r="V61" s="43"/>
      <c r="AD61" s="43"/>
      <c r="AG61" s="43"/>
      <c r="AL61" s="43"/>
      <c r="AQ61" s="43"/>
      <c r="AV61" s="43"/>
      <c r="BA61" s="43"/>
      <c r="BF61" s="43"/>
      <c r="BK61" s="43"/>
      <c r="BQ61" s="43"/>
      <c r="BV61" s="43"/>
      <c r="CC61" s="43"/>
    </row>
    <row r="62" spans="2:81" ht="15.75" customHeight="1">
      <c r="B62" s="36"/>
      <c r="D62" s="36"/>
      <c r="F62" s="43"/>
      <c r="L62" s="43"/>
      <c r="Q62" s="43"/>
      <c r="V62" s="43"/>
      <c r="AD62" s="43"/>
      <c r="AG62" s="43"/>
      <c r="AL62" s="43"/>
      <c r="AQ62" s="43"/>
      <c r="AV62" s="43"/>
      <c r="BA62" s="43"/>
      <c r="BF62" s="43"/>
      <c r="BK62" s="43"/>
      <c r="BQ62" s="43"/>
      <c r="BV62" s="43"/>
      <c r="CC62" s="43"/>
    </row>
    <row r="63" spans="2:81" ht="15.75" customHeight="1">
      <c r="B63" s="36"/>
      <c r="D63" s="36"/>
      <c r="F63" s="43"/>
      <c r="L63" s="43"/>
      <c r="Q63" s="43"/>
      <c r="V63" s="43"/>
      <c r="AD63" s="43"/>
      <c r="AG63" s="43"/>
      <c r="AL63" s="43"/>
      <c r="AQ63" s="43"/>
      <c r="AV63" s="43"/>
      <c r="BA63" s="43"/>
      <c r="BF63" s="43"/>
      <c r="BK63" s="43"/>
      <c r="BQ63" s="43"/>
      <c r="BV63" s="43"/>
      <c r="CC63" s="43"/>
    </row>
    <row r="64" spans="2:81" ht="15.75" customHeight="1">
      <c r="B64" s="36"/>
      <c r="D64" s="36"/>
      <c r="F64" s="43"/>
      <c r="L64" s="43"/>
      <c r="Q64" s="43"/>
      <c r="V64" s="43"/>
      <c r="AD64" s="43"/>
      <c r="AG64" s="43"/>
      <c r="AL64" s="43"/>
      <c r="AQ64" s="43"/>
      <c r="AV64" s="43"/>
      <c r="BA64" s="43"/>
      <c r="BF64" s="43"/>
      <c r="BK64" s="43"/>
      <c r="BQ64" s="43"/>
      <c r="BV64" s="43"/>
      <c r="CC64" s="43"/>
    </row>
    <row r="65" spans="2:81" ht="15.75" customHeight="1">
      <c r="B65" s="36"/>
      <c r="D65" s="36"/>
      <c r="F65" s="43"/>
      <c r="L65" s="43"/>
      <c r="Q65" s="43"/>
      <c r="V65" s="43"/>
      <c r="AD65" s="43"/>
      <c r="AG65" s="43"/>
      <c r="AL65" s="43"/>
      <c r="AQ65" s="43"/>
      <c r="AV65" s="43"/>
      <c r="BA65" s="43"/>
      <c r="BF65" s="43"/>
      <c r="BK65" s="43"/>
      <c r="BQ65" s="43"/>
      <c r="BV65" s="43"/>
      <c r="CC65" s="43"/>
    </row>
    <row r="66" spans="2:81" ht="15.75" customHeight="1">
      <c r="B66" s="36"/>
      <c r="D66" s="36"/>
      <c r="F66" s="43"/>
      <c r="L66" s="43"/>
      <c r="Q66" s="43"/>
      <c r="V66" s="43"/>
      <c r="AD66" s="43"/>
      <c r="AG66" s="43"/>
      <c r="AL66" s="43"/>
      <c r="AQ66" s="43"/>
      <c r="AV66" s="43"/>
      <c r="BA66" s="43"/>
      <c r="BF66" s="43"/>
      <c r="BK66" s="43"/>
      <c r="BQ66" s="43"/>
      <c r="BV66" s="43"/>
      <c r="CC66" s="43"/>
    </row>
    <row r="67" spans="2:81" ht="15.75" customHeight="1">
      <c r="B67" s="36"/>
      <c r="D67" s="36"/>
      <c r="F67" s="43"/>
      <c r="L67" s="43"/>
      <c r="Q67" s="43"/>
      <c r="V67" s="43"/>
      <c r="AD67" s="43"/>
      <c r="AG67" s="43"/>
      <c r="AL67" s="43"/>
      <c r="AQ67" s="43"/>
      <c r="AV67" s="43"/>
      <c r="BA67" s="43"/>
      <c r="BF67" s="43"/>
      <c r="BK67" s="43"/>
      <c r="BQ67" s="43"/>
      <c r="BV67" s="43"/>
      <c r="CC67" s="43"/>
    </row>
    <row r="68" spans="2:81" ht="15.75" customHeight="1">
      <c r="B68" s="36"/>
      <c r="D68" s="36"/>
      <c r="F68" s="43"/>
      <c r="L68" s="43"/>
      <c r="Q68" s="43"/>
      <c r="V68" s="43"/>
      <c r="AD68" s="43"/>
      <c r="AG68" s="43"/>
      <c r="AL68" s="43"/>
      <c r="AQ68" s="43"/>
      <c r="AV68" s="43"/>
      <c r="BA68" s="43"/>
      <c r="BF68" s="43"/>
      <c r="BK68" s="43"/>
      <c r="BQ68" s="43"/>
      <c r="BV68" s="43"/>
      <c r="CC68" s="43"/>
    </row>
    <row r="69" spans="2:81" ht="15.75" customHeight="1">
      <c r="B69" s="36"/>
      <c r="D69" s="36"/>
      <c r="F69" s="43"/>
      <c r="L69" s="43"/>
      <c r="Q69" s="43"/>
      <c r="V69" s="43"/>
      <c r="AD69" s="43"/>
      <c r="AG69" s="43"/>
      <c r="AL69" s="43"/>
      <c r="AQ69" s="43"/>
      <c r="AV69" s="43"/>
      <c r="BA69" s="43"/>
      <c r="BF69" s="43"/>
      <c r="BK69" s="43"/>
      <c r="BQ69" s="43"/>
      <c r="BV69" s="43"/>
      <c r="CC69" s="43"/>
    </row>
    <row r="70" spans="2:81" ht="15.75" customHeight="1">
      <c r="B70" s="36"/>
      <c r="D70" s="36"/>
      <c r="F70" s="43"/>
      <c r="L70" s="43"/>
      <c r="Q70" s="43"/>
      <c r="V70" s="43"/>
      <c r="AD70" s="43"/>
      <c r="AG70" s="43"/>
      <c r="AL70" s="43"/>
      <c r="AQ70" s="43"/>
      <c r="AV70" s="43"/>
      <c r="BA70" s="43"/>
      <c r="BF70" s="43"/>
      <c r="BK70" s="43"/>
      <c r="BQ70" s="43"/>
      <c r="BV70" s="43"/>
      <c r="CC70" s="43"/>
    </row>
    <row r="71" spans="2:81" ht="15.75" customHeight="1">
      <c r="B71" s="36"/>
      <c r="D71" s="36"/>
      <c r="F71" s="43"/>
      <c r="L71" s="43"/>
      <c r="Q71" s="43"/>
      <c r="V71" s="43"/>
      <c r="AD71" s="43"/>
      <c r="AG71" s="43"/>
      <c r="AL71" s="43"/>
      <c r="AQ71" s="43"/>
      <c r="AV71" s="43"/>
      <c r="BA71" s="43"/>
      <c r="BF71" s="43"/>
      <c r="BK71" s="43"/>
      <c r="BQ71" s="43"/>
      <c r="BV71" s="43"/>
      <c r="CC71" s="43"/>
    </row>
    <row r="72" spans="2:81" ht="15.75" customHeight="1">
      <c r="B72" s="36"/>
      <c r="D72" s="36"/>
      <c r="F72" s="43"/>
      <c r="L72" s="43"/>
      <c r="Q72" s="43"/>
      <c r="V72" s="43"/>
      <c r="AD72" s="43"/>
      <c r="AG72" s="43"/>
      <c r="AL72" s="43"/>
      <c r="AQ72" s="43"/>
      <c r="AV72" s="43"/>
      <c r="BA72" s="43"/>
      <c r="BF72" s="43"/>
      <c r="BK72" s="43"/>
      <c r="BQ72" s="43"/>
      <c r="BV72" s="43"/>
      <c r="CC72" s="43"/>
    </row>
    <row r="73" spans="2:81" ht="15.75" customHeight="1">
      <c r="B73" s="36"/>
      <c r="D73" s="36"/>
      <c r="F73" s="43"/>
      <c r="L73" s="43"/>
      <c r="Q73" s="43"/>
      <c r="V73" s="43"/>
      <c r="AD73" s="43"/>
      <c r="AG73" s="43"/>
      <c r="AL73" s="43"/>
      <c r="AQ73" s="43"/>
      <c r="AV73" s="43"/>
      <c r="BA73" s="43"/>
      <c r="BF73" s="43"/>
      <c r="BK73" s="43"/>
      <c r="BQ73" s="43"/>
      <c r="BV73" s="43"/>
      <c r="CC73" s="43"/>
    </row>
    <row r="74" spans="2:81" ht="15.75" customHeight="1">
      <c r="B74" s="36"/>
      <c r="D74" s="36"/>
      <c r="F74" s="43"/>
      <c r="L74" s="43"/>
      <c r="Q74" s="43"/>
      <c r="V74" s="43"/>
      <c r="AD74" s="43"/>
      <c r="AG74" s="43"/>
      <c r="AL74" s="43"/>
      <c r="AQ74" s="43"/>
      <c r="AV74" s="43"/>
      <c r="BA74" s="43"/>
      <c r="BF74" s="43"/>
      <c r="BK74" s="43"/>
      <c r="BQ74" s="43"/>
      <c r="BV74" s="43"/>
      <c r="CC74" s="43"/>
    </row>
    <row r="75" spans="2:81" ht="15.75" customHeight="1">
      <c r="B75" s="36"/>
      <c r="D75" s="36"/>
      <c r="F75" s="43"/>
      <c r="L75" s="43"/>
      <c r="Q75" s="43"/>
      <c r="V75" s="43"/>
      <c r="AD75" s="43"/>
      <c r="AG75" s="43"/>
      <c r="AL75" s="43"/>
      <c r="AQ75" s="43"/>
      <c r="AV75" s="43"/>
      <c r="BA75" s="43"/>
      <c r="BF75" s="43"/>
      <c r="BK75" s="43"/>
      <c r="BQ75" s="43"/>
      <c r="BV75" s="43"/>
      <c r="CC75" s="43"/>
    </row>
    <row r="76" spans="2:81" ht="15.75" customHeight="1">
      <c r="B76" s="36"/>
      <c r="D76" s="36"/>
      <c r="F76" s="43"/>
      <c r="L76" s="43"/>
      <c r="Q76" s="43"/>
      <c r="V76" s="43"/>
      <c r="AD76" s="43"/>
      <c r="AG76" s="43"/>
      <c r="AL76" s="43"/>
      <c r="AQ76" s="43"/>
      <c r="AV76" s="43"/>
      <c r="BA76" s="43"/>
      <c r="BF76" s="43"/>
      <c r="BK76" s="43"/>
      <c r="BQ76" s="43"/>
      <c r="BV76" s="43"/>
      <c r="CC76" s="43"/>
    </row>
    <row r="77" spans="2:81" ht="15.75" customHeight="1">
      <c r="B77" s="36"/>
      <c r="D77" s="36"/>
      <c r="F77" s="43"/>
      <c r="L77" s="43"/>
      <c r="Q77" s="43"/>
      <c r="V77" s="43"/>
      <c r="AD77" s="43"/>
      <c r="AG77" s="43"/>
      <c r="AL77" s="43"/>
      <c r="AQ77" s="43"/>
      <c r="AV77" s="43"/>
      <c r="BA77" s="43"/>
      <c r="BF77" s="43"/>
      <c r="BK77" s="43"/>
      <c r="BQ77" s="43"/>
      <c r="BV77" s="43"/>
      <c r="CC77" s="43"/>
    </row>
    <row r="78" spans="2:81" ht="15.75" customHeight="1">
      <c r="B78" s="36"/>
      <c r="D78" s="36"/>
      <c r="F78" s="43"/>
      <c r="L78" s="43"/>
      <c r="Q78" s="43"/>
      <c r="V78" s="43"/>
      <c r="AD78" s="43"/>
      <c r="AG78" s="43"/>
      <c r="AL78" s="43"/>
      <c r="AQ78" s="43"/>
      <c r="AV78" s="43"/>
      <c r="BA78" s="43"/>
      <c r="BF78" s="43"/>
      <c r="BK78" s="43"/>
      <c r="BQ78" s="43"/>
      <c r="BV78" s="43"/>
      <c r="CC78" s="43"/>
    </row>
    <row r="79" spans="2:81" ht="15.75" customHeight="1">
      <c r="B79" s="36"/>
      <c r="D79" s="36"/>
      <c r="F79" s="43"/>
      <c r="L79" s="43"/>
      <c r="Q79" s="43"/>
      <c r="V79" s="43"/>
      <c r="AD79" s="43"/>
      <c r="AG79" s="43"/>
      <c r="AL79" s="43"/>
      <c r="AQ79" s="43"/>
      <c r="AV79" s="43"/>
      <c r="BA79" s="43"/>
      <c r="BF79" s="43"/>
      <c r="BK79" s="43"/>
      <c r="BQ79" s="43"/>
      <c r="BV79" s="43"/>
      <c r="CC79" s="43"/>
    </row>
    <row r="80" spans="2:81" ht="15.75" customHeight="1">
      <c r="B80" s="36"/>
      <c r="D80" s="36"/>
      <c r="F80" s="43"/>
      <c r="L80" s="43"/>
      <c r="Q80" s="43"/>
      <c r="V80" s="43"/>
      <c r="AD80" s="43"/>
      <c r="AG80" s="43"/>
      <c r="AL80" s="43"/>
      <c r="AQ80" s="43"/>
      <c r="AV80" s="43"/>
      <c r="BA80" s="43"/>
      <c r="BF80" s="43"/>
      <c r="BK80" s="43"/>
      <c r="BQ80" s="43"/>
      <c r="BV80" s="43"/>
      <c r="CC80" s="43"/>
    </row>
    <row r="81" spans="2:81" ht="15.75" customHeight="1">
      <c r="B81" s="36"/>
      <c r="D81" s="36"/>
      <c r="F81" s="43"/>
      <c r="L81" s="43"/>
      <c r="Q81" s="43"/>
      <c r="V81" s="43"/>
      <c r="AD81" s="43"/>
      <c r="AG81" s="43"/>
      <c r="AL81" s="43"/>
      <c r="AQ81" s="43"/>
      <c r="AV81" s="43"/>
      <c r="BA81" s="43"/>
      <c r="BF81" s="43"/>
      <c r="BK81" s="43"/>
      <c r="BQ81" s="43"/>
      <c r="BV81" s="43"/>
      <c r="CC81" s="43"/>
    </row>
    <row r="82" spans="2:81" ht="15.75" customHeight="1">
      <c r="B82" s="36"/>
      <c r="D82" s="36"/>
      <c r="F82" s="43"/>
      <c r="L82" s="43"/>
      <c r="Q82" s="43"/>
      <c r="V82" s="43"/>
      <c r="AD82" s="43"/>
      <c r="AG82" s="43"/>
      <c r="AL82" s="43"/>
      <c r="AQ82" s="43"/>
      <c r="AV82" s="43"/>
      <c r="BA82" s="43"/>
      <c r="BF82" s="43"/>
      <c r="BK82" s="43"/>
      <c r="BQ82" s="43"/>
      <c r="BV82" s="43"/>
      <c r="CC82" s="43"/>
    </row>
    <row r="83" spans="2:81" ht="15.75" customHeight="1">
      <c r="B83" s="36"/>
      <c r="D83" s="36"/>
      <c r="F83" s="43"/>
      <c r="L83" s="43"/>
      <c r="Q83" s="43"/>
      <c r="V83" s="43"/>
      <c r="AD83" s="43"/>
      <c r="AG83" s="43"/>
      <c r="AL83" s="43"/>
      <c r="AQ83" s="43"/>
      <c r="AV83" s="43"/>
      <c r="BA83" s="43"/>
      <c r="BF83" s="43"/>
      <c r="BK83" s="43"/>
      <c r="BQ83" s="43"/>
      <c r="BV83" s="43"/>
      <c r="CC83" s="43"/>
    </row>
    <row r="84" spans="2:81" ht="15.75" customHeight="1">
      <c r="B84" s="36"/>
      <c r="D84" s="36"/>
      <c r="F84" s="43"/>
      <c r="L84" s="43"/>
      <c r="Q84" s="43"/>
      <c r="V84" s="43"/>
      <c r="AD84" s="43"/>
      <c r="AG84" s="43"/>
      <c r="AL84" s="43"/>
      <c r="AQ84" s="43"/>
      <c r="AV84" s="43"/>
      <c r="BA84" s="43"/>
      <c r="BF84" s="43"/>
      <c r="BK84" s="43"/>
      <c r="BQ84" s="43"/>
      <c r="BV84" s="43"/>
      <c r="CC84" s="43"/>
    </row>
    <row r="85" spans="2:81" ht="15.75" customHeight="1">
      <c r="B85" s="36"/>
      <c r="D85" s="36"/>
      <c r="F85" s="43"/>
      <c r="L85" s="43"/>
      <c r="Q85" s="43"/>
      <c r="V85" s="43"/>
      <c r="AD85" s="43"/>
      <c r="AG85" s="43"/>
      <c r="AL85" s="43"/>
      <c r="AQ85" s="43"/>
      <c r="AV85" s="43"/>
      <c r="BA85" s="43"/>
      <c r="BF85" s="43"/>
      <c r="BK85" s="43"/>
      <c r="BQ85" s="43"/>
      <c r="BV85" s="43"/>
      <c r="CC85" s="43"/>
    </row>
    <row r="86" spans="2:81" ht="15.75" customHeight="1">
      <c r="B86" s="36"/>
      <c r="D86" s="36"/>
      <c r="F86" s="43"/>
      <c r="L86" s="43"/>
      <c r="Q86" s="43"/>
      <c r="V86" s="43"/>
      <c r="AD86" s="43"/>
      <c r="AG86" s="43"/>
      <c r="AL86" s="43"/>
      <c r="AQ86" s="43"/>
      <c r="AV86" s="43"/>
      <c r="BA86" s="43"/>
      <c r="BF86" s="43"/>
      <c r="BK86" s="43"/>
      <c r="BQ86" s="43"/>
      <c r="BV86" s="43"/>
      <c r="CC86" s="43"/>
    </row>
    <row r="87" spans="2:81" ht="15.75" customHeight="1">
      <c r="B87" s="36"/>
      <c r="D87" s="36"/>
      <c r="F87" s="43"/>
      <c r="L87" s="43"/>
      <c r="Q87" s="43"/>
      <c r="V87" s="43"/>
      <c r="AD87" s="43"/>
      <c r="AG87" s="43"/>
      <c r="AL87" s="43"/>
      <c r="AQ87" s="43"/>
      <c r="AV87" s="43"/>
      <c r="BA87" s="43"/>
      <c r="BF87" s="43"/>
      <c r="BK87" s="43"/>
      <c r="BQ87" s="43"/>
      <c r="BV87" s="43"/>
      <c r="CC87" s="43"/>
    </row>
    <row r="88" spans="2:81" ht="15.75" customHeight="1">
      <c r="B88" s="36"/>
      <c r="D88" s="36"/>
      <c r="F88" s="43"/>
      <c r="L88" s="43"/>
      <c r="Q88" s="43"/>
      <c r="V88" s="43"/>
      <c r="AD88" s="43"/>
      <c r="AG88" s="43"/>
      <c r="AL88" s="43"/>
      <c r="AQ88" s="43"/>
      <c r="AV88" s="43"/>
      <c r="BA88" s="43"/>
      <c r="BF88" s="43"/>
      <c r="BK88" s="43"/>
      <c r="BQ88" s="43"/>
      <c r="BV88" s="43"/>
      <c r="CC88" s="43"/>
    </row>
    <row r="89" spans="2:81" ht="15.75" customHeight="1">
      <c r="B89" s="36"/>
      <c r="D89" s="36"/>
      <c r="F89" s="43"/>
      <c r="L89" s="43"/>
      <c r="Q89" s="43"/>
      <c r="V89" s="43"/>
      <c r="AD89" s="43"/>
      <c r="AG89" s="43"/>
      <c r="AL89" s="43"/>
      <c r="AQ89" s="43"/>
      <c r="AV89" s="43"/>
      <c r="BA89" s="43"/>
      <c r="BF89" s="43"/>
      <c r="BK89" s="43"/>
      <c r="BQ89" s="43"/>
      <c r="BV89" s="43"/>
      <c r="CC89" s="43"/>
    </row>
    <row r="90" spans="2:81" ht="15.75" customHeight="1">
      <c r="B90" s="36"/>
      <c r="D90" s="36"/>
      <c r="F90" s="43"/>
      <c r="L90" s="43"/>
      <c r="Q90" s="43"/>
      <c r="V90" s="43"/>
      <c r="AD90" s="43"/>
      <c r="AG90" s="43"/>
      <c r="AL90" s="43"/>
      <c r="AQ90" s="43"/>
      <c r="AV90" s="43"/>
      <c r="BA90" s="43"/>
      <c r="BF90" s="43"/>
      <c r="BK90" s="43"/>
      <c r="BQ90" s="43"/>
      <c r="BV90" s="43"/>
      <c r="CC90" s="43"/>
    </row>
    <row r="91" spans="2:81" ht="15.75" customHeight="1">
      <c r="B91" s="36"/>
      <c r="D91" s="36"/>
      <c r="F91" s="43"/>
      <c r="L91" s="43"/>
      <c r="Q91" s="43"/>
      <c r="V91" s="43"/>
      <c r="AD91" s="43"/>
      <c r="AG91" s="43"/>
      <c r="AL91" s="43"/>
      <c r="AQ91" s="43"/>
      <c r="AV91" s="43"/>
      <c r="BA91" s="43"/>
      <c r="BF91" s="43"/>
      <c r="BK91" s="43"/>
      <c r="BQ91" s="43"/>
      <c r="BV91" s="43"/>
      <c r="CC91" s="43"/>
    </row>
    <row r="92" spans="2:81" ht="15.75" customHeight="1">
      <c r="B92" s="36"/>
      <c r="D92" s="36"/>
      <c r="F92" s="43"/>
      <c r="L92" s="43"/>
      <c r="Q92" s="43"/>
      <c r="V92" s="43"/>
      <c r="AD92" s="43"/>
      <c r="AG92" s="43"/>
      <c r="AL92" s="43"/>
      <c r="AQ92" s="43"/>
      <c r="AV92" s="43"/>
      <c r="BA92" s="43"/>
      <c r="BF92" s="43"/>
      <c r="BK92" s="43"/>
      <c r="BQ92" s="43"/>
      <c r="BV92" s="43"/>
      <c r="CC92" s="43"/>
    </row>
    <row r="93" spans="2:81" ht="15.75" customHeight="1">
      <c r="B93" s="36"/>
      <c r="D93" s="36"/>
      <c r="F93" s="43"/>
      <c r="L93" s="43"/>
      <c r="Q93" s="43"/>
      <c r="V93" s="43"/>
      <c r="AD93" s="43"/>
      <c r="AG93" s="43"/>
      <c r="AL93" s="43"/>
      <c r="AQ93" s="43"/>
      <c r="AV93" s="43"/>
      <c r="BA93" s="43"/>
      <c r="BF93" s="43"/>
      <c r="BK93" s="43"/>
      <c r="BQ93" s="43"/>
      <c r="BV93" s="43"/>
      <c r="CC93" s="43"/>
    </row>
    <row r="94" spans="2:81" ht="15.75" customHeight="1">
      <c r="B94" s="36"/>
      <c r="D94" s="36"/>
      <c r="F94" s="43"/>
      <c r="L94" s="43"/>
      <c r="Q94" s="43"/>
      <c r="V94" s="43"/>
      <c r="AD94" s="43"/>
      <c r="AG94" s="43"/>
      <c r="AL94" s="43"/>
      <c r="AQ94" s="43"/>
      <c r="AV94" s="43"/>
      <c r="BA94" s="43"/>
      <c r="BF94" s="43"/>
      <c r="BK94" s="43"/>
      <c r="BQ94" s="43"/>
      <c r="BV94" s="43"/>
      <c r="CC94" s="43"/>
    </row>
    <row r="95" spans="2:81" ht="15.75" customHeight="1">
      <c r="B95" s="36"/>
      <c r="D95" s="36"/>
      <c r="F95" s="43"/>
      <c r="L95" s="43"/>
      <c r="Q95" s="43"/>
      <c r="V95" s="43"/>
      <c r="AD95" s="43"/>
      <c r="AG95" s="43"/>
      <c r="AL95" s="43"/>
      <c r="AQ95" s="43"/>
      <c r="AV95" s="43"/>
      <c r="BA95" s="43"/>
      <c r="BF95" s="43"/>
      <c r="BK95" s="43"/>
      <c r="BQ95" s="43"/>
      <c r="BV95" s="43"/>
      <c r="CC95" s="43"/>
    </row>
    <row r="96" spans="2:81" ht="15.75" customHeight="1">
      <c r="B96" s="36"/>
      <c r="D96" s="36"/>
      <c r="F96" s="43"/>
      <c r="L96" s="43"/>
      <c r="Q96" s="43"/>
      <c r="V96" s="43"/>
      <c r="AD96" s="43"/>
      <c r="AG96" s="43"/>
      <c r="AL96" s="43"/>
      <c r="AQ96" s="43"/>
      <c r="AV96" s="43"/>
      <c r="BA96" s="43"/>
      <c r="BF96" s="43"/>
      <c r="BK96" s="43"/>
      <c r="BQ96" s="43"/>
      <c r="BV96" s="43"/>
      <c r="CC96" s="43"/>
    </row>
    <row r="97" spans="2:81" ht="15.75" customHeight="1">
      <c r="B97" s="36"/>
      <c r="D97" s="36"/>
      <c r="F97" s="43"/>
      <c r="L97" s="43"/>
      <c r="Q97" s="43"/>
      <c r="V97" s="43"/>
      <c r="AD97" s="43"/>
      <c r="AG97" s="43"/>
      <c r="AL97" s="43"/>
      <c r="AQ97" s="43"/>
      <c r="AV97" s="43"/>
      <c r="BA97" s="43"/>
      <c r="BF97" s="43"/>
      <c r="BK97" s="43"/>
      <c r="BQ97" s="43"/>
      <c r="BV97" s="43"/>
      <c r="CC97" s="43"/>
    </row>
    <row r="98" spans="2:81" ht="15.75" customHeight="1">
      <c r="B98" s="36"/>
      <c r="D98" s="36"/>
      <c r="F98" s="43"/>
      <c r="L98" s="43"/>
      <c r="Q98" s="43"/>
      <c r="V98" s="43"/>
      <c r="AD98" s="43"/>
      <c r="AG98" s="43"/>
      <c r="AL98" s="43"/>
      <c r="AQ98" s="43"/>
      <c r="AV98" s="43"/>
      <c r="BA98" s="43"/>
      <c r="BF98" s="43"/>
      <c r="BK98" s="43"/>
      <c r="BQ98" s="43"/>
      <c r="BV98" s="43"/>
      <c r="CC98" s="43"/>
    </row>
    <row r="99" spans="2:81" ht="15.75" customHeight="1">
      <c r="B99" s="36"/>
      <c r="D99" s="36"/>
      <c r="F99" s="43"/>
      <c r="L99" s="43"/>
      <c r="Q99" s="43"/>
      <c r="V99" s="43"/>
      <c r="AD99" s="43"/>
      <c r="AG99" s="43"/>
      <c r="AL99" s="43"/>
      <c r="AQ99" s="43"/>
      <c r="AV99" s="43"/>
      <c r="BA99" s="43"/>
      <c r="BF99" s="43"/>
      <c r="BK99" s="43"/>
      <c r="BQ99" s="43"/>
      <c r="BV99" s="43"/>
      <c r="CC99" s="43"/>
    </row>
    <row r="100" spans="2:81" ht="15.75" customHeight="1">
      <c r="B100" s="36"/>
      <c r="D100" s="36"/>
      <c r="F100" s="43"/>
      <c r="L100" s="43"/>
      <c r="Q100" s="43"/>
      <c r="V100" s="43"/>
      <c r="AD100" s="43"/>
      <c r="AG100" s="43"/>
      <c r="AL100" s="43"/>
      <c r="AQ100" s="43"/>
      <c r="AV100" s="43"/>
      <c r="BA100" s="43"/>
      <c r="BF100" s="43"/>
      <c r="BK100" s="43"/>
      <c r="BQ100" s="43"/>
      <c r="BV100" s="43"/>
      <c r="CC100" s="43"/>
    </row>
    <row r="101" spans="2:81" ht="15.75" customHeight="1">
      <c r="B101" s="36"/>
      <c r="D101" s="36"/>
      <c r="F101" s="43"/>
      <c r="L101" s="43"/>
      <c r="Q101" s="43"/>
      <c r="V101" s="43"/>
      <c r="AD101" s="43"/>
      <c r="AG101" s="43"/>
      <c r="AL101" s="43"/>
      <c r="AQ101" s="43"/>
      <c r="AV101" s="43"/>
      <c r="BA101" s="43"/>
      <c r="BF101" s="43"/>
      <c r="BK101" s="43"/>
      <c r="BQ101" s="43"/>
      <c r="BV101" s="43"/>
      <c r="CC101" s="43"/>
    </row>
    <row r="102" spans="2:81" ht="15.75" customHeight="1">
      <c r="B102" s="36"/>
      <c r="D102" s="36"/>
      <c r="F102" s="43"/>
      <c r="L102" s="43"/>
      <c r="Q102" s="43"/>
      <c r="V102" s="43"/>
      <c r="AD102" s="43"/>
      <c r="AG102" s="43"/>
      <c r="AL102" s="43"/>
      <c r="AQ102" s="43"/>
      <c r="AV102" s="43"/>
      <c r="BA102" s="43"/>
      <c r="BF102" s="43"/>
      <c r="BK102" s="43"/>
      <c r="BQ102" s="43"/>
      <c r="BV102" s="43"/>
      <c r="CC102" s="43"/>
    </row>
    <row r="103" spans="2:81" ht="15.75" customHeight="1">
      <c r="B103" s="36"/>
      <c r="D103" s="36"/>
      <c r="F103" s="43"/>
      <c r="L103" s="43"/>
      <c r="Q103" s="43"/>
      <c r="V103" s="43"/>
      <c r="AD103" s="43"/>
      <c r="AG103" s="43"/>
      <c r="AL103" s="43"/>
      <c r="AQ103" s="43"/>
      <c r="AV103" s="43"/>
      <c r="BA103" s="43"/>
      <c r="BF103" s="43"/>
      <c r="BK103" s="43"/>
      <c r="BQ103" s="43"/>
      <c r="BV103" s="43"/>
      <c r="CC103" s="43"/>
    </row>
    <row r="104" spans="2:81" ht="15.75" customHeight="1">
      <c r="B104" s="36"/>
      <c r="D104" s="36"/>
      <c r="F104" s="43"/>
      <c r="L104" s="43"/>
      <c r="Q104" s="43"/>
      <c r="V104" s="43"/>
      <c r="AD104" s="43"/>
      <c r="AG104" s="43"/>
      <c r="AL104" s="43"/>
      <c r="AQ104" s="43"/>
      <c r="AV104" s="43"/>
      <c r="BA104" s="43"/>
      <c r="BF104" s="43"/>
      <c r="BK104" s="43"/>
      <c r="BQ104" s="43"/>
      <c r="BV104" s="43"/>
      <c r="CC104" s="43"/>
    </row>
    <row r="105" spans="2:81" ht="15.75" customHeight="1">
      <c r="B105" s="36"/>
      <c r="D105" s="36"/>
      <c r="F105" s="43"/>
      <c r="L105" s="43"/>
      <c r="Q105" s="43"/>
      <c r="V105" s="43"/>
      <c r="AD105" s="43"/>
      <c r="AG105" s="43"/>
      <c r="AL105" s="43"/>
      <c r="AQ105" s="43"/>
      <c r="AV105" s="43"/>
      <c r="BA105" s="43"/>
      <c r="BF105" s="43"/>
      <c r="BK105" s="43"/>
      <c r="BQ105" s="43"/>
      <c r="BV105" s="43"/>
      <c r="CC105" s="43"/>
    </row>
    <row r="106" spans="2:81" ht="15.75" customHeight="1">
      <c r="B106" s="36"/>
      <c r="D106" s="36"/>
      <c r="F106" s="43"/>
      <c r="L106" s="43"/>
      <c r="Q106" s="43"/>
      <c r="V106" s="43"/>
      <c r="AD106" s="43"/>
      <c r="AG106" s="43"/>
      <c r="AL106" s="43"/>
      <c r="AQ106" s="43"/>
      <c r="AV106" s="43"/>
      <c r="BA106" s="43"/>
      <c r="BF106" s="43"/>
      <c r="BK106" s="43"/>
      <c r="BQ106" s="43"/>
      <c r="BV106" s="43"/>
      <c r="CC106" s="43"/>
    </row>
    <row r="107" spans="2:81" ht="15.75" customHeight="1">
      <c r="B107" s="36"/>
      <c r="D107" s="36"/>
      <c r="F107" s="43"/>
      <c r="L107" s="43"/>
      <c r="Q107" s="43"/>
      <c r="V107" s="43"/>
      <c r="AD107" s="43"/>
      <c r="AG107" s="43"/>
      <c r="AL107" s="43"/>
      <c r="AQ107" s="43"/>
      <c r="AV107" s="43"/>
      <c r="BA107" s="43"/>
      <c r="BF107" s="43"/>
      <c r="BK107" s="43"/>
      <c r="BQ107" s="43"/>
      <c r="BV107" s="43"/>
      <c r="CC107" s="43"/>
    </row>
    <row r="108" spans="2:81" ht="15.75" customHeight="1">
      <c r="B108" s="36"/>
      <c r="D108" s="36"/>
      <c r="F108" s="43"/>
      <c r="L108" s="43"/>
      <c r="Q108" s="43"/>
      <c r="V108" s="43"/>
      <c r="AD108" s="43"/>
      <c r="AG108" s="43"/>
      <c r="AL108" s="43"/>
      <c r="AQ108" s="43"/>
      <c r="AV108" s="43"/>
      <c r="BA108" s="43"/>
      <c r="BF108" s="43"/>
      <c r="BK108" s="43"/>
      <c r="BQ108" s="43"/>
      <c r="BV108" s="43"/>
      <c r="CC108" s="43"/>
    </row>
    <row r="109" spans="2:81" ht="15.75" customHeight="1">
      <c r="B109" s="36"/>
      <c r="D109" s="36"/>
      <c r="F109" s="43"/>
      <c r="L109" s="43"/>
      <c r="Q109" s="43"/>
      <c r="V109" s="43"/>
      <c r="AD109" s="43"/>
      <c r="AG109" s="43"/>
      <c r="AL109" s="43"/>
      <c r="AQ109" s="43"/>
      <c r="AV109" s="43"/>
      <c r="BA109" s="43"/>
      <c r="BF109" s="43"/>
      <c r="BK109" s="43"/>
      <c r="BQ109" s="43"/>
      <c r="BV109" s="43"/>
      <c r="CC109" s="43"/>
    </row>
    <row r="110" spans="2:81" ht="15.75" customHeight="1">
      <c r="B110" s="36"/>
      <c r="D110" s="36"/>
      <c r="F110" s="43"/>
      <c r="L110" s="43"/>
      <c r="Q110" s="43"/>
      <c r="V110" s="43"/>
      <c r="AD110" s="43"/>
      <c r="AG110" s="43"/>
      <c r="AL110" s="43"/>
      <c r="AQ110" s="43"/>
      <c r="AV110" s="43"/>
      <c r="BA110" s="43"/>
      <c r="BF110" s="43"/>
      <c r="BK110" s="43"/>
      <c r="BQ110" s="43"/>
      <c r="BV110" s="43"/>
      <c r="CC110" s="43"/>
    </row>
    <row r="111" spans="2:81" ht="15.75" customHeight="1">
      <c r="B111" s="36"/>
      <c r="D111" s="36"/>
      <c r="F111" s="43"/>
      <c r="L111" s="43"/>
      <c r="Q111" s="43"/>
      <c r="V111" s="43"/>
      <c r="AD111" s="43"/>
      <c r="AG111" s="43"/>
      <c r="AL111" s="43"/>
      <c r="AQ111" s="43"/>
      <c r="AV111" s="43"/>
      <c r="BA111" s="43"/>
      <c r="BF111" s="43"/>
      <c r="BK111" s="43"/>
      <c r="BQ111" s="43"/>
      <c r="BV111" s="43"/>
      <c r="CC111" s="43"/>
    </row>
    <row r="112" spans="2:81" ht="15.75" customHeight="1">
      <c r="B112" s="36"/>
      <c r="D112" s="36"/>
      <c r="F112" s="43"/>
      <c r="L112" s="43"/>
      <c r="Q112" s="43"/>
      <c r="V112" s="43"/>
      <c r="AD112" s="43"/>
      <c r="AG112" s="43"/>
      <c r="AL112" s="43"/>
      <c r="AQ112" s="43"/>
      <c r="AV112" s="43"/>
      <c r="BA112" s="43"/>
      <c r="BF112" s="43"/>
      <c r="BK112" s="43"/>
      <c r="BQ112" s="43"/>
      <c r="BV112" s="43"/>
      <c r="CC112" s="43"/>
    </row>
    <row r="113" spans="2:81" ht="15.75" customHeight="1">
      <c r="B113" s="36"/>
      <c r="D113" s="36"/>
      <c r="F113" s="43"/>
      <c r="L113" s="43"/>
      <c r="Q113" s="43"/>
      <c r="V113" s="43"/>
      <c r="AD113" s="43"/>
      <c r="AG113" s="43"/>
      <c r="AL113" s="43"/>
      <c r="AQ113" s="43"/>
      <c r="AV113" s="43"/>
      <c r="BA113" s="43"/>
      <c r="BF113" s="43"/>
      <c r="BK113" s="43"/>
      <c r="BQ113" s="43"/>
      <c r="BV113" s="43"/>
      <c r="CC113" s="43"/>
    </row>
    <row r="114" spans="2:81" ht="15.75" customHeight="1">
      <c r="B114" s="36"/>
      <c r="D114" s="36"/>
      <c r="F114" s="43"/>
      <c r="L114" s="43"/>
      <c r="Q114" s="43"/>
      <c r="V114" s="43"/>
      <c r="AD114" s="43"/>
      <c r="AG114" s="43"/>
      <c r="AL114" s="43"/>
      <c r="AQ114" s="43"/>
      <c r="AV114" s="43"/>
      <c r="BA114" s="43"/>
      <c r="BF114" s="43"/>
      <c r="BK114" s="43"/>
      <c r="BQ114" s="43"/>
      <c r="BV114" s="43"/>
      <c r="CC114" s="43"/>
    </row>
    <row r="115" spans="2:81" ht="15.75" customHeight="1">
      <c r="B115" s="36"/>
      <c r="D115" s="36"/>
      <c r="F115" s="43"/>
      <c r="L115" s="43"/>
      <c r="Q115" s="43"/>
      <c r="V115" s="43"/>
      <c r="AD115" s="43"/>
      <c r="AG115" s="43"/>
      <c r="AL115" s="43"/>
      <c r="AQ115" s="43"/>
      <c r="AV115" s="43"/>
      <c r="BA115" s="43"/>
      <c r="BF115" s="43"/>
      <c r="BK115" s="43"/>
      <c r="BQ115" s="43"/>
      <c r="BV115" s="43"/>
      <c r="CC115" s="43"/>
    </row>
    <row r="116" spans="2:81" ht="15.75" customHeight="1">
      <c r="B116" s="36"/>
      <c r="D116" s="36"/>
      <c r="F116" s="43"/>
      <c r="L116" s="43"/>
      <c r="Q116" s="43"/>
      <c r="V116" s="43"/>
      <c r="AD116" s="43"/>
      <c r="AG116" s="43"/>
      <c r="AL116" s="43"/>
      <c r="AQ116" s="43"/>
      <c r="AV116" s="43"/>
      <c r="BA116" s="43"/>
      <c r="BF116" s="43"/>
      <c r="BK116" s="43"/>
      <c r="BQ116" s="43"/>
      <c r="BV116" s="43"/>
      <c r="CC116" s="43"/>
    </row>
    <row r="117" spans="2:81" ht="15.75" customHeight="1">
      <c r="B117" s="36"/>
      <c r="D117" s="36"/>
      <c r="F117" s="43"/>
      <c r="L117" s="43"/>
      <c r="Q117" s="43"/>
      <c r="V117" s="43"/>
      <c r="AD117" s="43"/>
      <c r="AG117" s="43"/>
      <c r="AL117" s="43"/>
      <c r="AQ117" s="43"/>
      <c r="AV117" s="43"/>
      <c r="BA117" s="43"/>
      <c r="BF117" s="43"/>
      <c r="BK117" s="43"/>
      <c r="BQ117" s="43"/>
      <c r="BV117" s="43"/>
      <c r="CC117" s="43"/>
    </row>
    <row r="118" spans="2:81" ht="15.75" customHeight="1">
      <c r="B118" s="36"/>
      <c r="D118" s="36"/>
      <c r="F118" s="43"/>
      <c r="L118" s="43"/>
      <c r="Q118" s="43"/>
      <c r="V118" s="43"/>
      <c r="AD118" s="43"/>
      <c r="AG118" s="43"/>
      <c r="AL118" s="43"/>
      <c r="AQ118" s="43"/>
      <c r="AV118" s="43"/>
      <c r="BA118" s="43"/>
      <c r="BF118" s="43"/>
      <c r="BK118" s="43"/>
      <c r="BQ118" s="43"/>
      <c r="BV118" s="43"/>
      <c r="CC118" s="43"/>
    </row>
    <row r="119" spans="2:81" ht="15.75" customHeight="1">
      <c r="B119" s="36"/>
      <c r="D119" s="36"/>
      <c r="F119" s="43"/>
      <c r="L119" s="43"/>
      <c r="Q119" s="43"/>
      <c r="V119" s="43"/>
      <c r="AD119" s="43"/>
      <c r="AG119" s="43"/>
      <c r="AL119" s="43"/>
      <c r="AQ119" s="43"/>
      <c r="AV119" s="43"/>
      <c r="BA119" s="43"/>
      <c r="BF119" s="43"/>
      <c r="BK119" s="43"/>
      <c r="BQ119" s="43"/>
      <c r="BV119" s="43"/>
      <c r="CC119" s="43"/>
    </row>
    <row r="120" spans="2:81" ht="15.75" customHeight="1">
      <c r="B120" s="36"/>
      <c r="D120" s="36"/>
      <c r="F120" s="43"/>
      <c r="L120" s="43"/>
      <c r="Q120" s="43"/>
      <c r="V120" s="43"/>
      <c r="AD120" s="43"/>
      <c r="AG120" s="43"/>
      <c r="AL120" s="43"/>
      <c r="AQ120" s="43"/>
      <c r="AV120" s="43"/>
      <c r="BA120" s="43"/>
      <c r="BF120" s="43"/>
      <c r="BK120" s="43"/>
      <c r="BQ120" s="43"/>
      <c r="BV120" s="43"/>
      <c r="CC120" s="43"/>
    </row>
    <row r="121" spans="2:81" ht="15.75" customHeight="1">
      <c r="B121" s="36"/>
      <c r="D121" s="36"/>
      <c r="F121" s="43"/>
      <c r="L121" s="43"/>
      <c r="Q121" s="43"/>
      <c r="V121" s="43"/>
      <c r="AD121" s="43"/>
      <c r="AG121" s="43"/>
      <c r="AL121" s="43"/>
      <c r="AQ121" s="43"/>
      <c r="AV121" s="43"/>
      <c r="BA121" s="43"/>
      <c r="BF121" s="43"/>
      <c r="BK121" s="43"/>
      <c r="BQ121" s="43"/>
      <c r="BV121" s="43"/>
      <c r="CC121" s="43"/>
    </row>
    <row r="122" spans="2:81" ht="15.75" customHeight="1">
      <c r="B122" s="36"/>
      <c r="D122" s="36"/>
      <c r="F122" s="43"/>
      <c r="L122" s="43"/>
      <c r="Q122" s="43"/>
      <c r="V122" s="43"/>
      <c r="AD122" s="43"/>
      <c r="AG122" s="43"/>
      <c r="AL122" s="43"/>
      <c r="AQ122" s="43"/>
      <c r="AV122" s="43"/>
      <c r="BA122" s="43"/>
      <c r="BF122" s="43"/>
      <c r="BK122" s="43"/>
      <c r="BQ122" s="43"/>
      <c r="BV122" s="43"/>
      <c r="CC122" s="43"/>
    </row>
    <row r="123" spans="2:81" ht="15.75" customHeight="1">
      <c r="B123" s="36"/>
      <c r="D123" s="36"/>
      <c r="F123" s="43"/>
      <c r="L123" s="43"/>
      <c r="Q123" s="43"/>
      <c r="V123" s="43"/>
      <c r="AD123" s="43"/>
      <c r="AG123" s="43"/>
      <c r="AL123" s="43"/>
      <c r="AQ123" s="43"/>
      <c r="AV123" s="43"/>
      <c r="BA123" s="43"/>
      <c r="BF123" s="43"/>
      <c r="BK123" s="43"/>
      <c r="BQ123" s="43"/>
      <c r="BV123" s="43"/>
      <c r="CC123" s="43"/>
    </row>
    <row r="124" spans="2:81" ht="15.75" customHeight="1">
      <c r="B124" s="36"/>
      <c r="D124" s="36"/>
      <c r="F124" s="43"/>
      <c r="L124" s="43"/>
      <c r="Q124" s="43"/>
      <c r="V124" s="43"/>
      <c r="AD124" s="43"/>
      <c r="AG124" s="43"/>
      <c r="AL124" s="43"/>
      <c r="AQ124" s="43"/>
      <c r="AV124" s="43"/>
      <c r="BA124" s="43"/>
      <c r="BF124" s="43"/>
      <c r="BK124" s="43"/>
      <c r="BQ124" s="43"/>
      <c r="BV124" s="43"/>
      <c r="CC124" s="43"/>
    </row>
    <row r="125" spans="2:81" ht="15.75" customHeight="1">
      <c r="B125" s="36"/>
      <c r="D125" s="36"/>
      <c r="F125" s="43"/>
      <c r="L125" s="43"/>
      <c r="Q125" s="43"/>
      <c r="V125" s="43"/>
      <c r="AD125" s="43"/>
      <c r="AG125" s="43"/>
      <c r="AL125" s="43"/>
      <c r="AQ125" s="43"/>
      <c r="AV125" s="43"/>
      <c r="BA125" s="43"/>
      <c r="BF125" s="43"/>
      <c r="BK125" s="43"/>
      <c r="BQ125" s="43"/>
      <c r="BV125" s="43"/>
      <c r="CC125" s="43"/>
    </row>
    <row r="126" spans="2:81" ht="15.75" customHeight="1">
      <c r="B126" s="36"/>
      <c r="D126" s="36"/>
      <c r="F126" s="43"/>
      <c r="L126" s="43"/>
      <c r="Q126" s="43"/>
      <c r="V126" s="43"/>
      <c r="AD126" s="43"/>
      <c r="AG126" s="43"/>
      <c r="AL126" s="43"/>
      <c r="AQ126" s="43"/>
      <c r="AV126" s="43"/>
      <c r="BA126" s="43"/>
      <c r="BF126" s="43"/>
      <c r="BK126" s="43"/>
      <c r="BQ126" s="43"/>
      <c r="BV126" s="43"/>
      <c r="CC126" s="43"/>
    </row>
    <row r="127" spans="2:81" ht="15.75" customHeight="1">
      <c r="B127" s="36"/>
      <c r="D127" s="36"/>
      <c r="F127" s="43"/>
      <c r="L127" s="43"/>
      <c r="Q127" s="43"/>
      <c r="V127" s="43"/>
      <c r="AD127" s="43"/>
      <c r="AG127" s="43"/>
      <c r="AL127" s="43"/>
      <c r="AQ127" s="43"/>
      <c r="AV127" s="43"/>
      <c r="BA127" s="43"/>
      <c r="BF127" s="43"/>
      <c r="BK127" s="43"/>
      <c r="BQ127" s="43"/>
      <c r="BV127" s="43"/>
      <c r="CC127" s="43"/>
    </row>
    <row r="128" spans="2:81" ht="15.75" customHeight="1">
      <c r="B128" s="36"/>
      <c r="D128" s="36"/>
      <c r="F128" s="43"/>
      <c r="L128" s="43"/>
      <c r="Q128" s="43"/>
      <c r="V128" s="43"/>
      <c r="AD128" s="43"/>
      <c r="AG128" s="43"/>
      <c r="AL128" s="43"/>
      <c r="AQ128" s="43"/>
      <c r="AV128" s="43"/>
      <c r="BA128" s="43"/>
      <c r="BF128" s="43"/>
      <c r="BK128" s="43"/>
      <c r="BQ128" s="43"/>
      <c r="BV128" s="43"/>
      <c r="CC128" s="43"/>
    </row>
    <row r="129" spans="2:81" ht="15.75" customHeight="1">
      <c r="B129" s="36"/>
      <c r="D129" s="36"/>
      <c r="F129" s="43"/>
      <c r="L129" s="43"/>
      <c r="Q129" s="43"/>
      <c r="V129" s="43"/>
      <c r="AD129" s="43"/>
      <c r="AG129" s="43"/>
      <c r="AL129" s="43"/>
      <c r="AQ129" s="43"/>
      <c r="AV129" s="43"/>
      <c r="BA129" s="43"/>
      <c r="BF129" s="43"/>
      <c r="BK129" s="43"/>
      <c r="BQ129" s="43"/>
      <c r="BV129" s="43"/>
      <c r="CC129" s="43"/>
    </row>
    <row r="130" spans="2:81" ht="15.75" customHeight="1">
      <c r="B130" s="36"/>
      <c r="D130" s="36"/>
      <c r="F130" s="43"/>
      <c r="L130" s="43"/>
      <c r="Q130" s="43"/>
      <c r="V130" s="43"/>
      <c r="AD130" s="43"/>
      <c r="AG130" s="43"/>
      <c r="AL130" s="43"/>
      <c r="AQ130" s="43"/>
      <c r="AV130" s="43"/>
      <c r="BA130" s="43"/>
      <c r="BF130" s="43"/>
      <c r="BK130" s="43"/>
      <c r="BQ130" s="43"/>
      <c r="BV130" s="43"/>
      <c r="CC130" s="43"/>
    </row>
    <row r="131" spans="2:81" ht="15.75" customHeight="1">
      <c r="B131" s="36"/>
      <c r="D131" s="36"/>
      <c r="F131" s="43"/>
      <c r="L131" s="43"/>
      <c r="Q131" s="43"/>
      <c r="V131" s="43"/>
      <c r="AD131" s="43"/>
      <c r="AG131" s="43"/>
      <c r="AL131" s="43"/>
      <c r="AQ131" s="43"/>
      <c r="AV131" s="43"/>
      <c r="BA131" s="43"/>
      <c r="BF131" s="43"/>
      <c r="BK131" s="43"/>
      <c r="BQ131" s="43"/>
      <c r="BV131" s="43"/>
      <c r="CC131" s="43"/>
    </row>
    <row r="132" spans="2:81" ht="15.75" customHeight="1">
      <c r="B132" s="36"/>
      <c r="D132" s="36"/>
      <c r="F132" s="43"/>
      <c r="L132" s="43"/>
      <c r="Q132" s="43"/>
      <c r="V132" s="43"/>
      <c r="AD132" s="43"/>
      <c r="AG132" s="43"/>
      <c r="AL132" s="43"/>
      <c r="AQ132" s="43"/>
      <c r="AV132" s="43"/>
      <c r="BA132" s="43"/>
      <c r="BF132" s="43"/>
      <c r="BK132" s="43"/>
      <c r="BQ132" s="43"/>
      <c r="BV132" s="43"/>
      <c r="CC132" s="43"/>
    </row>
    <row r="133" spans="2:81" ht="15.75" customHeight="1">
      <c r="B133" s="36"/>
      <c r="D133" s="36"/>
      <c r="F133" s="43"/>
      <c r="L133" s="43"/>
      <c r="Q133" s="43"/>
      <c r="V133" s="43"/>
      <c r="AD133" s="43"/>
      <c r="AG133" s="43"/>
      <c r="AL133" s="43"/>
      <c r="AQ133" s="43"/>
      <c r="AV133" s="43"/>
      <c r="BA133" s="43"/>
      <c r="BF133" s="43"/>
      <c r="BK133" s="43"/>
      <c r="BQ133" s="43"/>
      <c r="BV133" s="43"/>
      <c r="CC133" s="43"/>
    </row>
    <row r="134" spans="2:81" ht="15.75" customHeight="1">
      <c r="B134" s="36"/>
      <c r="D134" s="36"/>
      <c r="F134" s="43"/>
      <c r="L134" s="43"/>
      <c r="Q134" s="43"/>
      <c r="V134" s="43"/>
      <c r="AD134" s="43"/>
      <c r="AG134" s="43"/>
      <c r="AL134" s="43"/>
      <c r="AQ134" s="43"/>
      <c r="AV134" s="43"/>
      <c r="BA134" s="43"/>
      <c r="BF134" s="43"/>
      <c r="BK134" s="43"/>
      <c r="BQ134" s="43"/>
      <c r="BV134" s="43"/>
      <c r="CC134" s="43"/>
    </row>
    <row r="135" spans="2:81" ht="15.75" customHeight="1">
      <c r="B135" s="36"/>
      <c r="D135" s="36"/>
      <c r="F135" s="43"/>
      <c r="L135" s="43"/>
      <c r="Q135" s="43"/>
      <c r="V135" s="43"/>
      <c r="AD135" s="43"/>
      <c r="AG135" s="43"/>
      <c r="AL135" s="43"/>
      <c r="AQ135" s="43"/>
      <c r="AV135" s="43"/>
      <c r="BA135" s="43"/>
      <c r="BF135" s="43"/>
      <c r="BK135" s="43"/>
      <c r="BQ135" s="43"/>
      <c r="BV135" s="43"/>
      <c r="CC135" s="43"/>
    </row>
    <row r="136" spans="2:81" ht="15.75" customHeight="1">
      <c r="B136" s="36"/>
      <c r="D136" s="36"/>
      <c r="F136" s="43"/>
      <c r="L136" s="43"/>
      <c r="Q136" s="43"/>
      <c r="V136" s="43"/>
      <c r="AD136" s="43"/>
      <c r="AG136" s="43"/>
      <c r="AL136" s="43"/>
      <c r="AQ136" s="43"/>
      <c r="AV136" s="43"/>
      <c r="BA136" s="43"/>
      <c r="BF136" s="43"/>
      <c r="BK136" s="43"/>
      <c r="BQ136" s="43"/>
      <c r="BV136" s="43"/>
      <c r="CC136" s="43"/>
    </row>
    <row r="137" spans="2:81" ht="15.75" customHeight="1">
      <c r="B137" s="36"/>
      <c r="D137" s="36"/>
      <c r="F137" s="43"/>
      <c r="L137" s="43"/>
      <c r="Q137" s="43"/>
      <c r="V137" s="43"/>
      <c r="AD137" s="43"/>
      <c r="AG137" s="43"/>
      <c r="AL137" s="43"/>
      <c r="AQ137" s="43"/>
      <c r="AV137" s="43"/>
      <c r="BA137" s="43"/>
      <c r="BF137" s="43"/>
      <c r="BK137" s="43"/>
      <c r="BQ137" s="43"/>
      <c r="BV137" s="43"/>
      <c r="CC137" s="43"/>
    </row>
    <row r="138" spans="2:81" ht="15.75" customHeight="1">
      <c r="B138" s="36"/>
      <c r="D138" s="36"/>
      <c r="F138" s="43"/>
      <c r="L138" s="43"/>
      <c r="Q138" s="43"/>
      <c r="V138" s="43"/>
      <c r="AD138" s="43"/>
      <c r="AG138" s="43"/>
      <c r="AL138" s="43"/>
      <c r="AQ138" s="43"/>
      <c r="AV138" s="43"/>
      <c r="BA138" s="43"/>
      <c r="BF138" s="43"/>
      <c r="BK138" s="43"/>
      <c r="BQ138" s="43"/>
      <c r="BV138" s="43"/>
      <c r="CC138" s="43"/>
    </row>
    <row r="139" spans="2:81" ht="15.75" customHeight="1">
      <c r="B139" s="36"/>
      <c r="D139" s="36"/>
      <c r="F139" s="43"/>
      <c r="L139" s="43"/>
      <c r="Q139" s="43"/>
      <c r="V139" s="43"/>
      <c r="AD139" s="43"/>
      <c r="AG139" s="43"/>
      <c r="AL139" s="43"/>
      <c r="AQ139" s="43"/>
      <c r="AV139" s="43"/>
      <c r="BA139" s="43"/>
      <c r="BF139" s="43"/>
      <c r="BK139" s="43"/>
      <c r="BQ139" s="43"/>
      <c r="BV139" s="43"/>
      <c r="CC139" s="43"/>
    </row>
    <row r="140" spans="2:81" ht="15.75" customHeight="1">
      <c r="B140" s="36"/>
      <c r="D140" s="36"/>
      <c r="F140" s="43"/>
      <c r="L140" s="43"/>
      <c r="Q140" s="43"/>
      <c r="V140" s="43"/>
      <c r="AD140" s="43"/>
      <c r="AG140" s="43"/>
      <c r="AL140" s="43"/>
      <c r="AQ140" s="43"/>
      <c r="AV140" s="43"/>
      <c r="BA140" s="43"/>
      <c r="BF140" s="43"/>
      <c r="BK140" s="43"/>
      <c r="BQ140" s="43"/>
      <c r="BV140" s="43"/>
      <c r="CC140" s="43"/>
    </row>
    <row r="141" spans="2:81" ht="15.75" customHeight="1">
      <c r="B141" s="36"/>
      <c r="D141" s="36"/>
      <c r="F141" s="43"/>
      <c r="L141" s="43"/>
      <c r="Q141" s="43"/>
      <c r="V141" s="43"/>
      <c r="AD141" s="43"/>
      <c r="AG141" s="43"/>
      <c r="AL141" s="43"/>
      <c r="AQ141" s="43"/>
      <c r="AV141" s="43"/>
      <c r="BA141" s="43"/>
      <c r="BF141" s="43"/>
      <c r="BK141" s="43"/>
      <c r="BQ141" s="43"/>
      <c r="BV141" s="43"/>
      <c r="CC141" s="43"/>
    </row>
    <row r="142" spans="2:81" ht="15.75" customHeight="1">
      <c r="B142" s="36"/>
      <c r="D142" s="36"/>
      <c r="F142" s="43"/>
      <c r="L142" s="43"/>
      <c r="Q142" s="43"/>
      <c r="V142" s="43"/>
      <c r="AD142" s="43"/>
      <c r="AG142" s="43"/>
      <c r="AL142" s="43"/>
      <c r="AQ142" s="43"/>
      <c r="AV142" s="43"/>
      <c r="BA142" s="43"/>
      <c r="BF142" s="43"/>
      <c r="BK142" s="43"/>
      <c r="BQ142" s="43"/>
      <c r="BV142" s="43"/>
      <c r="CC142" s="43"/>
    </row>
    <row r="143" spans="2:81" ht="15.75" customHeight="1">
      <c r="B143" s="36"/>
      <c r="D143" s="36"/>
      <c r="F143" s="43"/>
      <c r="L143" s="43"/>
      <c r="Q143" s="43"/>
      <c r="V143" s="43"/>
      <c r="AD143" s="43"/>
      <c r="AG143" s="43"/>
      <c r="AL143" s="43"/>
      <c r="AQ143" s="43"/>
      <c r="AV143" s="43"/>
      <c r="BA143" s="43"/>
      <c r="BF143" s="43"/>
      <c r="BK143" s="43"/>
      <c r="BQ143" s="43"/>
      <c r="BV143" s="43"/>
      <c r="CC143" s="43"/>
    </row>
    <row r="144" spans="2:81" ht="15.75" customHeight="1">
      <c r="B144" s="36"/>
      <c r="D144" s="36"/>
      <c r="F144" s="43"/>
      <c r="L144" s="43"/>
      <c r="Q144" s="43"/>
      <c r="V144" s="43"/>
      <c r="AD144" s="43"/>
      <c r="AG144" s="43"/>
      <c r="AL144" s="43"/>
      <c r="AQ144" s="43"/>
      <c r="AV144" s="43"/>
      <c r="BA144" s="43"/>
      <c r="BF144" s="43"/>
      <c r="BK144" s="43"/>
      <c r="BQ144" s="43"/>
      <c r="BV144" s="43"/>
      <c r="CC144" s="43"/>
    </row>
    <row r="145" spans="2:81" ht="15.75" customHeight="1">
      <c r="B145" s="36"/>
      <c r="D145" s="36"/>
      <c r="F145" s="43"/>
      <c r="L145" s="43"/>
      <c r="Q145" s="43"/>
      <c r="V145" s="43"/>
      <c r="AD145" s="43"/>
      <c r="AG145" s="43"/>
      <c r="AL145" s="43"/>
      <c r="AQ145" s="43"/>
      <c r="AV145" s="43"/>
      <c r="BA145" s="43"/>
      <c r="BF145" s="43"/>
      <c r="BK145" s="43"/>
      <c r="BQ145" s="43"/>
      <c r="BV145" s="43"/>
      <c r="CC145" s="43"/>
    </row>
    <row r="146" spans="2:81" ht="15.75" customHeight="1">
      <c r="B146" s="36"/>
      <c r="D146" s="36"/>
      <c r="F146" s="43"/>
      <c r="L146" s="43"/>
      <c r="Q146" s="43"/>
      <c r="V146" s="43"/>
      <c r="AD146" s="43"/>
      <c r="AG146" s="43"/>
      <c r="AL146" s="43"/>
      <c r="AQ146" s="43"/>
      <c r="AV146" s="43"/>
      <c r="BA146" s="43"/>
      <c r="BF146" s="43"/>
      <c r="BK146" s="43"/>
      <c r="BQ146" s="43"/>
      <c r="BV146" s="43"/>
      <c r="CC146" s="43"/>
    </row>
    <row r="147" spans="2:81" ht="15.75" customHeight="1">
      <c r="B147" s="36"/>
      <c r="D147" s="36"/>
      <c r="F147" s="43"/>
      <c r="L147" s="43"/>
      <c r="Q147" s="43"/>
      <c r="V147" s="43"/>
      <c r="AD147" s="43"/>
      <c r="AG147" s="43"/>
      <c r="AL147" s="43"/>
      <c r="AQ147" s="43"/>
      <c r="AV147" s="43"/>
      <c r="BA147" s="43"/>
      <c r="BF147" s="43"/>
      <c r="BK147" s="43"/>
      <c r="BQ147" s="43"/>
      <c r="BV147" s="43"/>
      <c r="CC147" s="43"/>
    </row>
    <row r="148" spans="2:81" ht="15.75" customHeight="1">
      <c r="B148" s="36"/>
      <c r="D148" s="36"/>
      <c r="F148" s="43"/>
      <c r="L148" s="43"/>
      <c r="Q148" s="43"/>
      <c r="V148" s="43"/>
      <c r="AD148" s="43"/>
      <c r="AG148" s="43"/>
      <c r="AL148" s="43"/>
      <c r="AQ148" s="43"/>
      <c r="AV148" s="43"/>
      <c r="BA148" s="43"/>
      <c r="BF148" s="43"/>
      <c r="BK148" s="43"/>
      <c r="BQ148" s="43"/>
      <c r="BV148" s="43"/>
      <c r="CC148" s="43"/>
    </row>
    <row r="149" spans="2:81" ht="15.75" customHeight="1">
      <c r="B149" s="36"/>
      <c r="D149" s="36"/>
      <c r="F149" s="43"/>
      <c r="L149" s="43"/>
      <c r="Q149" s="43"/>
      <c r="V149" s="43"/>
      <c r="AD149" s="43"/>
      <c r="AG149" s="43"/>
      <c r="AL149" s="43"/>
      <c r="AQ149" s="43"/>
      <c r="AV149" s="43"/>
      <c r="BA149" s="43"/>
      <c r="BF149" s="43"/>
      <c r="BK149" s="43"/>
      <c r="BQ149" s="43"/>
      <c r="BV149" s="43"/>
      <c r="CC149" s="43"/>
    </row>
    <row r="150" spans="2:81" ht="15.75" customHeight="1">
      <c r="B150" s="36"/>
      <c r="D150" s="36"/>
      <c r="F150" s="43"/>
      <c r="L150" s="43"/>
      <c r="Q150" s="43"/>
      <c r="V150" s="43"/>
      <c r="AD150" s="43"/>
      <c r="AG150" s="43"/>
      <c r="AL150" s="43"/>
      <c r="AQ150" s="43"/>
      <c r="AV150" s="43"/>
      <c r="BA150" s="43"/>
      <c r="BF150" s="43"/>
      <c r="BK150" s="43"/>
      <c r="BQ150" s="43"/>
      <c r="BV150" s="43"/>
      <c r="CC150" s="43"/>
    </row>
    <row r="151" spans="2:81" ht="15.75" customHeight="1">
      <c r="B151" s="36"/>
      <c r="D151" s="36"/>
      <c r="F151" s="43"/>
      <c r="L151" s="43"/>
      <c r="Q151" s="43"/>
      <c r="V151" s="43"/>
      <c r="AD151" s="43"/>
      <c r="AG151" s="43"/>
      <c r="AL151" s="43"/>
      <c r="AQ151" s="43"/>
      <c r="AV151" s="43"/>
      <c r="BA151" s="43"/>
      <c r="BF151" s="43"/>
      <c r="BK151" s="43"/>
      <c r="BQ151" s="43"/>
      <c r="BV151" s="43"/>
      <c r="CC151" s="43"/>
    </row>
    <row r="152" spans="2:81" ht="15.75" customHeight="1">
      <c r="B152" s="36"/>
      <c r="D152" s="36"/>
      <c r="F152" s="43"/>
      <c r="L152" s="43"/>
      <c r="Q152" s="43"/>
      <c r="V152" s="43"/>
      <c r="AD152" s="43"/>
      <c r="AG152" s="43"/>
      <c r="AL152" s="43"/>
      <c r="AQ152" s="43"/>
      <c r="AV152" s="43"/>
      <c r="BA152" s="43"/>
      <c r="BF152" s="43"/>
      <c r="BK152" s="43"/>
      <c r="BQ152" s="43"/>
      <c r="BV152" s="43"/>
      <c r="CC152" s="43"/>
    </row>
    <row r="153" spans="2:81" ht="15.75" customHeight="1">
      <c r="B153" s="36"/>
      <c r="D153" s="36"/>
      <c r="F153" s="43"/>
      <c r="L153" s="43"/>
      <c r="Q153" s="43"/>
      <c r="V153" s="43"/>
      <c r="AD153" s="43"/>
      <c r="AG153" s="43"/>
      <c r="AL153" s="43"/>
      <c r="AQ153" s="43"/>
      <c r="AV153" s="43"/>
      <c r="BA153" s="43"/>
      <c r="BF153" s="43"/>
      <c r="BK153" s="43"/>
      <c r="BQ153" s="43"/>
      <c r="BV153" s="43"/>
      <c r="CC153" s="43"/>
    </row>
    <row r="154" spans="2:81" ht="15.75" customHeight="1">
      <c r="B154" s="36"/>
      <c r="D154" s="36"/>
      <c r="F154" s="43"/>
      <c r="L154" s="43"/>
      <c r="Q154" s="43"/>
      <c r="V154" s="43"/>
      <c r="AD154" s="43"/>
      <c r="AG154" s="43"/>
      <c r="AL154" s="43"/>
      <c r="AQ154" s="43"/>
      <c r="AV154" s="43"/>
      <c r="BA154" s="43"/>
      <c r="BF154" s="43"/>
      <c r="BK154" s="43"/>
      <c r="BQ154" s="43"/>
      <c r="BV154" s="43"/>
      <c r="CC154" s="43"/>
    </row>
    <row r="155" spans="2:81" ht="15.75" customHeight="1">
      <c r="B155" s="36"/>
      <c r="D155" s="36"/>
      <c r="F155" s="43"/>
      <c r="L155" s="43"/>
      <c r="Q155" s="43"/>
      <c r="V155" s="43"/>
      <c r="AD155" s="43"/>
      <c r="AG155" s="43"/>
      <c r="AL155" s="43"/>
      <c r="AQ155" s="43"/>
      <c r="AV155" s="43"/>
      <c r="BA155" s="43"/>
      <c r="BF155" s="43"/>
      <c r="BK155" s="43"/>
      <c r="BQ155" s="43"/>
      <c r="BV155" s="43"/>
      <c r="CC155" s="43"/>
    </row>
    <row r="156" spans="2:81" ht="15.75" customHeight="1">
      <c r="B156" s="36"/>
      <c r="D156" s="36"/>
      <c r="F156" s="43"/>
      <c r="L156" s="43"/>
      <c r="Q156" s="43"/>
      <c r="V156" s="43"/>
      <c r="AD156" s="43"/>
      <c r="AG156" s="43"/>
      <c r="AL156" s="43"/>
      <c r="AQ156" s="43"/>
      <c r="AV156" s="43"/>
      <c r="BA156" s="43"/>
      <c r="BF156" s="43"/>
      <c r="BK156" s="43"/>
      <c r="BQ156" s="43"/>
      <c r="BV156" s="43"/>
      <c r="CC156" s="43"/>
    </row>
    <row r="157" spans="2:81" ht="15.75" customHeight="1">
      <c r="B157" s="36"/>
      <c r="D157" s="36"/>
      <c r="F157" s="43"/>
      <c r="L157" s="43"/>
      <c r="Q157" s="43"/>
      <c r="V157" s="43"/>
      <c r="AD157" s="43"/>
      <c r="AG157" s="43"/>
      <c r="AL157" s="43"/>
      <c r="AQ157" s="43"/>
      <c r="AV157" s="43"/>
      <c r="BA157" s="43"/>
      <c r="BF157" s="43"/>
      <c r="BK157" s="43"/>
      <c r="BQ157" s="43"/>
      <c r="BV157" s="43"/>
      <c r="CC157" s="43"/>
    </row>
    <row r="158" spans="2:81" ht="15.75" customHeight="1">
      <c r="B158" s="36"/>
      <c r="D158" s="36"/>
      <c r="F158" s="43"/>
      <c r="L158" s="43"/>
      <c r="Q158" s="43"/>
      <c r="V158" s="43"/>
      <c r="AD158" s="43"/>
      <c r="AG158" s="43"/>
      <c r="AL158" s="43"/>
      <c r="AQ158" s="43"/>
      <c r="AV158" s="43"/>
      <c r="BA158" s="43"/>
      <c r="BF158" s="43"/>
      <c r="BK158" s="43"/>
      <c r="BQ158" s="43"/>
      <c r="BV158" s="43"/>
      <c r="CC158" s="43"/>
    </row>
    <row r="159" spans="2:81" ht="15.75" customHeight="1">
      <c r="B159" s="36"/>
      <c r="D159" s="36"/>
      <c r="F159" s="43"/>
      <c r="L159" s="43"/>
      <c r="Q159" s="43"/>
      <c r="V159" s="43"/>
      <c r="AD159" s="43"/>
      <c r="AG159" s="43"/>
      <c r="AL159" s="43"/>
      <c r="AQ159" s="43"/>
      <c r="AV159" s="43"/>
      <c r="BA159" s="43"/>
      <c r="BF159" s="43"/>
      <c r="BK159" s="43"/>
      <c r="BQ159" s="43"/>
      <c r="BV159" s="43"/>
      <c r="CC159" s="43"/>
    </row>
    <row r="160" spans="2:81" ht="15.75" customHeight="1">
      <c r="B160" s="36"/>
      <c r="D160" s="36"/>
      <c r="F160" s="43"/>
      <c r="L160" s="43"/>
      <c r="Q160" s="43"/>
      <c r="V160" s="43"/>
      <c r="AD160" s="43"/>
      <c r="AG160" s="43"/>
      <c r="AL160" s="43"/>
      <c r="AQ160" s="43"/>
      <c r="AV160" s="43"/>
      <c r="BA160" s="43"/>
      <c r="BF160" s="43"/>
      <c r="BK160" s="43"/>
      <c r="BQ160" s="43"/>
      <c r="BV160" s="43"/>
      <c r="CC160" s="43"/>
    </row>
    <row r="161" spans="2:81" ht="15.75" customHeight="1">
      <c r="B161" s="36"/>
      <c r="D161" s="36"/>
      <c r="F161" s="43"/>
      <c r="L161" s="43"/>
      <c r="Q161" s="43"/>
      <c r="V161" s="43"/>
      <c r="AD161" s="43"/>
      <c r="AG161" s="43"/>
      <c r="AL161" s="43"/>
      <c r="AQ161" s="43"/>
      <c r="AV161" s="43"/>
      <c r="BA161" s="43"/>
      <c r="BF161" s="43"/>
      <c r="BK161" s="43"/>
      <c r="BQ161" s="43"/>
      <c r="BV161" s="43"/>
      <c r="CC161" s="43"/>
    </row>
    <row r="162" spans="2:81" ht="15.75" customHeight="1">
      <c r="B162" s="36"/>
      <c r="D162" s="36"/>
      <c r="F162" s="43"/>
      <c r="L162" s="43"/>
      <c r="Q162" s="43"/>
      <c r="V162" s="43"/>
      <c r="AD162" s="43"/>
      <c r="AG162" s="43"/>
      <c r="AL162" s="43"/>
      <c r="AQ162" s="43"/>
      <c r="AV162" s="43"/>
      <c r="BA162" s="43"/>
      <c r="BF162" s="43"/>
      <c r="BK162" s="43"/>
      <c r="BQ162" s="43"/>
      <c r="BV162" s="43"/>
      <c r="CC162" s="43"/>
    </row>
    <row r="163" spans="2:81" ht="15.75" customHeight="1">
      <c r="B163" s="36"/>
      <c r="D163" s="36"/>
      <c r="F163" s="43"/>
      <c r="L163" s="43"/>
      <c r="Q163" s="43"/>
      <c r="V163" s="43"/>
      <c r="AD163" s="43"/>
      <c r="AG163" s="43"/>
      <c r="AL163" s="43"/>
      <c r="AQ163" s="43"/>
      <c r="AV163" s="43"/>
      <c r="BA163" s="43"/>
      <c r="BF163" s="43"/>
      <c r="BK163" s="43"/>
      <c r="BQ163" s="43"/>
      <c r="BV163" s="43"/>
      <c r="CC163" s="43"/>
    </row>
    <row r="164" spans="2:81" ht="15.75" customHeight="1">
      <c r="B164" s="36"/>
      <c r="D164" s="36"/>
      <c r="F164" s="43"/>
      <c r="L164" s="43"/>
      <c r="Q164" s="43"/>
      <c r="V164" s="43"/>
      <c r="AD164" s="43"/>
      <c r="AG164" s="43"/>
      <c r="AL164" s="43"/>
      <c r="AQ164" s="43"/>
      <c r="AV164" s="43"/>
      <c r="BA164" s="43"/>
      <c r="BF164" s="43"/>
      <c r="BK164" s="43"/>
      <c r="BQ164" s="43"/>
      <c r="BV164" s="43"/>
      <c r="CC164" s="43"/>
    </row>
    <row r="165" spans="2:81" ht="15.75" customHeight="1">
      <c r="B165" s="36"/>
      <c r="D165" s="36"/>
      <c r="F165" s="43"/>
      <c r="L165" s="43"/>
      <c r="Q165" s="43"/>
      <c r="V165" s="43"/>
      <c r="AD165" s="43"/>
      <c r="AG165" s="43"/>
      <c r="AL165" s="43"/>
      <c r="AQ165" s="43"/>
      <c r="AV165" s="43"/>
      <c r="BA165" s="43"/>
      <c r="BF165" s="43"/>
      <c r="BK165" s="43"/>
      <c r="BQ165" s="43"/>
      <c r="BV165" s="43"/>
      <c r="CC165" s="43"/>
    </row>
    <row r="166" spans="2:81" ht="15.75" customHeight="1">
      <c r="B166" s="36"/>
      <c r="D166" s="36"/>
      <c r="F166" s="43"/>
      <c r="L166" s="43"/>
      <c r="Q166" s="43"/>
      <c r="V166" s="43"/>
      <c r="AD166" s="43"/>
      <c r="AG166" s="43"/>
      <c r="AL166" s="43"/>
      <c r="AQ166" s="43"/>
      <c r="AV166" s="43"/>
      <c r="BA166" s="43"/>
      <c r="BF166" s="43"/>
      <c r="BK166" s="43"/>
      <c r="BQ166" s="43"/>
      <c r="BV166" s="43"/>
      <c r="CC166" s="43"/>
    </row>
    <row r="167" spans="2:81" ht="15.75" customHeight="1">
      <c r="B167" s="36"/>
      <c r="D167" s="36"/>
      <c r="F167" s="43"/>
      <c r="L167" s="43"/>
      <c r="Q167" s="43"/>
      <c r="V167" s="43"/>
      <c r="AD167" s="43"/>
      <c r="AG167" s="43"/>
      <c r="AL167" s="43"/>
      <c r="AQ167" s="43"/>
      <c r="AV167" s="43"/>
      <c r="BA167" s="43"/>
      <c r="BF167" s="43"/>
      <c r="BK167" s="43"/>
      <c r="BQ167" s="43"/>
      <c r="BV167" s="43"/>
      <c r="CC167" s="43"/>
    </row>
    <row r="168" spans="2:81" ht="15.75" customHeight="1">
      <c r="B168" s="36"/>
      <c r="D168" s="36"/>
      <c r="F168" s="43"/>
      <c r="L168" s="43"/>
      <c r="Q168" s="43"/>
      <c r="V168" s="43"/>
      <c r="AD168" s="43"/>
      <c r="AG168" s="43"/>
      <c r="AL168" s="43"/>
      <c r="AQ168" s="43"/>
      <c r="AV168" s="43"/>
      <c r="BA168" s="43"/>
      <c r="BF168" s="43"/>
      <c r="BK168" s="43"/>
      <c r="BQ168" s="43"/>
      <c r="BV168" s="43"/>
      <c r="CC168" s="43"/>
    </row>
    <row r="169" spans="2:81" ht="15.75" customHeight="1">
      <c r="B169" s="36"/>
      <c r="D169" s="36"/>
      <c r="F169" s="43"/>
      <c r="L169" s="43"/>
      <c r="Q169" s="43"/>
      <c r="V169" s="43"/>
      <c r="AD169" s="43"/>
      <c r="AG169" s="43"/>
      <c r="AL169" s="43"/>
      <c r="AQ169" s="43"/>
      <c r="AV169" s="43"/>
      <c r="BA169" s="43"/>
      <c r="BF169" s="43"/>
      <c r="BK169" s="43"/>
      <c r="BQ169" s="43"/>
      <c r="BV169" s="43"/>
      <c r="CC169" s="43"/>
    </row>
    <row r="170" spans="2:81" ht="15.75" customHeight="1">
      <c r="B170" s="36"/>
      <c r="D170" s="36"/>
      <c r="F170" s="43"/>
      <c r="L170" s="43"/>
      <c r="Q170" s="43"/>
      <c r="V170" s="43"/>
      <c r="AD170" s="43"/>
      <c r="AG170" s="43"/>
      <c r="AL170" s="43"/>
      <c r="AQ170" s="43"/>
      <c r="AV170" s="43"/>
      <c r="BA170" s="43"/>
      <c r="BF170" s="43"/>
      <c r="BK170" s="43"/>
      <c r="BQ170" s="43"/>
      <c r="BV170" s="43"/>
      <c r="CC170" s="43"/>
    </row>
    <row r="171" spans="2:81" ht="15.75" customHeight="1">
      <c r="B171" s="36"/>
      <c r="D171" s="36"/>
      <c r="F171" s="43"/>
      <c r="L171" s="43"/>
      <c r="Q171" s="43"/>
      <c r="V171" s="43"/>
      <c r="AD171" s="43"/>
      <c r="AG171" s="43"/>
      <c r="AL171" s="43"/>
      <c r="AQ171" s="43"/>
      <c r="AV171" s="43"/>
      <c r="BA171" s="43"/>
      <c r="BF171" s="43"/>
      <c r="BK171" s="43"/>
      <c r="BQ171" s="43"/>
      <c r="BV171" s="43"/>
      <c r="CC171" s="43"/>
    </row>
    <row r="172" spans="2:81" ht="15.75" customHeight="1">
      <c r="B172" s="36"/>
      <c r="D172" s="36"/>
      <c r="F172" s="43"/>
      <c r="L172" s="43"/>
      <c r="Q172" s="43"/>
      <c r="V172" s="43"/>
      <c r="AD172" s="43"/>
      <c r="AG172" s="43"/>
      <c r="AL172" s="43"/>
      <c r="AQ172" s="43"/>
      <c r="AV172" s="43"/>
      <c r="BA172" s="43"/>
      <c r="BF172" s="43"/>
      <c r="BK172" s="43"/>
      <c r="BQ172" s="43"/>
      <c r="BV172" s="43"/>
      <c r="CC172" s="43"/>
    </row>
    <row r="173" spans="2:81" ht="15.75" customHeight="1">
      <c r="B173" s="36"/>
      <c r="D173" s="36"/>
      <c r="F173" s="43"/>
      <c r="L173" s="43"/>
      <c r="Q173" s="43"/>
      <c r="V173" s="43"/>
      <c r="AD173" s="43"/>
      <c r="AG173" s="43"/>
      <c r="AL173" s="43"/>
      <c r="AQ173" s="43"/>
      <c r="AV173" s="43"/>
      <c r="BA173" s="43"/>
      <c r="BF173" s="43"/>
      <c r="BK173" s="43"/>
      <c r="BQ173" s="43"/>
      <c r="BV173" s="43"/>
      <c r="CC173" s="43"/>
    </row>
    <row r="174" spans="2:81" ht="15.75" customHeight="1">
      <c r="B174" s="36"/>
      <c r="D174" s="36"/>
      <c r="F174" s="43"/>
      <c r="L174" s="43"/>
      <c r="Q174" s="43"/>
      <c r="V174" s="43"/>
      <c r="AD174" s="43"/>
      <c r="AG174" s="43"/>
      <c r="AL174" s="43"/>
      <c r="AQ174" s="43"/>
      <c r="AV174" s="43"/>
      <c r="BA174" s="43"/>
      <c r="BF174" s="43"/>
      <c r="BK174" s="43"/>
      <c r="BQ174" s="43"/>
      <c r="BV174" s="43"/>
      <c r="CC174" s="43"/>
    </row>
    <row r="175" spans="2:81" ht="15.75" customHeight="1">
      <c r="B175" s="36"/>
      <c r="D175" s="36"/>
      <c r="F175" s="43"/>
      <c r="L175" s="43"/>
      <c r="Q175" s="43"/>
      <c r="V175" s="43"/>
      <c r="AD175" s="43"/>
      <c r="AG175" s="43"/>
      <c r="AL175" s="43"/>
      <c r="AQ175" s="43"/>
      <c r="AV175" s="43"/>
      <c r="BA175" s="43"/>
      <c r="BF175" s="43"/>
      <c r="BK175" s="43"/>
      <c r="BQ175" s="43"/>
      <c r="BV175" s="43"/>
      <c r="CC175" s="43"/>
    </row>
    <row r="176" spans="2:81" ht="15.75" customHeight="1">
      <c r="B176" s="36"/>
      <c r="D176" s="36"/>
      <c r="F176" s="43"/>
      <c r="L176" s="43"/>
      <c r="Q176" s="43"/>
      <c r="V176" s="43"/>
      <c r="AD176" s="43"/>
      <c r="AG176" s="43"/>
      <c r="AL176" s="43"/>
      <c r="AQ176" s="43"/>
      <c r="AV176" s="43"/>
      <c r="BA176" s="43"/>
      <c r="BF176" s="43"/>
      <c r="BK176" s="43"/>
      <c r="BQ176" s="43"/>
      <c r="BV176" s="43"/>
      <c r="CC176" s="43"/>
    </row>
    <row r="177" spans="2:81" ht="15.75" customHeight="1">
      <c r="B177" s="36"/>
      <c r="D177" s="36"/>
      <c r="F177" s="43"/>
      <c r="L177" s="43"/>
      <c r="Q177" s="43"/>
      <c r="V177" s="43"/>
      <c r="AD177" s="43"/>
      <c r="AG177" s="43"/>
      <c r="AL177" s="43"/>
      <c r="AQ177" s="43"/>
      <c r="AV177" s="43"/>
      <c r="BA177" s="43"/>
      <c r="BF177" s="43"/>
      <c r="BK177" s="43"/>
      <c r="BQ177" s="43"/>
      <c r="BV177" s="43"/>
      <c r="CC177" s="43"/>
    </row>
    <row r="178" spans="2:81" ht="15.75" customHeight="1">
      <c r="B178" s="36"/>
      <c r="D178" s="36"/>
      <c r="F178" s="43"/>
      <c r="L178" s="43"/>
      <c r="Q178" s="43"/>
      <c r="V178" s="43"/>
      <c r="AD178" s="43"/>
      <c r="AG178" s="43"/>
      <c r="AL178" s="43"/>
      <c r="AQ178" s="43"/>
      <c r="AV178" s="43"/>
      <c r="BA178" s="43"/>
      <c r="BF178" s="43"/>
      <c r="BK178" s="43"/>
      <c r="BQ178" s="43"/>
      <c r="BV178" s="43"/>
      <c r="CC178" s="43"/>
    </row>
    <row r="179" spans="2:81" ht="15.75" customHeight="1">
      <c r="B179" s="36"/>
      <c r="D179" s="36"/>
      <c r="F179" s="43"/>
      <c r="L179" s="43"/>
      <c r="Q179" s="43"/>
      <c r="V179" s="43"/>
      <c r="AD179" s="43"/>
      <c r="AG179" s="43"/>
      <c r="AL179" s="43"/>
      <c r="AQ179" s="43"/>
      <c r="AV179" s="43"/>
      <c r="BA179" s="43"/>
      <c r="BF179" s="43"/>
      <c r="BK179" s="43"/>
      <c r="BQ179" s="43"/>
      <c r="BV179" s="43"/>
      <c r="CC179" s="43"/>
    </row>
    <row r="180" spans="2:81" ht="15.75" customHeight="1">
      <c r="B180" s="36"/>
      <c r="D180" s="36"/>
      <c r="F180" s="43"/>
      <c r="L180" s="43"/>
      <c r="Q180" s="43"/>
      <c r="V180" s="43"/>
      <c r="AD180" s="43"/>
      <c r="AG180" s="43"/>
      <c r="AL180" s="43"/>
      <c r="AQ180" s="43"/>
      <c r="AV180" s="43"/>
      <c r="BA180" s="43"/>
      <c r="BF180" s="43"/>
      <c r="BK180" s="43"/>
      <c r="BQ180" s="43"/>
      <c r="BV180" s="43"/>
      <c r="CC180" s="43"/>
    </row>
    <row r="181" spans="2:81" ht="15.75" customHeight="1">
      <c r="B181" s="36"/>
      <c r="D181" s="36"/>
      <c r="F181" s="43"/>
      <c r="L181" s="43"/>
      <c r="Q181" s="43"/>
      <c r="V181" s="43"/>
      <c r="AD181" s="43"/>
      <c r="AG181" s="43"/>
      <c r="AL181" s="43"/>
      <c r="AQ181" s="43"/>
      <c r="AV181" s="43"/>
      <c r="BA181" s="43"/>
      <c r="BF181" s="43"/>
      <c r="BK181" s="43"/>
      <c r="BQ181" s="43"/>
      <c r="BV181" s="43"/>
      <c r="CC181" s="43"/>
    </row>
    <row r="182" spans="2:81" ht="15.75" customHeight="1">
      <c r="B182" s="36"/>
      <c r="D182" s="36"/>
      <c r="F182" s="43"/>
      <c r="L182" s="43"/>
      <c r="Q182" s="43"/>
      <c r="V182" s="43"/>
      <c r="AD182" s="43"/>
      <c r="AG182" s="43"/>
      <c r="AL182" s="43"/>
      <c r="AQ182" s="43"/>
      <c r="AV182" s="43"/>
      <c r="BA182" s="43"/>
      <c r="BF182" s="43"/>
      <c r="BK182" s="43"/>
      <c r="BQ182" s="43"/>
      <c r="BV182" s="43"/>
      <c r="CC182" s="43"/>
    </row>
    <row r="183" spans="2:81" ht="15.75" customHeight="1">
      <c r="B183" s="36"/>
      <c r="D183" s="36"/>
      <c r="F183" s="43"/>
      <c r="L183" s="43"/>
      <c r="Q183" s="43"/>
      <c r="V183" s="43"/>
      <c r="AD183" s="43"/>
      <c r="AG183" s="43"/>
      <c r="AL183" s="43"/>
      <c r="AQ183" s="43"/>
      <c r="AV183" s="43"/>
      <c r="BA183" s="43"/>
      <c r="BF183" s="43"/>
      <c r="BK183" s="43"/>
      <c r="BQ183" s="43"/>
      <c r="BV183" s="43"/>
      <c r="CC183" s="43"/>
    </row>
    <row r="184" spans="2:81" ht="15.75" customHeight="1">
      <c r="B184" s="36"/>
      <c r="D184" s="36"/>
      <c r="F184" s="43"/>
      <c r="L184" s="43"/>
      <c r="Q184" s="43"/>
      <c r="V184" s="43"/>
      <c r="AD184" s="43"/>
      <c r="AG184" s="43"/>
      <c r="AL184" s="43"/>
      <c r="AQ184" s="43"/>
      <c r="AV184" s="43"/>
      <c r="BA184" s="43"/>
      <c r="BF184" s="43"/>
      <c r="BK184" s="43"/>
      <c r="BQ184" s="43"/>
      <c r="BV184" s="43"/>
      <c r="CC184" s="43"/>
    </row>
    <row r="185" spans="2:81" ht="15.75" customHeight="1">
      <c r="B185" s="36"/>
      <c r="D185" s="36"/>
      <c r="F185" s="43"/>
      <c r="L185" s="43"/>
      <c r="Q185" s="43"/>
      <c r="V185" s="43"/>
      <c r="AD185" s="43"/>
      <c r="AG185" s="43"/>
      <c r="AL185" s="43"/>
      <c r="AQ185" s="43"/>
      <c r="AV185" s="43"/>
      <c r="BA185" s="43"/>
      <c r="BF185" s="43"/>
      <c r="BK185" s="43"/>
      <c r="BQ185" s="43"/>
      <c r="BV185" s="43"/>
      <c r="CC185" s="43"/>
    </row>
    <row r="186" spans="2:81" ht="15.75" customHeight="1">
      <c r="B186" s="36"/>
      <c r="D186" s="36"/>
      <c r="F186" s="43"/>
      <c r="L186" s="43"/>
      <c r="Q186" s="43"/>
      <c r="V186" s="43"/>
      <c r="AD186" s="43"/>
      <c r="AG186" s="43"/>
      <c r="AL186" s="43"/>
      <c r="AQ186" s="43"/>
      <c r="AV186" s="43"/>
      <c r="BA186" s="43"/>
      <c r="BF186" s="43"/>
      <c r="BK186" s="43"/>
      <c r="BQ186" s="43"/>
      <c r="BV186" s="43"/>
      <c r="CC186" s="43"/>
    </row>
    <row r="187" spans="2:81" ht="15.75" customHeight="1">
      <c r="B187" s="36"/>
      <c r="D187" s="36"/>
      <c r="F187" s="43"/>
      <c r="L187" s="43"/>
      <c r="Q187" s="43"/>
      <c r="V187" s="43"/>
      <c r="AD187" s="43"/>
      <c r="AG187" s="43"/>
      <c r="AL187" s="43"/>
      <c r="AQ187" s="43"/>
      <c r="AV187" s="43"/>
      <c r="BA187" s="43"/>
      <c r="BF187" s="43"/>
      <c r="BK187" s="43"/>
      <c r="BQ187" s="43"/>
      <c r="BV187" s="43"/>
      <c r="CC187" s="43"/>
    </row>
    <row r="188" spans="2:81" ht="15.75" customHeight="1">
      <c r="B188" s="36"/>
      <c r="D188" s="36"/>
      <c r="F188" s="43"/>
      <c r="L188" s="43"/>
      <c r="Q188" s="43"/>
      <c r="V188" s="43"/>
      <c r="AD188" s="43"/>
      <c r="AG188" s="43"/>
      <c r="AL188" s="43"/>
      <c r="AQ188" s="43"/>
      <c r="AV188" s="43"/>
      <c r="BA188" s="43"/>
      <c r="BF188" s="43"/>
      <c r="BK188" s="43"/>
      <c r="BQ188" s="43"/>
      <c r="BV188" s="43"/>
      <c r="CC188" s="43"/>
    </row>
    <row r="189" spans="2:81" ht="15.75" customHeight="1">
      <c r="B189" s="36"/>
      <c r="D189" s="36"/>
      <c r="F189" s="43"/>
      <c r="L189" s="43"/>
      <c r="Q189" s="43"/>
      <c r="V189" s="43"/>
      <c r="AD189" s="43"/>
      <c r="AG189" s="43"/>
      <c r="AL189" s="43"/>
      <c r="AQ189" s="43"/>
      <c r="AV189" s="43"/>
      <c r="BA189" s="43"/>
      <c r="BF189" s="43"/>
      <c r="BK189" s="43"/>
      <c r="BQ189" s="43"/>
      <c r="BV189" s="43"/>
      <c r="CC189" s="43"/>
    </row>
    <row r="190" spans="2:81" ht="15.75" customHeight="1">
      <c r="B190" s="36"/>
      <c r="D190" s="36"/>
      <c r="F190" s="43"/>
      <c r="L190" s="43"/>
      <c r="Q190" s="43"/>
      <c r="V190" s="43"/>
      <c r="AD190" s="43"/>
      <c r="AG190" s="43"/>
      <c r="AL190" s="43"/>
      <c r="AQ190" s="43"/>
      <c r="AV190" s="43"/>
      <c r="BA190" s="43"/>
      <c r="BF190" s="43"/>
      <c r="BK190" s="43"/>
      <c r="BQ190" s="43"/>
      <c r="BV190" s="43"/>
      <c r="CC190" s="43"/>
    </row>
    <row r="191" spans="2:81" ht="15.75" customHeight="1">
      <c r="B191" s="36"/>
      <c r="D191" s="36"/>
      <c r="F191" s="43"/>
      <c r="L191" s="43"/>
      <c r="Q191" s="43"/>
      <c r="V191" s="43"/>
      <c r="AD191" s="43"/>
      <c r="AG191" s="43"/>
      <c r="AL191" s="43"/>
      <c r="AQ191" s="43"/>
      <c r="AV191" s="43"/>
      <c r="BA191" s="43"/>
      <c r="BF191" s="43"/>
      <c r="BK191" s="43"/>
      <c r="BQ191" s="43"/>
      <c r="BV191" s="43"/>
      <c r="CC191" s="43"/>
    </row>
    <row r="192" spans="2:81" ht="15.75" customHeight="1">
      <c r="B192" s="36"/>
      <c r="D192" s="36"/>
      <c r="F192" s="43"/>
      <c r="L192" s="43"/>
      <c r="Q192" s="43"/>
      <c r="V192" s="43"/>
      <c r="AD192" s="43"/>
      <c r="AG192" s="43"/>
      <c r="AL192" s="43"/>
      <c r="AQ192" s="43"/>
      <c r="AV192" s="43"/>
      <c r="BA192" s="43"/>
      <c r="BF192" s="43"/>
      <c r="BK192" s="43"/>
      <c r="BQ192" s="43"/>
      <c r="BV192" s="43"/>
      <c r="CC192" s="43"/>
    </row>
    <row r="193" spans="2:81" ht="15.75" customHeight="1">
      <c r="B193" s="36"/>
      <c r="D193" s="36"/>
      <c r="F193" s="43"/>
      <c r="L193" s="43"/>
      <c r="Q193" s="43"/>
      <c r="V193" s="43"/>
      <c r="AD193" s="43"/>
      <c r="AG193" s="43"/>
      <c r="AL193" s="43"/>
      <c r="AQ193" s="43"/>
      <c r="AV193" s="43"/>
      <c r="BA193" s="43"/>
      <c r="BF193" s="43"/>
      <c r="BK193" s="43"/>
      <c r="BQ193" s="43"/>
      <c r="BV193" s="43"/>
      <c r="CC193" s="43"/>
    </row>
    <row r="194" spans="2:81" ht="15.75" customHeight="1">
      <c r="B194" s="36"/>
      <c r="D194" s="36"/>
      <c r="F194" s="43"/>
      <c r="L194" s="43"/>
      <c r="Q194" s="43"/>
      <c r="V194" s="43"/>
      <c r="AD194" s="43"/>
      <c r="AG194" s="43"/>
      <c r="AL194" s="43"/>
      <c r="AQ194" s="43"/>
      <c r="AV194" s="43"/>
      <c r="BA194" s="43"/>
      <c r="BF194" s="43"/>
      <c r="BK194" s="43"/>
      <c r="BQ194" s="43"/>
      <c r="BV194" s="43"/>
      <c r="CC194" s="43"/>
    </row>
    <row r="195" spans="2:81" ht="15.75" customHeight="1">
      <c r="B195" s="36"/>
      <c r="D195" s="36"/>
      <c r="F195" s="43"/>
      <c r="L195" s="43"/>
      <c r="Q195" s="43"/>
      <c r="V195" s="43"/>
      <c r="AD195" s="43"/>
      <c r="AG195" s="43"/>
      <c r="AL195" s="43"/>
      <c r="AQ195" s="43"/>
      <c r="AV195" s="43"/>
      <c r="BA195" s="43"/>
      <c r="BF195" s="43"/>
      <c r="BK195" s="43"/>
      <c r="BQ195" s="43"/>
      <c r="BV195" s="43"/>
      <c r="CC195" s="43"/>
    </row>
    <row r="196" spans="2:81" ht="15.75" customHeight="1">
      <c r="B196" s="36"/>
      <c r="D196" s="36"/>
      <c r="F196" s="43"/>
      <c r="L196" s="43"/>
      <c r="Q196" s="43"/>
      <c r="V196" s="43"/>
      <c r="AD196" s="43"/>
      <c r="AG196" s="43"/>
      <c r="AL196" s="43"/>
      <c r="AQ196" s="43"/>
      <c r="AV196" s="43"/>
      <c r="BA196" s="43"/>
      <c r="BF196" s="43"/>
      <c r="BK196" s="43"/>
      <c r="BQ196" s="43"/>
      <c r="BV196" s="43"/>
      <c r="CC196" s="43"/>
    </row>
    <row r="197" spans="2:81" ht="15.75" customHeight="1">
      <c r="B197" s="36"/>
      <c r="D197" s="36"/>
      <c r="F197" s="43"/>
      <c r="L197" s="43"/>
      <c r="Q197" s="43"/>
      <c r="V197" s="43"/>
      <c r="AD197" s="43"/>
      <c r="AG197" s="43"/>
      <c r="AL197" s="43"/>
      <c r="AQ197" s="43"/>
      <c r="AV197" s="43"/>
      <c r="BA197" s="43"/>
      <c r="BF197" s="43"/>
      <c r="BK197" s="43"/>
      <c r="BQ197" s="43"/>
      <c r="BV197" s="43"/>
      <c r="CC197" s="43"/>
    </row>
    <row r="198" spans="2:81" ht="15.75" customHeight="1">
      <c r="B198" s="36"/>
      <c r="D198" s="36"/>
      <c r="F198" s="43"/>
      <c r="L198" s="43"/>
      <c r="Q198" s="43"/>
      <c r="V198" s="43"/>
      <c r="AD198" s="43"/>
      <c r="AG198" s="43"/>
      <c r="AL198" s="43"/>
      <c r="AQ198" s="43"/>
      <c r="AV198" s="43"/>
      <c r="BA198" s="43"/>
      <c r="BF198" s="43"/>
      <c r="BK198" s="43"/>
      <c r="BQ198" s="43"/>
      <c r="BV198" s="43"/>
      <c r="CC198" s="43"/>
    </row>
    <row r="199" spans="2:81" ht="15.75" customHeight="1">
      <c r="B199" s="36"/>
      <c r="D199" s="36"/>
      <c r="F199" s="43"/>
      <c r="L199" s="43"/>
      <c r="Q199" s="43"/>
      <c r="V199" s="43"/>
      <c r="AD199" s="43"/>
      <c r="AG199" s="43"/>
      <c r="AL199" s="43"/>
      <c r="AQ199" s="43"/>
      <c r="AV199" s="43"/>
      <c r="BA199" s="43"/>
      <c r="BF199" s="43"/>
      <c r="BK199" s="43"/>
      <c r="BQ199" s="43"/>
      <c r="BV199" s="43"/>
      <c r="CC199" s="43"/>
    </row>
    <row r="200" spans="2:81" ht="15.75" customHeight="1">
      <c r="B200" s="36"/>
      <c r="D200" s="36"/>
      <c r="F200" s="43"/>
      <c r="L200" s="43"/>
      <c r="Q200" s="43"/>
      <c r="V200" s="43"/>
      <c r="AD200" s="43"/>
      <c r="AG200" s="43"/>
      <c r="AL200" s="43"/>
      <c r="AQ200" s="43"/>
      <c r="AV200" s="43"/>
      <c r="BA200" s="43"/>
      <c r="BF200" s="43"/>
      <c r="BK200" s="43"/>
      <c r="BQ200" s="43"/>
      <c r="BV200" s="43"/>
      <c r="CC200" s="43"/>
    </row>
    <row r="201" spans="2:81" ht="15.75" customHeight="1">
      <c r="B201" s="36"/>
      <c r="D201" s="36"/>
      <c r="F201" s="43"/>
      <c r="L201" s="43"/>
      <c r="Q201" s="43"/>
      <c r="V201" s="43"/>
      <c r="AD201" s="43"/>
      <c r="AG201" s="43"/>
      <c r="AL201" s="43"/>
      <c r="AQ201" s="43"/>
      <c r="AV201" s="43"/>
      <c r="BA201" s="43"/>
      <c r="BF201" s="43"/>
      <c r="BK201" s="43"/>
      <c r="BQ201" s="43"/>
      <c r="BV201" s="43"/>
      <c r="CC201" s="43"/>
    </row>
    <row r="202" spans="2:81" ht="15.75" customHeight="1">
      <c r="B202" s="36"/>
      <c r="D202" s="36"/>
      <c r="F202" s="43"/>
      <c r="L202" s="43"/>
      <c r="Q202" s="43"/>
      <c r="V202" s="43"/>
      <c r="AD202" s="43"/>
      <c r="AG202" s="43"/>
      <c r="AL202" s="43"/>
      <c r="AQ202" s="43"/>
      <c r="AV202" s="43"/>
      <c r="BA202" s="43"/>
      <c r="BF202" s="43"/>
      <c r="BK202" s="43"/>
      <c r="BQ202" s="43"/>
      <c r="BV202" s="43"/>
      <c r="CC202" s="43"/>
    </row>
    <row r="203" spans="2:81" ht="15.75" customHeight="1">
      <c r="B203" s="36"/>
      <c r="D203" s="36"/>
      <c r="F203" s="43"/>
      <c r="L203" s="43"/>
      <c r="Q203" s="43"/>
      <c r="V203" s="43"/>
      <c r="AD203" s="43"/>
      <c r="AG203" s="43"/>
      <c r="AL203" s="43"/>
      <c r="AQ203" s="43"/>
      <c r="AV203" s="43"/>
      <c r="BA203" s="43"/>
      <c r="BF203" s="43"/>
      <c r="BK203" s="43"/>
      <c r="BQ203" s="43"/>
      <c r="BV203" s="43"/>
      <c r="CC203" s="43"/>
    </row>
    <row r="204" spans="2:81" ht="15.75" customHeight="1">
      <c r="B204" s="36"/>
      <c r="D204" s="36"/>
      <c r="F204" s="43"/>
      <c r="L204" s="43"/>
      <c r="Q204" s="43"/>
      <c r="V204" s="43"/>
      <c r="AD204" s="43"/>
      <c r="AG204" s="43"/>
      <c r="AL204" s="43"/>
      <c r="AQ204" s="43"/>
      <c r="AV204" s="43"/>
      <c r="BA204" s="43"/>
      <c r="BF204" s="43"/>
      <c r="BK204" s="43"/>
      <c r="BQ204" s="43"/>
      <c r="BV204" s="43"/>
      <c r="CC204" s="43"/>
    </row>
    <row r="205" spans="2:81" ht="15.75" customHeight="1">
      <c r="B205" s="36"/>
      <c r="D205" s="36"/>
      <c r="F205" s="43"/>
      <c r="L205" s="43"/>
      <c r="Q205" s="43"/>
      <c r="V205" s="43"/>
      <c r="AD205" s="43"/>
      <c r="AG205" s="43"/>
      <c r="AL205" s="43"/>
      <c r="AQ205" s="43"/>
      <c r="AV205" s="43"/>
      <c r="BA205" s="43"/>
      <c r="BF205" s="43"/>
      <c r="BK205" s="43"/>
      <c r="BQ205" s="43"/>
      <c r="BV205" s="43"/>
      <c r="CC205" s="43"/>
    </row>
    <row r="206" spans="2:81" ht="15.75" customHeight="1">
      <c r="B206" s="36"/>
      <c r="D206" s="36"/>
      <c r="F206" s="43"/>
      <c r="L206" s="43"/>
      <c r="Q206" s="43"/>
      <c r="V206" s="43"/>
      <c r="AD206" s="43"/>
      <c r="AG206" s="43"/>
      <c r="AL206" s="43"/>
      <c r="AQ206" s="43"/>
      <c r="AV206" s="43"/>
      <c r="BA206" s="43"/>
      <c r="BF206" s="43"/>
      <c r="BK206" s="43"/>
      <c r="BQ206" s="43"/>
      <c r="BV206" s="43"/>
      <c r="CC206" s="43"/>
    </row>
    <row r="207" spans="2:81" ht="15.75" customHeight="1">
      <c r="B207" s="36"/>
      <c r="D207" s="36"/>
      <c r="F207" s="43"/>
      <c r="L207" s="43"/>
      <c r="Q207" s="43"/>
      <c r="V207" s="43"/>
      <c r="AD207" s="43"/>
      <c r="AG207" s="43"/>
      <c r="AL207" s="43"/>
      <c r="AQ207" s="43"/>
      <c r="AV207" s="43"/>
      <c r="BA207" s="43"/>
      <c r="BF207" s="43"/>
      <c r="BK207" s="43"/>
      <c r="BQ207" s="43"/>
      <c r="BV207" s="43"/>
      <c r="CC207" s="43"/>
    </row>
    <row r="208" spans="2:81" ht="15.75" customHeight="1">
      <c r="B208" s="36"/>
      <c r="D208" s="36"/>
      <c r="F208" s="43"/>
      <c r="L208" s="43"/>
      <c r="Q208" s="43"/>
      <c r="V208" s="43"/>
      <c r="AD208" s="43"/>
      <c r="AG208" s="43"/>
      <c r="AL208" s="43"/>
      <c r="AQ208" s="43"/>
      <c r="AV208" s="43"/>
      <c r="BA208" s="43"/>
      <c r="BF208" s="43"/>
      <c r="BK208" s="43"/>
      <c r="BQ208" s="43"/>
      <c r="BV208" s="43"/>
      <c r="CC208" s="43"/>
    </row>
    <row r="209" spans="2:81" ht="15.75" customHeight="1">
      <c r="B209" s="36"/>
      <c r="D209" s="36"/>
      <c r="F209" s="43"/>
      <c r="L209" s="43"/>
      <c r="Q209" s="43"/>
      <c r="V209" s="43"/>
      <c r="AD209" s="43"/>
      <c r="AG209" s="43"/>
      <c r="AL209" s="43"/>
      <c r="AQ209" s="43"/>
      <c r="AV209" s="43"/>
      <c r="BA209" s="43"/>
      <c r="BF209" s="43"/>
      <c r="BK209" s="43"/>
      <c r="BQ209" s="43"/>
      <c r="BV209" s="43"/>
      <c r="CC209" s="43"/>
    </row>
    <row r="210" spans="2:81" ht="15.75" customHeight="1">
      <c r="B210" s="36"/>
      <c r="D210" s="36"/>
      <c r="F210" s="43"/>
      <c r="L210" s="43"/>
      <c r="Q210" s="43"/>
      <c r="V210" s="43"/>
      <c r="AD210" s="43"/>
      <c r="AG210" s="43"/>
      <c r="AL210" s="43"/>
      <c r="AQ210" s="43"/>
      <c r="AV210" s="43"/>
      <c r="BA210" s="43"/>
      <c r="BF210" s="43"/>
      <c r="BK210" s="43"/>
      <c r="BQ210" s="43"/>
      <c r="BV210" s="43"/>
      <c r="CC210" s="43"/>
    </row>
    <row r="211" spans="2:81" ht="15.75" customHeight="1">
      <c r="B211" s="36"/>
      <c r="D211" s="36"/>
      <c r="F211" s="43"/>
      <c r="L211" s="43"/>
      <c r="Q211" s="43"/>
      <c r="V211" s="43"/>
      <c r="AD211" s="43"/>
      <c r="AG211" s="43"/>
      <c r="AL211" s="43"/>
      <c r="AQ211" s="43"/>
      <c r="AV211" s="43"/>
      <c r="BA211" s="43"/>
      <c r="BF211" s="43"/>
      <c r="BK211" s="43"/>
      <c r="BQ211" s="43"/>
      <c r="BV211" s="43"/>
      <c r="CC211" s="43"/>
    </row>
    <row r="212" spans="2:81" ht="15.75" customHeight="1">
      <c r="B212" s="36"/>
      <c r="D212" s="36"/>
      <c r="F212" s="43"/>
      <c r="L212" s="43"/>
      <c r="Q212" s="43"/>
      <c r="V212" s="43"/>
      <c r="AD212" s="43"/>
      <c r="AG212" s="43"/>
      <c r="AL212" s="43"/>
      <c r="AQ212" s="43"/>
      <c r="AV212" s="43"/>
      <c r="BA212" s="43"/>
      <c r="BF212" s="43"/>
      <c r="BK212" s="43"/>
      <c r="BQ212" s="43"/>
      <c r="BV212" s="43"/>
      <c r="CC212" s="43"/>
    </row>
    <row r="213" spans="2:81" ht="15.75" customHeight="1">
      <c r="B213" s="36"/>
      <c r="D213" s="36"/>
      <c r="F213" s="43"/>
      <c r="L213" s="43"/>
      <c r="Q213" s="43"/>
      <c r="V213" s="43"/>
      <c r="AD213" s="43"/>
      <c r="AG213" s="43"/>
      <c r="AL213" s="43"/>
      <c r="AQ213" s="43"/>
      <c r="AV213" s="43"/>
      <c r="BA213" s="43"/>
      <c r="BF213" s="43"/>
      <c r="BK213" s="43"/>
      <c r="BQ213" s="43"/>
      <c r="BV213" s="43"/>
      <c r="CC213" s="43"/>
    </row>
    <row r="214" spans="2:81" ht="15.75" customHeight="1">
      <c r="B214" s="36"/>
      <c r="D214" s="36"/>
      <c r="F214" s="43"/>
      <c r="L214" s="43"/>
      <c r="Q214" s="43"/>
      <c r="V214" s="43"/>
      <c r="AD214" s="43"/>
      <c r="AG214" s="43"/>
      <c r="AL214" s="43"/>
      <c r="AQ214" s="43"/>
      <c r="AV214" s="43"/>
      <c r="BA214" s="43"/>
      <c r="BF214" s="43"/>
      <c r="BK214" s="43"/>
      <c r="BQ214" s="43"/>
      <c r="BV214" s="43"/>
      <c r="CC214" s="43"/>
    </row>
    <row r="215" spans="2:81" ht="15.75" customHeight="1">
      <c r="B215" s="36"/>
      <c r="D215" s="36"/>
      <c r="F215" s="43"/>
      <c r="L215" s="43"/>
      <c r="Q215" s="43"/>
      <c r="V215" s="43"/>
      <c r="AD215" s="43"/>
      <c r="AG215" s="43"/>
      <c r="AL215" s="43"/>
      <c r="AQ215" s="43"/>
      <c r="AV215" s="43"/>
      <c r="BA215" s="43"/>
      <c r="BF215" s="43"/>
      <c r="BK215" s="43"/>
      <c r="BQ215" s="43"/>
      <c r="BV215" s="43"/>
      <c r="CC215" s="43"/>
    </row>
    <row r="216" spans="2:81" ht="15.75" customHeight="1">
      <c r="B216" s="36"/>
      <c r="D216" s="36"/>
      <c r="F216" s="43"/>
      <c r="L216" s="43"/>
      <c r="Q216" s="43"/>
      <c r="V216" s="43"/>
      <c r="AD216" s="43"/>
      <c r="AG216" s="43"/>
      <c r="AL216" s="43"/>
      <c r="AQ216" s="43"/>
      <c r="AV216" s="43"/>
      <c r="BA216" s="43"/>
      <c r="BF216" s="43"/>
      <c r="BK216" s="43"/>
      <c r="BQ216" s="43"/>
      <c r="BV216" s="43"/>
      <c r="CC216" s="43"/>
    </row>
    <row r="217" spans="2:81" ht="15.75" customHeight="1">
      <c r="B217" s="36"/>
      <c r="D217" s="36"/>
      <c r="F217" s="43"/>
      <c r="L217" s="43"/>
      <c r="Q217" s="43"/>
      <c r="V217" s="43"/>
      <c r="AD217" s="43"/>
      <c r="AG217" s="43"/>
      <c r="AL217" s="43"/>
      <c r="AQ217" s="43"/>
      <c r="AV217" s="43"/>
      <c r="BA217" s="43"/>
      <c r="BF217" s="43"/>
      <c r="BK217" s="43"/>
      <c r="BQ217" s="43"/>
      <c r="BV217" s="43"/>
      <c r="CC217" s="43"/>
    </row>
    <row r="218" spans="2:81" ht="15.75" customHeight="1">
      <c r="B218" s="36"/>
      <c r="D218" s="36"/>
      <c r="F218" s="43"/>
      <c r="L218" s="43"/>
      <c r="Q218" s="43"/>
      <c r="V218" s="43"/>
      <c r="AD218" s="43"/>
      <c r="AG218" s="43"/>
      <c r="AL218" s="43"/>
      <c r="AQ218" s="43"/>
      <c r="AV218" s="43"/>
      <c r="BA218" s="43"/>
      <c r="BF218" s="43"/>
      <c r="BK218" s="43"/>
      <c r="BQ218" s="43"/>
      <c r="BV218" s="43"/>
      <c r="CC218" s="43"/>
    </row>
    <row r="219" spans="2:81" ht="15.75" customHeight="1">
      <c r="B219" s="36"/>
      <c r="D219" s="36"/>
      <c r="F219" s="43"/>
      <c r="L219" s="43"/>
      <c r="Q219" s="43"/>
      <c r="V219" s="43"/>
      <c r="AD219" s="43"/>
      <c r="AG219" s="43"/>
      <c r="AL219" s="43"/>
      <c r="AQ219" s="43"/>
      <c r="AV219" s="43"/>
      <c r="BA219" s="43"/>
      <c r="BF219" s="43"/>
      <c r="BK219" s="43"/>
      <c r="BQ219" s="43"/>
      <c r="BV219" s="43"/>
      <c r="CC219" s="43"/>
    </row>
    <row r="220" spans="2:81" ht="15.75" customHeight="1">
      <c r="B220" s="36"/>
      <c r="D220" s="36"/>
      <c r="F220" s="43"/>
      <c r="L220" s="43"/>
      <c r="Q220" s="43"/>
      <c r="V220" s="43"/>
      <c r="AD220" s="43"/>
      <c r="AG220" s="43"/>
      <c r="AL220" s="43"/>
      <c r="AQ220" s="43"/>
      <c r="AV220" s="43"/>
      <c r="BA220" s="43"/>
      <c r="BF220" s="43"/>
      <c r="BK220" s="43"/>
      <c r="BQ220" s="43"/>
      <c r="BV220" s="43"/>
      <c r="CC220" s="43"/>
    </row>
    <row r="221" spans="2:81" ht="15.75" customHeight="1">
      <c r="B221" s="36"/>
      <c r="D221" s="36"/>
      <c r="F221" s="43"/>
      <c r="L221" s="43"/>
      <c r="Q221" s="43"/>
      <c r="V221" s="43"/>
      <c r="AD221" s="43"/>
      <c r="AG221" s="43"/>
      <c r="AL221" s="43"/>
      <c r="AQ221" s="43"/>
      <c r="AV221" s="43"/>
      <c r="BA221" s="43"/>
      <c r="BF221" s="43"/>
      <c r="BK221" s="43"/>
      <c r="BQ221" s="43"/>
      <c r="BV221" s="43"/>
      <c r="CC221" s="43"/>
    </row>
    <row r="222" spans="2:81" ht="15.75" customHeight="1">
      <c r="B222" s="36"/>
      <c r="D222" s="36"/>
      <c r="F222" s="43"/>
      <c r="L222" s="43"/>
      <c r="Q222" s="43"/>
      <c r="V222" s="43"/>
      <c r="AD222" s="43"/>
      <c r="AG222" s="43"/>
      <c r="AL222" s="43"/>
      <c r="AQ222" s="43"/>
      <c r="AV222" s="43"/>
      <c r="BA222" s="43"/>
      <c r="BF222" s="43"/>
      <c r="BK222" s="43"/>
      <c r="BQ222" s="43"/>
      <c r="BV222" s="43"/>
      <c r="CC222" s="43"/>
    </row>
    <row r="223" spans="2:81" ht="15.75" customHeight="1">
      <c r="B223" s="36"/>
      <c r="D223" s="36"/>
      <c r="F223" s="43"/>
      <c r="L223" s="43"/>
      <c r="Q223" s="43"/>
      <c r="V223" s="43"/>
      <c r="AD223" s="43"/>
      <c r="AG223" s="43"/>
      <c r="AL223" s="43"/>
      <c r="AQ223" s="43"/>
      <c r="AV223" s="43"/>
      <c r="BA223" s="43"/>
      <c r="BF223" s="43"/>
      <c r="BK223" s="43"/>
      <c r="BQ223" s="43"/>
      <c r="BV223" s="43"/>
      <c r="CC223" s="43"/>
    </row>
    <row r="224" spans="2:81" ht="15.75" customHeight="1">
      <c r="B224" s="36"/>
      <c r="D224" s="36"/>
      <c r="F224" s="43"/>
      <c r="L224" s="43"/>
      <c r="Q224" s="43"/>
      <c r="V224" s="43"/>
      <c r="AD224" s="43"/>
      <c r="AG224" s="43"/>
      <c r="AL224" s="43"/>
      <c r="AQ224" s="43"/>
      <c r="AV224" s="43"/>
      <c r="BA224" s="43"/>
      <c r="BF224" s="43"/>
      <c r="BK224" s="43"/>
      <c r="BQ224" s="43"/>
      <c r="BV224" s="43"/>
      <c r="CC224" s="43"/>
    </row>
    <row r="225" spans="2:81" ht="15.75" customHeight="1">
      <c r="B225" s="36"/>
      <c r="D225" s="36"/>
      <c r="F225" s="43"/>
      <c r="L225" s="43"/>
      <c r="Q225" s="43"/>
      <c r="V225" s="43"/>
      <c r="AD225" s="43"/>
      <c r="AG225" s="43"/>
      <c r="AL225" s="43"/>
      <c r="AQ225" s="43"/>
      <c r="AV225" s="43"/>
      <c r="BA225" s="43"/>
      <c r="BF225" s="43"/>
      <c r="BK225" s="43"/>
      <c r="BQ225" s="43"/>
      <c r="BV225" s="43"/>
      <c r="CC225" s="43"/>
    </row>
    <row r="226" spans="2:81" ht="15.75" customHeight="1">
      <c r="B226" s="36"/>
      <c r="D226" s="36"/>
      <c r="F226" s="43"/>
      <c r="L226" s="43"/>
      <c r="Q226" s="43"/>
      <c r="V226" s="43"/>
      <c r="AD226" s="43"/>
      <c r="AG226" s="43"/>
      <c r="AL226" s="43"/>
      <c r="AQ226" s="43"/>
      <c r="AV226" s="43"/>
      <c r="BA226" s="43"/>
      <c r="BF226" s="43"/>
      <c r="BK226" s="43"/>
      <c r="BQ226" s="43"/>
      <c r="BV226" s="43"/>
      <c r="CC226" s="43"/>
    </row>
    <row r="227" spans="2:81" ht="15.75" customHeight="1">
      <c r="B227" s="36"/>
      <c r="D227" s="36"/>
      <c r="F227" s="43"/>
      <c r="L227" s="43"/>
      <c r="Q227" s="43"/>
      <c r="V227" s="43"/>
      <c r="AD227" s="43"/>
      <c r="AG227" s="43"/>
      <c r="AL227" s="43"/>
      <c r="AQ227" s="43"/>
      <c r="AV227" s="43"/>
      <c r="BA227" s="43"/>
      <c r="BF227" s="43"/>
      <c r="BK227" s="43"/>
      <c r="BQ227" s="43"/>
      <c r="BV227" s="43"/>
      <c r="CC227" s="43"/>
    </row>
    <row r="228" spans="2:81" ht="15.75" customHeight="1">
      <c r="B228" s="36"/>
      <c r="D228" s="36"/>
      <c r="F228" s="43"/>
      <c r="L228" s="43"/>
      <c r="Q228" s="43"/>
      <c r="V228" s="43"/>
      <c r="AD228" s="43"/>
      <c r="AG228" s="43"/>
      <c r="AL228" s="43"/>
      <c r="AQ228" s="43"/>
      <c r="AV228" s="43"/>
      <c r="BA228" s="43"/>
      <c r="BF228" s="43"/>
      <c r="BK228" s="43"/>
      <c r="BQ228" s="43"/>
      <c r="BV228" s="43"/>
      <c r="CC228" s="43"/>
    </row>
    <row r="229" spans="2:81" ht="15.75" customHeight="1">
      <c r="B229" s="36"/>
      <c r="D229" s="36"/>
      <c r="F229" s="43"/>
      <c r="L229" s="43"/>
      <c r="Q229" s="43"/>
      <c r="V229" s="43"/>
      <c r="AD229" s="43"/>
      <c r="AG229" s="43"/>
      <c r="AL229" s="43"/>
      <c r="AQ229" s="43"/>
      <c r="AV229" s="43"/>
      <c r="BA229" s="43"/>
      <c r="BF229" s="43"/>
      <c r="BK229" s="43"/>
      <c r="BQ229" s="43"/>
      <c r="BV229" s="43"/>
      <c r="CC229" s="43"/>
    </row>
    <row r="230" spans="2:81" ht="15.75" customHeight="1">
      <c r="B230" s="36"/>
      <c r="D230" s="36"/>
      <c r="F230" s="43"/>
      <c r="L230" s="43"/>
      <c r="Q230" s="43"/>
      <c r="V230" s="43"/>
      <c r="AD230" s="43"/>
      <c r="AG230" s="43"/>
      <c r="AL230" s="43"/>
      <c r="AQ230" s="43"/>
      <c r="AV230" s="43"/>
      <c r="BA230" s="43"/>
      <c r="BF230" s="43"/>
      <c r="BK230" s="43"/>
      <c r="BQ230" s="43"/>
      <c r="BV230" s="43"/>
      <c r="CC230" s="43"/>
    </row>
    <row r="231" spans="2:81" ht="15.75" customHeight="1">
      <c r="B231" s="36"/>
      <c r="D231" s="36"/>
      <c r="F231" s="43"/>
      <c r="L231" s="43"/>
      <c r="Q231" s="43"/>
      <c r="V231" s="43"/>
      <c r="AD231" s="43"/>
      <c r="AG231" s="43"/>
      <c r="AL231" s="43"/>
      <c r="AQ231" s="43"/>
      <c r="AV231" s="43"/>
      <c r="BA231" s="43"/>
      <c r="BF231" s="43"/>
      <c r="BK231" s="43"/>
      <c r="BQ231" s="43"/>
      <c r="BV231" s="43"/>
      <c r="CC231" s="43"/>
    </row>
    <row r="232" spans="2:81" ht="15.75" customHeight="1">
      <c r="B232" s="36"/>
      <c r="D232" s="36"/>
      <c r="F232" s="43"/>
      <c r="L232" s="43"/>
      <c r="Q232" s="43"/>
      <c r="V232" s="43"/>
      <c r="AD232" s="43"/>
      <c r="AG232" s="43"/>
      <c r="AL232" s="43"/>
      <c r="AQ232" s="43"/>
      <c r="AV232" s="43"/>
      <c r="BA232" s="43"/>
      <c r="BF232" s="43"/>
      <c r="BK232" s="43"/>
      <c r="BQ232" s="43"/>
      <c r="BV232" s="43"/>
      <c r="CC232" s="43"/>
    </row>
    <row r="233" spans="2:81" ht="15.75" customHeight="1">
      <c r="B233" s="36"/>
      <c r="D233" s="36"/>
      <c r="F233" s="43"/>
      <c r="L233" s="43"/>
      <c r="Q233" s="43"/>
      <c r="V233" s="43"/>
      <c r="AD233" s="43"/>
      <c r="AG233" s="43"/>
      <c r="AL233" s="43"/>
      <c r="AQ233" s="43"/>
      <c r="AV233" s="43"/>
      <c r="BA233" s="43"/>
      <c r="BF233" s="43"/>
      <c r="BK233" s="43"/>
      <c r="BQ233" s="43"/>
      <c r="BV233" s="43"/>
      <c r="CC233" s="43"/>
    </row>
    <row r="234" spans="2:81" ht="15.75" customHeight="1">
      <c r="B234" s="36"/>
      <c r="D234" s="36"/>
      <c r="F234" s="43"/>
      <c r="L234" s="43"/>
      <c r="Q234" s="43"/>
      <c r="V234" s="43"/>
      <c r="AD234" s="43"/>
      <c r="AG234" s="43"/>
      <c r="AL234" s="43"/>
      <c r="AQ234" s="43"/>
      <c r="AV234" s="43"/>
      <c r="BA234" s="43"/>
      <c r="BF234" s="43"/>
      <c r="BK234" s="43"/>
      <c r="BQ234" s="43"/>
      <c r="BV234" s="43"/>
      <c r="CC234" s="43"/>
    </row>
    <row r="235" spans="2:81" ht="15.75" customHeight="1">
      <c r="B235" s="36"/>
      <c r="D235" s="36"/>
      <c r="F235" s="43"/>
      <c r="L235" s="43"/>
      <c r="Q235" s="43"/>
      <c r="V235" s="43"/>
      <c r="AD235" s="43"/>
      <c r="AG235" s="43"/>
      <c r="AL235" s="43"/>
      <c r="AQ235" s="43"/>
      <c r="AV235" s="43"/>
      <c r="BA235" s="43"/>
      <c r="BF235" s="43"/>
      <c r="BK235" s="43"/>
      <c r="BQ235" s="43"/>
      <c r="BV235" s="43"/>
      <c r="CC235" s="43"/>
    </row>
    <row r="236" spans="2:81" ht="15.75" customHeight="1">
      <c r="B236" s="36"/>
      <c r="D236" s="36"/>
      <c r="F236" s="43"/>
      <c r="L236" s="43"/>
      <c r="Q236" s="43"/>
      <c r="V236" s="43"/>
      <c r="AD236" s="43"/>
      <c r="AG236" s="43"/>
      <c r="AL236" s="43"/>
      <c r="AQ236" s="43"/>
      <c r="AV236" s="43"/>
      <c r="BA236" s="43"/>
      <c r="BF236" s="43"/>
      <c r="BK236" s="43"/>
      <c r="BQ236" s="43"/>
      <c r="BV236" s="43"/>
      <c r="CC236" s="43"/>
    </row>
    <row r="237" spans="2:81" ht="15.75" customHeight="1">
      <c r="B237" s="36"/>
      <c r="D237" s="36"/>
      <c r="F237" s="43"/>
      <c r="L237" s="43"/>
      <c r="Q237" s="43"/>
      <c r="V237" s="43"/>
      <c r="AD237" s="43"/>
      <c r="AG237" s="43"/>
      <c r="AL237" s="43"/>
      <c r="AQ237" s="43"/>
      <c r="AV237" s="43"/>
      <c r="BA237" s="43"/>
      <c r="BF237" s="43"/>
      <c r="BK237" s="43"/>
      <c r="BQ237" s="43"/>
      <c r="BV237" s="43"/>
      <c r="CC237" s="43"/>
    </row>
    <row r="238" spans="2:81" ht="15.75" customHeight="1">
      <c r="B238" s="36"/>
      <c r="D238" s="36"/>
      <c r="F238" s="43"/>
      <c r="L238" s="43"/>
      <c r="Q238" s="43"/>
      <c r="V238" s="43"/>
      <c r="AD238" s="43"/>
      <c r="AG238" s="43"/>
      <c r="AL238" s="43"/>
      <c r="AQ238" s="43"/>
      <c r="AV238" s="43"/>
      <c r="BA238" s="43"/>
      <c r="BF238" s="43"/>
      <c r="BK238" s="43"/>
      <c r="BQ238" s="43"/>
      <c r="BV238" s="43"/>
      <c r="CC238" s="43"/>
    </row>
    <row r="239" spans="2:81" ht="15.75" customHeight="1">
      <c r="B239" s="36"/>
      <c r="D239" s="36"/>
      <c r="F239" s="43"/>
      <c r="L239" s="43"/>
      <c r="Q239" s="43"/>
      <c r="V239" s="43"/>
      <c r="AD239" s="43"/>
      <c r="AG239" s="43"/>
      <c r="AL239" s="43"/>
      <c r="AQ239" s="43"/>
      <c r="AV239" s="43"/>
      <c r="BA239" s="43"/>
      <c r="BF239" s="43"/>
      <c r="BK239" s="43"/>
      <c r="BQ239" s="43"/>
      <c r="BV239" s="43"/>
      <c r="CC239" s="43"/>
    </row>
    <row r="240" spans="2:81" ht="15.75" customHeight="1">
      <c r="B240" s="36"/>
      <c r="D240" s="36"/>
      <c r="F240" s="43"/>
      <c r="L240" s="43"/>
      <c r="Q240" s="43"/>
      <c r="V240" s="43"/>
      <c r="AD240" s="43"/>
      <c r="AG240" s="43"/>
      <c r="AL240" s="43"/>
      <c r="AQ240" s="43"/>
      <c r="AV240" s="43"/>
      <c r="BA240" s="43"/>
      <c r="BF240" s="43"/>
      <c r="BK240" s="43"/>
      <c r="BQ240" s="43"/>
      <c r="BV240" s="43"/>
      <c r="CC240" s="43"/>
    </row>
    <row r="241" spans="2:81" ht="15.75" customHeight="1">
      <c r="B241" s="36"/>
      <c r="D241" s="36"/>
      <c r="F241" s="43"/>
      <c r="L241" s="43"/>
      <c r="Q241" s="43"/>
      <c r="V241" s="43"/>
      <c r="AD241" s="43"/>
      <c r="AG241" s="43"/>
      <c r="AL241" s="43"/>
      <c r="AQ241" s="43"/>
      <c r="AV241" s="43"/>
      <c r="BA241" s="43"/>
      <c r="BF241" s="43"/>
      <c r="BK241" s="43"/>
      <c r="BQ241" s="43"/>
      <c r="BV241" s="43"/>
      <c r="CC241" s="43"/>
    </row>
    <row r="242" spans="2:81" ht="15.75" customHeight="1">
      <c r="B242" s="36"/>
      <c r="D242" s="36"/>
      <c r="F242" s="43"/>
      <c r="L242" s="43"/>
      <c r="Q242" s="43"/>
      <c r="V242" s="43"/>
      <c r="AD242" s="43"/>
      <c r="AG242" s="43"/>
      <c r="AL242" s="43"/>
      <c r="AQ242" s="43"/>
      <c r="AV242" s="43"/>
      <c r="BA242" s="43"/>
      <c r="BF242" s="43"/>
      <c r="BK242" s="43"/>
      <c r="BQ242" s="43"/>
      <c r="BV242" s="43"/>
      <c r="CC242" s="43"/>
    </row>
    <row r="243" spans="2:81" ht="15.75" customHeight="1">
      <c r="B243" s="36"/>
      <c r="D243" s="36"/>
      <c r="F243" s="43"/>
      <c r="L243" s="43"/>
      <c r="Q243" s="43"/>
      <c r="V243" s="43"/>
      <c r="AD243" s="43"/>
      <c r="AG243" s="43"/>
      <c r="AL243" s="43"/>
      <c r="AQ243" s="43"/>
      <c r="AV243" s="43"/>
      <c r="BA243" s="43"/>
      <c r="BF243" s="43"/>
      <c r="BK243" s="43"/>
      <c r="BQ243" s="43"/>
      <c r="BV243" s="43"/>
      <c r="CC243" s="43"/>
    </row>
    <row r="244" spans="2:81" ht="15.75" customHeight="1">
      <c r="B244" s="36"/>
      <c r="D244" s="36"/>
      <c r="F244" s="43"/>
      <c r="L244" s="43"/>
      <c r="Q244" s="43"/>
      <c r="V244" s="43"/>
      <c r="AD244" s="43"/>
      <c r="AG244" s="43"/>
      <c r="AL244" s="43"/>
      <c r="AQ244" s="43"/>
      <c r="AV244" s="43"/>
      <c r="BA244" s="43"/>
      <c r="BF244" s="43"/>
      <c r="BK244" s="43"/>
      <c r="BQ244" s="43"/>
      <c r="BV244" s="43"/>
      <c r="CC244" s="43"/>
    </row>
    <row r="245" spans="2:81" ht="15.75" customHeight="1">
      <c r="B245" s="36"/>
      <c r="D245" s="36"/>
      <c r="F245" s="43"/>
      <c r="L245" s="43"/>
      <c r="Q245" s="43"/>
      <c r="V245" s="43"/>
      <c r="AD245" s="43"/>
      <c r="AG245" s="43"/>
      <c r="AL245" s="43"/>
      <c r="AQ245" s="43"/>
      <c r="AV245" s="43"/>
      <c r="BA245" s="43"/>
      <c r="BF245" s="43"/>
      <c r="BK245" s="43"/>
      <c r="BQ245" s="43"/>
      <c r="BV245" s="43"/>
      <c r="CC245" s="43"/>
    </row>
    <row r="246" spans="2:81" ht="15.75" customHeight="1">
      <c r="B246" s="36"/>
      <c r="D246" s="36"/>
      <c r="F246" s="43"/>
      <c r="L246" s="43"/>
      <c r="Q246" s="43"/>
      <c r="V246" s="43"/>
      <c r="AD246" s="43"/>
      <c r="AG246" s="43"/>
      <c r="AL246" s="43"/>
      <c r="AQ246" s="43"/>
      <c r="AV246" s="43"/>
      <c r="BA246" s="43"/>
      <c r="BF246" s="43"/>
      <c r="BK246" s="43"/>
      <c r="BQ246" s="43"/>
      <c r="BV246" s="43"/>
      <c r="CC246" s="43"/>
    </row>
    <row r="247" spans="2:81" ht="15.75" customHeight="1">
      <c r="B247" s="36"/>
      <c r="D247" s="36"/>
      <c r="F247" s="43"/>
      <c r="L247" s="43"/>
      <c r="Q247" s="43"/>
      <c r="V247" s="43"/>
      <c r="AD247" s="43"/>
      <c r="AG247" s="43"/>
      <c r="AL247" s="43"/>
      <c r="AQ247" s="43"/>
      <c r="AV247" s="43"/>
      <c r="BA247" s="43"/>
      <c r="BF247" s="43"/>
      <c r="BK247" s="43"/>
      <c r="BQ247" s="43"/>
      <c r="BV247" s="43"/>
      <c r="CC247" s="43"/>
    </row>
    <row r="248" spans="2:81" ht="15.75" customHeight="1">
      <c r="B248" s="36"/>
      <c r="D248" s="36"/>
      <c r="F248" s="43"/>
      <c r="L248" s="43"/>
      <c r="Q248" s="43"/>
      <c r="V248" s="43"/>
      <c r="AD248" s="43"/>
      <c r="AG248" s="43"/>
      <c r="AL248" s="43"/>
      <c r="AQ248" s="43"/>
      <c r="AV248" s="43"/>
      <c r="BA248" s="43"/>
      <c r="BF248" s="43"/>
      <c r="BK248" s="43"/>
      <c r="BQ248" s="43"/>
      <c r="BV248" s="43"/>
      <c r="CC248" s="43"/>
    </row>
    <row r="249" spans="2:81" ht="15.75" customHeight="1">
      <c r="B249" s="36"/>
      <c r="D249" s="36"/>
      <c r="F249" s="43"/>
      <c r="L249" s="43"/>
      <c r="Q249" s="43"/>
      <c r="V249" s="43"/>
      <c r="AD249" s="43"/>
      <c r="AG249" s="43"/>
      <c r="AL249" s="43"/>
      <c r="AQ249" s="43"/>
      <c r="AV249" s="43"/>
      <c r="BA249" s="43"/>
      <c r="BF249" s="43"/>
      <c r="BK249" s="43"/>
      <c r="BQ249" s="43"/>
      <c r="BV249" s="43"/>
      <c r="CC249" s="43"/>
    </row>
    <row r="250" spans="2:81" ht="15.75" customHeight="1">
      <c r="B250" s="36"/>
      <c r="D250" s="36"/>
      <c r="F250" s="43"/>
      <c r="L250" s="43"/>
      <c r="Q250" s="43"/>
      <c r="V250" s="43"/>
      <c r="AD250" s="43"/>
      <c r="AG250" s="43"/>
      <c r="AL250" s="43"/>
      <c r="AQ250" s="43"/>
      <c r="AV250" s="43"/>
      <c r="BA250" s="43"/>
      <c r="BF250" s="43"/>
      <c r="BK250" s="43"/>
      <c r="BQ250" s="43"/>
      <c r="BV250" s="43"/>
      <c r="CC250" s="43"/>
    </row>
    <row r="251" spans="2:81" ht="15.75" customHeight="1">
      <c r="B251" s="36"/>
      <c r="D251" s="36"/>
      <c r="F251" s="43"/>
      <c r="L251" s="43"/>
      <c r="Q251" s="43"/>
      <c r="V251" s="43"/>
      <c r="AD251" s="43"/>
      <c r="AG251" s="43"/>
      <c r="AL251" s="43"/>
      <c r="AQ251" s="43"/>
      <c r="AV251" s="43"/>
      <c r="BA251" s="43"/>
      <c r="BF251" s="43"/>
      <c r="BK251" s="43"/>
      <c r="BQ251" s="43"/>
      <c r="BV251" s="43"/>
      <c r="CC251" s="43"/>
    </row>
    <row r="252" spans="2:81" ht="15.75" customHeight="1">
      <c r="B252" s="36"/>
      <c r="D252" s="36"/>
      <c r="F252" s="43"/>
      <c r="L252" s="43"/>
      <c r="Q252" s="43"/>
      <c r="V252" s="43"/>
      <c r="AD252" s="43"/>
      <c r="AG252" s="43"/>
      <c r="AL252" s="43"/>
      <c r="AQ252" s="43"/>
      <c r="AV252" s="43"/>
      <c r="BA252" s="43"/>
      <c r="BF252" s="43"/>
      <c r="BK252" s="43"/>
      <c r="BQ252" s="43"/>
      <c r="BV252" s="43"/>
      <c r="CC252" s="43"/>
    </row>
    <row r="253" spans="2:81" ht="15.75" customHeight="1">
      <c r="B253" s="36"/>
      <c r="D253" s="36"/>
      <c r="F253" s="43"/>
      <c r="L253" s="43"/>
      <c r="Q253" s="43"/>
      <c r="V253" s="43"/>
      <c r="AD253" s="43"/>
      <c r="AG253" s="43"/>
      <c r="AL253" s="43"/>
      <c r="AQ253" s="43"/>
      <c r="AV253" s="43"/>
      <c r="BA253" s="43"/>
      <c r="BF253" s="43"/>
      <c r="BK253" s="43"/>
      <c r="BQ253" s="43"/>
      <c r="BV253" s="43"/>
      <c r="CC253" s="43"/>
    </row>
    <row r="254" spans="2:81" ht="15.75" customHeight="1">
      <c r="B254" s="36"/>
      <c r="D254" s="36"/>
      <c r="F254" s="43"/>
      <c r="L254" s="43"/>
      <c r="Q254" s="43"/>
      <c r="V254" s="43"/>
      <c r="AD254" s="43"/>
      <c r="AG254" s="43"/>
      <c r="AL254" s="43"/>
      <c r="AQ254" s="43"/>
      <c r="AV254" s="43"/>
      <c r="BA254" s="43"/>
      <c r="BF254" s="43"/>
      <c r="BK254" s="43"/>
      <c r="BQ254" s="43"/>
      <c r="BV254" s="43"/>
      <c r="CC254" s="43"/>
    </row>
    <row r="255" spans="2:81" ht="15.75" customHeight="1">
      <c r="B255" s="36"/>
      <c r="D255" s="36"/>
      <c r="F255" s="43"/>
      <c r="L255" s="43"/>
      <c r="Q255" s="43"/>
      <c r="V255" s="43"/>
      <c r="AD255" s="43"/>
      <c r="AG255" s="43"/>
      <c r="AL255" s="43"/>
      <c r="AQ255" s="43"/>
      <c r="AV255" s="43"/>
      <c r="BA255" s="43"/>
      <c r="BF255" s="43"/>
      <c r="BK255" s="43"/>
      <c r="BQ255" s="43"/>
      <c r="BV255" s="43"/>
      <c r="CC255" s="43"/>
    </row>
    <row r="256" spans="2:81" ht="15.75" customHeight="1">
      <c r="B256" s="36"/>
      <c r="D256" s="36"/>
      <c r="F256" s="43"/>
      <c r="L256" s="43"/>
      <c r="Q256" s="43"/>
      <c r="V256" s="43"/>
      <c r="AD256" s="43"/>
      <c r="AG256" s="43"/>
      <c r="AL256" s="43"/>
      <c r="AQ256" s="43"/>
      <c r="AV256" s="43"/>
      <c r="BA256" s="43"/>
      <c r="BF256" s="43"/>
      <c r="BK256" s="43"/>
      <c r="BQ256" s="43"/>
      <c r="BV256" s="43"/>
      <c r="CC256" s="43"/>
    </row>
    <row r="257" spans="2:81" ht="15.75" customHeight="1">
      <c r="B257" s="36"/>
      <c r="D257" s="36"/>
      <c r="F257" s="43"/>
      <c r="L257" s="43"/>
      <c r="Q257" s="43"/>
      <c r="V257" s="43"/>
      <c r="AD257" s="43"/>
      <c r="AG257" s="43"/>
      <c r="AL257" s="43"/>
      <c r="AQ257" s="43"/>
      <c r="AV257" s="43"/>
      <c r="BA257" s="43"/>
      <c r="BF257" s="43"/>
      <c r="BK257" s="43"/>
      <c r="BQ257" s="43"/>
      <c r="BV257" s="43"/>
      <c r="CC257" s="43"/>
    </row>
    <row r="258" spans="2:81" ht="15.75" customHeight="1">
      <c r="B258" s="36"/>
      <c r="D258" s="36"/>
      <c r="F258" s="43"/>
      <c r="L258" s="43"/>
      <c r="Q258" s="43"/>
      <c r="V258" s="43"/>
      <c r="AD258" s="43"/>
      <c r="AG258" s="43"/>
      <c r="AL258" s="43"/>
      <c r="AQ258" s="43"/>
      <c r="AV258" s="43"/>
      <c r="BA258" s="43"/>
      <c r="BF258" s="43"/>
      <c r="BK258" s="43"/>
      <c r="BQ258" s="43"/>
      <c r="BV258" s="43"/>
      <c r="CC258" s="43"/>
    </row>
    <row r="259" spans="2:81" ht="15.75" customHeight="1">
      <c r="B259" s="36"/>
      <c r="D259" s="36"/>
      <c r="F259" s="43"/>
      <c r="L259" s="43"/>
      <c r="Q259" s="43"/>
      <c r="V259" s="43"/>
      <c r="AD259" s="43"/>
      <c r="AG259" s="43"/>
      <c r="AL259" s="43"/>
      <c r="AQ259" s="43"/>
      <c r="AV259" s="43"/>
      <c r="BA259" s="43"/>
      <c r="BF259" s="43"/>
      <c r="BK259" s="43"/>
      <c r="BQ259" s="43"/>
      <c r="BV259" s="43"/>
      <c r="CC259" s="43"/>
    </row>
    <row r="260" spans="2:81" ht="15.75" customHeight="1">
      <c r="B260" s="36"/>
      <c r="D260" s="36"/>
      <c r="F260" s="43"/>
      <c r="L260" s="43"/>
      <c r="Q260" s="43"/>
      <c r="V260" s="43"/>
      <c r="AD260" s="43"/>
      <c r="AG260" s="43"/>
      <c r="AL260" s="43"/>
      <c r="AQ260" s="43"/>
      <c r="AV260" s="43"/>
      <c r="BA260" s="43"/>
      <c r="BF260" s="43"/>
      <c r="BK260" s="43"/>
      <c r="BQ260" s="43"/>
      <c r="BV260" s="43"/>
      <c r="CC260" s="43"/>
    </row>
    <row r="261" spans="2:81" ht="15.75" customHeight="1">
      <c r="B261" s="36"/>
      <c r="D261" s="36"/>
      <c r="F261" s="43"/>
      <c r="L261" s="43"/>
      <c r="Q261" s="43"/>
      <c r="V261" s="43"/>
      <c r="AD261" s="43"/>
      <c r="AG261" s="43"/>
      <c r="AL261" s="43"/>
      <c r="AQ261" s="43"/>
      <c r="AV261" s="43"/>
      <c r="BA261" s="43"/>
      <c r="BF261" s="43"/>
      <c r="BK261" s="43"/>
      <c r="BQ261" s="43"/>
      <c r="BV261" s="43"/>
      <c r="CC261" s="43"/>
    </row>
    <row r="262" spans="2:81" ht="15.75" customHeight="1">
      <c r="B262" s="36"/>
      <c r="D262" s="36"/>
      <c r="F262" s="43"/>
      <c r="L262" s="43"/>
      <c r="Q262" s="43"/>
      <c r="V262" s="43"/>
      <c r="AD262" s="43"/>
      <c r="AG262" s="43"/>
      <c r="AL262" s="43"/>
      <c r="AQ262" s="43"/>
      <c r="AV262" s="43"/>
      <c r="BA262" s="43"/>
      <c r="BF262" s="43"/>
      <c r="BK262" s="43"/>
      <c r="BQ262" s="43"/>
      <c r="BV262" s="43"/>
      <c r="CC262" s="43"/>
    </row>
    <row r="263" spans="2:81" ht="15.75" customHeight="1">
      <c r="B263" s="36"/>
      <c r="D263" s="36"/>
      <c r="F263" s="43"/>
      <c r="L263" s="43"/>
      <c r="Q263" s="43"/>
      <c r="V263" s="43"/>
      <c r="AD263" s="43"/>
      <c r="AG263" s="43"/>
      <c r="AL263" s="43"/>
      <c r="AQ263" s="43"/>
      <c r="AV263" s="43"/>
      <c r="BA263" s="43"/>
      <c r="BF263" s="43"/>
      <c r="BK263" s="43"/>
      <c r="BQ263" s="43"/>
      <c r="BV263" s="43"/>
      <c r="CC263" s="43"/>
    </row>
    <row r="264" spans="2:81" ht="15.75" customHeight="1">
      <c r="B264" s="36"/>
      <c r="D264" s="36"/>
      <c r="F264" s="43"/>
      <c r="L264" s="43"/>
      <c r="Q264" s="43"/>
      <c r="V264" s="43"/>
      <c r="AD264" s="43"/>
      <c r="AG264" s="43"/>
      <c r="AL264" s="43"/>
      <c r="AQ264" s="43"/>
      <c r="AV264" s="43"/>
      <c r="BA264" s="43"/>
      <c r="BF264" s="43"/>
      <c r="BK264" s="43"/>
      <c r="BQ264" s="43"/>
      <c r="BV264" s="43"/>
      <c r="CC264" s="43"/>
    </row>
    <row r="265" spans="2:81" ht="15.75" customHeight="1">
      <c r="B265" s="36"/>
      <c r="D265" s="36"/>
      <c r="F265" s="43"/>
      <c r="L265" s="43"/>
      <c r="Q265" s="43"/>
      <c r="V265" s="43"/>
      <c r="AD265" s="43"/>
      <c r="AG265" s="43"/>
      <c r="AL265" s="43"/>
      <c r="AQ265" s="43"/>
      <c r="AV265" s="43"/>
      <c r="BA265" s="43"/>
      <c r="BF265" s="43"/>
      <c r="BK265" s="43"/>
      <c r="BQ265" s="43"/>
      <c r="BV265" s="43"/>
      <c r="CC265" s="43"/>
    </row>
    <row r="266" spans="2:81" ht="15.75" customHeight="1">
      <c r="B266" s="36"/>
      <c r="D266" s="36"/>
      <c r="F266" s="43"/>
      <c r="L266" s="43"/>
      <c r="Q266" s="43"/>
      <c r="V266" s="43"/>
      <c r="AD266" s="43"/>
      <c r="AG266" s="43"/>
      <c r="AL266" s="43"/>
      <c r="AQ266" s="43"/>
      <c r="AV266" s="43"/>
      <c r="BA266" s="43"/>
      <c r="BF266" s="43"/>
      <c r="BK266" s="43"/>
      <c r="BQ266" s="43"/>
      <c r="BV266" s="43"/>
      <c r="CC266" s="43"/>
    </row>
    <row r="267" spans="2:81" ht="15.75" customHeight="1">
      <c r="B267" s="36"/>
      <c r="D267" s="36"/>
      <c r="F267" s="43"/>
      <c r="L267" s="43"/>
      <c r="Q267" s="43"/>
      <c r="V267" s="43"/>
      <c r="AD267" s="43"/>
      <c r="AG267" s="43"/>
      <c r="AL267" s="43"/>
      <c r="AQ267" s="43"/>
      <c r="AV267" s="43"/>
      <c r="BA267" s="43"/>
      <c r="BF267" s="43"/>
      <c r="BK267" s="43"/>
      <c r="BQ267" s="43"/>
      <c r="BV267" s="43"/>
      <c r="CC267" s="43"/>
    </row>
    <row r="268" spans="2:81" ht="15.75" customHeight="1">
      <c r="B268" s="36"/>
      <c r="D268" s="36"/>
      <c r="F268" s="43"/>
      <c r="L268" s="43"/>
      <c r="Q268" s="43"/>
      <c r="V268" s="43"/>
      <c r="AD268" s="43"/>
      <c r="AG268" s="43"/>
      <c r="AL268" s="43"/>
      <c r="AQ268" s="43"/>
      <c r="AV268" s="43"/>
      <c r="BA268" s="43"/>
      <c r="BF268" s="43"/>
      <c r="BK268" s="43"/>
      <c r="BQ268" s="43"/>
      <c r="BV268" s="43"/>
      <c r="CC268" s="43"/>
    </row>
    <row r="269" spans="2:81" ht="15.75" customHeight="1">
      <c r="B269" s="36"/>
      <c r="D269" s="36"/>
      <c r="F269" s="43"/>
      <c r="L269" s="43"/>
      <c r="Q269" s="43"/>
      <c r="V269" s="43"/>
      <c r="AD269" s="43"/>
      <c r="AG269" s="43"/>
      <c r="AL269" s="43"/>
      <c r="AQ269" s="43"/>
      <c r="AV269" s="43"/>
      <c r="BA269" s="43"/>
      <c r="BF269" s="43"/>
      <c r="BK269" s="43"/>
      <c r="BQ269" s="43"/>
      <c r="BV269" s="43"/>
      <c r="CC269" s="43"/>
    </row>
    <row r="270" spans="2:81" ht="15.75" customHeight="1">
      <c r="B270" s="36"/>
      <c r="D270" s="36"/>
      <c r="F270" s="43"/>
      <c r="L270" s="43"/>
      <c r="Q270" s="43"/>
      <c r="V270" s="43"/>
      <c r="AD270" s="43"/>
      <c r="AG270" s="43"/>
      <c r="AL270" s="43"/>
      <c r="AQ270" s="43"/>
      <c r="AV270" s="43"/>
      <c r="BA270" s="43"/>
      <c r="BF270" s="43"/>
      <c r="BK270" s="43"/>
      <c r="BQ270" s="43"/>
      <c r="BV270" s="43"/>
      <c r="CC270" s="43"/>
    </row>
    <row r="271" spans="2:81" ht="15.75" customHeight="1">
      <c r="B271" s="36"/>
      <c r="D271" s="36"/>
      <c r="F271" s="43"/>
      <c r="L271" s="43"/>
      <c r="Q271" s="43"/>
      <c r="V271" s="43"/>
      <c r="AD271" s="43"/>
      <c r="AG271" s="43"/>
      <c r="AL271" s="43"/>
      <c r="AQ271" s="43"/>
      <c r="AV271" s="43"/>
      <c r="BA271" s="43"/>
      <c r="BF271" s="43"/>
      <c r="BK271" s="43"/>
      <c r="BQ271" s="43"/>
      <c r="BV271" s="43"/>
      <c r="CC271" s="43"/>
    </row>
    <row r="272" spans="2:81" ht="15.75" customHeight="1">
      <c r="B272" s="36"/>
      <c r="D272" s="36"/>
      <c r="F272" s="43"/>
      <c r="L272" s="43"/>
      <c r="Q272" s="43"/>
      <c r="V272" s="43"/>
      <c r="AD272" s="43"/>
      <c r="AG272" s="43"/>
      <c r="AL272" s="43"/>
      <c r="AQ272" s="43"/>
      <c r="AV272" s="43"/>
      <c r="BA272" s="43"/>
      <c r="BF272" s="43"/>
      <c r="BK272" s="43"/>
      <c r="BQ272" s="43"/>
      <c r="BV272" s="43"/>
      <c r="CC272" s="43"/>
    </row>
    <row r="273" spans="2:81" ht="15.75" customHeight="1">
      <c r="B273" s="36"/>
      <c r="D273" s="36"/>
      <c r="F273" s="43"/>
      <c r="L273" s="43"/>
      <c r="Q273" s="43"/>
      <c r="V273" s="43"/>
      <c r="AD273" s="43"/>
      <c r="AG273" s="43"/>
      <c r="AL273" s="43"/>
      <c r="AQ273" s="43"/>
      <c r="AV273" s="43"/>
      <c r="BA273" s="43"/>
      <c r="BF273" s="43"/>
      <c r="BK273" s="43"/>
      <c r="BQ273" s="43"/>
      <c r="BV273" s="43"/>
      <c r="CC273" s="43"/>
    </row>
    <row r="274" spans="2:81" ht="15.75" customHeight="1">
      <c r="B274" s="36"/>
      <c r="D274" s="36"/>
      <c r="F274" s="43"/>
      <c r="L274" s="43"/>
      <c r="Q274" s="43"/>
      <c r="V274" s="43"/>
      <c r="AD274" s="43"/>
      <c r="AG274" s="43"/>
      <c r="AL274" s="43"/>
      <c r="AQ274" s="43"/>
      <c r="AV274" s="43"/>
      <c r="BA274" s="43"/>
      <c r="BF274" s="43"/>
      <c r="BK274" s="43"/>
      <c r="BQ274" s="43"/>
      <c r="BV274" s="43"/>
      <c r="CC274" s="43"/>
    </row>
    <row r="275" spans="2:81" ht="15.75" customHeight="1">
      <c r="B275" s="36"/>
      <c r="D275" s="36"/>
      <c r="F275" s="43"/>
      <c r="L275" s="43"/>
      <c r="Q275" s="43"/>
      <c r="V275" s="43"/>
      <c r="AD275" s="43"/>
      <c r="AG275" s="43"/>
      <c r="AL275" s="43"/>
      <c r="AQ275" s="43"/>
      <c r="AV275" s="43"/>
      <c r="BA275" s="43"/>
      <c r="BF275" s="43"/>
      <c r="BK275" s="43"/>
      <c r="BQ275" s="43"/>
      <c r="BV275" s="43"/>
      <c r="CC275" s="43"/>
    </row>
    <row r="276" spans="2:81" ht="15.75" customHeight="1">
      <c r="B276" s="36"/>
      <c r="D276" s="36"/>
      <c r="F276" s="43"/>
      <c r="L276" s="43"/>
      <c r="Q276" s="43"/>
      <c r="V276" s="43"/>
      <c r="AD276" s="43"/>
      <c r="AG276" s="43"/>
      <c r="AL276" s="43"/>
      <c r="AQ276" s="43"/>
      <c r="AV276" s="43"/>
      <c r="BA276" s="43"/>
      <c r="BF276" s="43"/>
      <c r="BK276" s="43"/>
      <c r="BQ276" s="43"/>
      <c r="BV276" s="43"/>
      <c r="CC276" s="43"/>
    </row>
    <row r="277" spans="2:81" ht="15.75" customHeight="1">
      <c r="B277" s="36"/>
      <c r="D277" s="36"/>
      <c r="F277" s="43"/>
      <c r="L277" s="43"/>
      <c r="Q277" s="43"/>
      <c r="V277" s="43"/>
      <c r="AD277" s="43"/>
      <c r="AG277" s="43"/>
      <c r="AL277" s="43"/>
      <c r="AQ277" s="43"/>
      <c r="AV277" s="43"/>
      <c r="BA277" s="43"/>
      <c r="BF277" s="43"/>
      <c r="BK277" s="43"/>
      <c r="BQ277" s="43"/>
      <c r="BV277" s="43"/>
      <c r="CC277" s="43"/>
    </row>
    <row r="278" spans="2:81" ht="15.75" customHeight="1">
      <c r="B278" s="36"/>
      <c r="D278" s="36"/>
      <c r="F278" s="43"/>
      <c r="L278" s="43"/>
      <c r="Q278" s="43"/>
      <c r="V278" s="43"/>
      <c r="AD278" s="43"/>
      <c r="AG278" s="43"/>
      <c r="AL278" s="43"/>
      <c r="AQ278" s="43"/>
      <c r="AV278" s="43"/>
      <c r="BA278" s="43"/>
      <c r="BF278" s="43"/>
      <c r="BK278" s="43"/>
      <c r="BQ278" s="43"/>
      <c r="BV278" s="43"/>
      <c r="CC278" s="43"/>
    </row>
    <row r="279" spans="2:81" ht="15.75" customHeight="1">
      <c r="B279" s="36"/>
      <c r="D279" s="36"/>
      <c r="F279" s="43"/>
      <c r="L279" s="43"/>
      <c r="Q279" s="43"/>
      <c r="V279" s="43"/>
      <c r="AD279" s="43"/>
      <c r="AG279" s="43"/>
      <c r="AL279" s="43"/>
      <c r="AQ279" s="43"/>
      <c r="AV279" s="43"/>
      <c r="BA279" s="43"/>
      <c r="BF279" s="43"/>
      <c r="BK279" s="43"/>
      <c r="BQ279" s="43"/>
      <c r="BV279" s="43"/>
      <c r="CC279" s="43"/>
    </row>
    <row r="280" spans="2:81" ht="15.75" customHeight="1">
      <c r="B280" s="36"/>
      <c r="D280" s="36"/>
      <c r="F280" s="43"/>
      <c r="L280" s="43"/>
      <c r="Q280" s="43"/>
      <c r="V280" s="43"/>
      <c r="AD280" s="43"/>
      <c r="AG280" s="43"/>
      <c r="AL280" s="43"/>
      <c r="AQ280" s="43"/>
      <c r="AV280" s="43"/>
      <c r="BA280" s="43"/>
      <c r="BF280" s="43"/>
      <c r="BK280" s="43"/>
      <c r="BQ280" s="43"/>
      <c r="BV280" s="43"/>
      <c r="CC280" s="43"/>
    </row>
    <row r="281" spans="2:81" ht="15.75" customHeight="1">
      <c r="B281" s="36"/>
      <c r="D281" s="36"/>
      <c r="F281" s="43"/>
      <c r="L281" s="43"/>
      <c r="Q281" s="43"/>
      <c r="V281" s="43"/>
      <c r="AD281" s="43"/>
      <c r="AG281" s="43"/>
      <c r="AL281" s="43"/>
      <c r="AQ281" s="43"/>
      <c r="AV281" s="43"/>
      <c r="BA281" s="43"/>
      <c r="BF281" s="43"/>
      <c r="BK281" s="43"/>
      <c r="BQ281" s="43"/>
      <c r="BV281" s="43"/>
      <c r="CC281" s="43"/>
    </row>
    <row r="282" spans="2:81" ht="15.75" customHeight="1">
      <c r="B282" s="36"/>
      <c r="D282" s="36"/>
      <c r="F282" s="43"/>
      <c r="L282" s="43"/>
      <c r="Q282" s="43"/>
      <c r="V282" s="43"/>
      <c r="AD282" s="43"/>
      <c r="AG282" s="43"/>
      <c r="AL282" s="43"/>
      <c r="AQ282" s="43"/>
      <c r="AV282" s="43"/>
      <c r="BA282" s="43"/>
      <c r="BF282" s="43"/>
      <c r="BK282" s="43"/>
      <c r="BQ282" s="43"/>
      <c r="BV282" s="43"/>
      <c r="CC282" s="43"/>
    </row>
    <row r="283" spans="2:81" ht="15.75" customHeight="1">
      <c r="B283" s="36"/>
      <c r="D283" s="36"/>
      <c r="F283" s="43"/>
      <c r="L283" s="43"/>
      <c r="Q283" s="43"/>
      <c r="V283" s="43"/>
      <c r="AD283" s="43"/>
      <c r="AG283" s="43"/>
      <c r="AL283" s="43"/>
      <c r="AQ283" s="43"/>
      <c r="AV283" s="43"/>
      <c r="BA283" s="43"/>
      <c r="BF283" s="43"/>
      <c r="BK283" s="43"/>
      <c r="BQ283" s="43"/>
      <c r="BV283" s="43"/>
      <c r="CC283" s="43"/>
    </row>
    <row r="284" spans="2:81" ht="15.75" customHeight="1">
      <c r="B284" s="36"/>
      <c r="D284" s="36"/>
      <c r="F284" s="43"/>
      <c r="L284" s="43"/>
      <c r="Q284" s="43"/>
      <c r="V284" s="43"/>
      <c r="AD284" s="43"/>
      <c r="AG284" s="43"/>
      <c r="AL284" s="43"/>
      <c r="AQ284" s="43"/>
      <c r="AV284" s="43"/>
      <c r="BA284" s="43"/>
      <c r="BF284" s="43"/>
      <c r="BK284" s="43"/>
      <c r="BQ284" s="43"/>
      <c r="BV284" s="43"/>
      <c r="CC284" s="43"/>
    </row>
    <row r="285" spans="2:81" ht="15.75" customHeight="1">
      <c r="B285" s="36"/>
      <c r="D285" s="36"/>
      <c r="F285" s="43"/>
      <c r="L285" s="43"/>
      <c r="Q285" s="43"/>
      <c r="V285" s="43"/>
      <c r="AD285" s="43"/>
      <c r="AG285" s="43"/>
      <c r="AL285" s="43"/>
      <c r="AQ285" s="43"/>
      <c r="AV285" s="43"/>
      <c r="BA285" s="43"/>
      <c r="BF285" s="43"/>
      <c r="BK285" s="43"/>
      <c r="BQ285" s="43"/>
      <c r="BV285" s="43"/>
      <c r="CC285" s="43"/>
    </row>
    <row r="286" spans="2:81" ht="15.75" customHeight="1">
      <c r="B286" s="36"/>
      <c r="D286" s="36"/>
      <c r="F286" s="43"/>
      <c r="L286" s="43"/>
      <c r="Q286" s="43"/>
      <c r="V286" s="43"/>
      <c r="AD286" s="43"/>
      <c r="AG286" s="43"/>
      <c r="AL286" s="43"/>
      <c r="AQ286" s="43"/>
      <c r="AV286" s="43"/>
      <c r="BA286" s="43"/>
      <c r="BF286" s="43"/>
      <c r="BK286" s="43"/>
      <c r="BQ286" s="43"/>
      <c r="BV286" s="43"/>
      <c r="CC286" s="43"/>
    </row>
    <row r="287" spans="2:81" ht="15.75" customHeight="1">
      <c r="B287" s="36"/>
      <c r="D287" s="36"/>
      <c r="F287" s="43"/>
      <c r="L287" s="43"/>
      <c r="Q287" s="43"/>
      <c r="V287" s="43"/>
      <c r="AD287" s="43"/>
      <c r="AG287" s="43"/>
      <c r="AL287" s="43"/>
      <c r="AQ287" s="43"/>
      <c r="AV287" s="43"/>
      <c r="BA287" s="43"/>
      <c r="BF287" s="43"/>
      <c r="BK287" s="43"/>
      <c r="BQ287" s="43"/>
      <c r="BV287" s="43"/>
      <c r="CC287" s="43"/>
    </row>
    <row r="288" spans="2:81" ht="15.75" customHeight="1">
      <c r="B288" s="36"/>
      <c r="D288" s="36"/>
      <c r="F288" s="43"/>
      <c r="L288" s="43"/>
      <c r="Q288" s="43"/>
      <c r="V288" s="43"/>
      <c r="AD288" s="43"/>
      <c r="AG288" s="43"/>
      <c r="AL288" s="43"/>
      <c r="AQ288" s="43"/>
      <c r="AV288" s="43"/>
      <c r="BA288" s="43"/>
      <c r="BF288" s="43"/>
      <c r="BK288" s="43"/>
      <c r="BQ288" s="43"/>
      <c r="BV288" s="43"/>
      <c r="CC288" s="43"/>
    </row>
    <row r="289" spans="2:81" ht="15.75" customHeight="1">
      <c r="B289" s="36"/>
      <c r="D289" s="36"/>
      <c r="F289" s="43"/>
      <c r="L289" s="43"/>
      <c r="Q289" s="43"/>
      <c r="V289" s="43"/>
      <c r="AD289" s="43"/>
      <c r="AG289" s="43"/>
      <c r="AL289" s="43"/>
      <c r="AQ289" s="43"/>
      <c r="AV289" s="43"/>
      <c r="BA289" s="43"/>
      <c r="BF289" s="43"/>
      <c r="BK289" s="43"/>
      <c r="BQ289" s="43"/>
      <c r="BV289" s="43"/>
      <c r="CC289" s="43"/>
    </row>
    <row r="290" spans="2:81" ht="15.75" customHeight="1">
      <c r="B290" s="36"/>
      <c r="D290" s="36"/>
      <c r="F290" s="43"/>
      <c r="L290" s="43"/>
      <c r="Q290" s="43"/>
      <c r="V290" s="43"/>
      <c r="AD290" s="43"/>
      <c r="AG290" s="43"/>
      <c r="AL290" s="43"/>
      <c r="AQ290" s="43"/>
      <c r="AV290" s="43"/>
      <c r="BA290" s="43"/>
      <c r="BF290" s="43"/>
      <c r="BK290" s="43"/>
      <c r="BQ290" s="43"/>
      <c r="BV290" s="43"/>
      <c r="CC290" s="43"/>
    </row>
    <row r="291" spans="2:81" ht="15.75" customHeight="1">
      <c r="B291" s="36"/>
      <c r="D291" s="36"/>
      <c r="F291" s="43"/>
      <c r="L291" s="43"/>
      <c r="Q291" s="43"/>
      <c r="V291" s="43"/>
      <c r="AD291" s="43"/>
      <c r="AG291" s="43"/>
      <c r="AL291" s="43"/>
      <c r="AQ291" s="43"/>
      <c r="AV291" s="43"/>
      <c r="BA291" s="43"/>
      <c r="BF291" s="43"/>
      <c r="BK291" s="43"/>
      <c r="BQ291" s="43"/>
      <c r="BV291" s="43"/>
      <c r="CC291" s="43"/>
    </row>
    <row r="292" spans="2:81" ht="15.75" customHeight="1">
      <c r="B292" s="36"/>
      <c r="D292" s="36"/>
      <c r="F292" s="43"/>
      <c r="L292" s="43"/>
      <c r="Q292" s="43"/>
      <c r="V292" s="43"/>
      <c r="AD292" s="43"/>
      <c r="AG292" s="43"/>
      <c r="AL292" s="43"/>
      <c r="AQ292" s="43"/>
      <c r="AV292" s="43"/>
      <c r="BA292" s="43"/>
      <c r="BF292" s="43"/>
      <c r="BK292" s="43"/>
      <c r="BQ292" s="43"/>
      <c r="BV292" s="43"/>
      <c r="CC292" s="43"/>
    </row>
    <row r="293" spans="2:81" ht="15.75" customHeight="1">
      <c r="B293" s="36"/>
      <c r="D293" s="36"/>
      <c r="F293" s="43"/>
      <c r="L293" s="43"/>
      <c r="Q293" s="43"/>
      <c r="V293" s="43"/>
      <c r="AD293" s="43"/>
      <c r="AG293" s="43"/>
      <c r="AL293" s="43"/>
      <c r="AQ293" s="43"/>
      <c r="AV293" s="43"/>
      <c r="BA293" s="43"/>
      <c r="BF293" s="43"/>
      <c r="BK293" s="43"/>
      <c r="BQ293" s="43"/>
      <c r="BV293" s="43"/>
      <c r="CC293" s="43"/>
    </row>
    <row r="294" spans="2:81" ht="15.75" customHeight="1">
      <c r="B294" s="36"/>
      <c r="D294" s="36"/>
      <c r="F294" s="43"/>
      <c r="L294" s="43"/>
      <c r="Q294" s="43"/>
      <c r="V294" s="43"/>
      <c r="AD294" s="43"/>
      <c r="AG294" s="43"/>
      <c r="AL294" s="43"/>
      <c r="AQ294" s="43"/>
      <c r="AV294" s="43"/>
      <c r="BA294" s="43"/>
      <c r="BF294" s="43"/>
      <c r="BK294" s="43"/>
      <c r="BQ294" s="43"/>
      <c r="BV294" s="43"/>
      <c r="CC294" s="43"/>
    </row>
    <row r="295" spans="2:81" ht="15.75" customHeight="1">
      <c r="B295" s="36"/>
      <c r="D295" s="36"/>
      <c r="F295" s="43"/>
      <c r="L295" s="43"/>
      <c r="Q295" s="43"/>
      <c r="V295" s="43"/>
      <c r="AD295" s="43"/>
      <c r="AG295" s="43"/>
      <c r="AL295" s="43"/>
      <c r="AQ295" s="43"/>
      <c r="AV295" s="43"/>
      <c r="BA295" s="43"/>
      <c r="BF295" s="43"/>
      <c r="BK295" s="43"/>
      <c r="BQ295" s="43"/>
      <c r="BV295" s="43"/>
      <c r="CC295" s="43"/>
    </row>
    <row r="296" spans="2:81" ht="15.75" customHeight="1">
      <c r="B296" s="36"/>
      <c r="D296" s="36"/>
      <c r="F296" s="43"/>
      <c r="L296" s="43"/>
      <c r="Q296" s="43"/>
      <c r="V296" s="43"/>
      <c r="AD296" s="43"/>
      <c r="AG296" s="43"/>
      <c r="AL296" s="43"/>
      <c r="AQ296" s="43"/>
      <c r="AV296" s="43"/>
      <c r="BA296" s="43"/>
      <c r="BF296" s="43"/>
      <c r="BK296" s="43"/>
      <c r="BQ296" s="43"/>
      <c r="BV296" s="43"/>
      <c r="CC296" s="43"/>
    </row>
    <row r="297" spans="2:81" ht="15.75" customHeight="1">
      <c r="B297" s="36"/>
      <c r="D297" s="36"/>
      <c r="F297" s="43"/>
      <c r="L297" s="43"/>
      <c r="Q297" s="43"/>
      <c r="V297" s="43"/>
      <c r="AD297" s="43"/>
      <c r="AG297" s="43"/>
      <c r="AL297" s="43"/>
      <c r="AQ297" s="43"/>
      <c r="AV297" s="43"/>
      <c r="BA297" s="43"/>
      <c r="BF297" s="43"/>
      <c r="BK297" s="43"/>
      <c r="BQ297" s="43"/>
      <c r="BV297" s="43"/>
      <c r="CC297" s="43"/>
    </row>
    <row r="298" spans="2:81" ht="15.75" customHeight="1">
      <c r="B298" s="36"/>
      <c r="D298" s="36"/>
      <c r="F298" s="43"/>
      <c r="L298" s="43"/>
      <c r="Q298" s="43"/>
      <c r="V298" s="43"/>
      <c r="AD298" s="43"/>
      <c r="AG298" s="43"/>
      <c r="AL298" s="43"/>
      <c r="AQ298" s="43"/>
      <c r="AV298" s="43"/>
      <c r="BA298" s="43"/>
      <c r="BF298" s="43"/>
      <c r="BK298" s="43"/>
      <c r="BQ298" s="43"/>
      <c r="BV298" s="43"/>
      <c r="CC298" s="43"/>
    </row>
    <row r="299" spans="2:81" ht="15.75" customHeight="1">
      <c r="B299" s="36"/>
      <c r="D299" s="36"/>
      <c r="F299" s="43"/>
      <c r="L299" s="43"/>
      <c r="Q299" s="43"/>
      <c r="V299" s="43"/>
      <c r="AD299" s="43"/>
      <c r="AG299" s="43"/>
      <c r="AL299" s="43"/>
      <c r="AQ299" s="43"/>
      <c r="AV299" s="43"/>
      <c r="BA299" s="43"/>
      <c r="BF299" s="43"/>
      <c r="BK299" s="43"/>
      <c r="BQ299" s="43"/>
      <c r="BV299" s="43"/>
      <c r="CC299" s="43"/>
    </row>
    <row r="300" spans="2:81" ht="15.75" customHeight="1">
      <c r="B300" s="36"/>
      <c r="D300" s="36"/>
      <c r="F300" s="43"/>
      <c r="L300" s="43"/>
      <c r="Q300" s="43"/>
      <c r="V300" s="43"/>
      <c r="AD300" s="43"/>
      <c r="AG300" s="43"/>
      <c r="AL300" s="43"/>
      <c r="AQ300" s="43"/>
      <c r="AV300" s="43"/>
      <c r="BA300" s="43"/>
      <c r="BF300" s="43"/>
      <c r="BK300" s="43"/>
      <c r="BQ300" s="43"/>
      <c r="BV300" s="43"/>
      <c r="CC300" s="43"/>
    </row>
    <row r="301" spans="2:81" ht="15.75" customHeight="1">
      <c r="B301" s="36"/>
      <c r="D301" s="36"/>
      <c r="F301" s="43"/>
      <c r="L301" s="43"/>
      <c r="Q301" s="43"/>
      <c r="V301" s="43"/>
      <c r="AD301" s="43"/>
      <c r="AG301" s="43"/>
      <c r="AL301" s="43"/>
      <c r="AQ301" s="43"/>
      <c r="AV301" s="43"/>
      <c r="BA301" s="43"/>
      <c r="BF301" s="43"/>
      <c r="BK301" s="43"/>
      <c r="BQ301" s="43"/>
      <c r="BV301" s="43"/>
      <c r="CC301" s="43"/>
    </row>
    <row r="302" spans="2:81" ht="15.75" customHeight="1">
      <c r="B302" s="36"/>
      <c r="D302" s="36"/>
      <c r="F302" s="43"/>
      <c r="L302" s="43"/>
      <c r="Q302" s="43"/>
      <c r="V302" s="43"/>
      <c r="AD302" s="43"/>
      <c r="AG302" s="43"/>
      <c r="AL302" s="43"/>
      <c r="AQ302" s="43"/>
      <c r="AV302" s="43"/>
      <c r="BA302" s="43"/>
      <c r="BF302" s="43"/>
      <c r="BK302" s="43"/>
      <c r="BQ302" s="43"/>
      <c r="BV302" s="43"/>
      <c r="CC302" s="43"/>
    </row>
    <row r="303" spans="2:81" ht="15.75" customHeight="1">
      <c r="B303" s="36"/>
      <c r="D303" s="36"/>
      <c r="F303" s="43"/>
      <c r="L303" s="43"/>
      <c r="Q303" s="43"/>
      <c r="V303" s="43"/>
      <c r="AD303" s="43"/>
      <c r="AG303" s="43"/>
      <c r="AL303" s="43"/>
      <c r="AQ303" s="43"/>
      <c r="AV303" s="43"/>
      <c r="BA303" s="43"/>
      <c r="BF303" s="43"/>
      <c r="BK303" s="43"/>
      <c r="BQ303" s="43"/>
      <c r="BV303" s="43"/>
      <c r="CC303" s="43"/>
    </row>
    <row r="304" spans="2:81" ht="15.75" customHeight="1">
      <c r="B304" s="36"/>
      <c r="D304" s="36"/>
      <c r="F304" s="43"/>
      <c r="L304" s="43"/>
      <c r="Q304" s="43"/>
      <c r="V304" s="43"/>
      <c r="AD304" s="43"/>
      <c r="AG304" s="43"/>
      <c r="AL304" s="43"/>
      <c r="AQ304" s="43"/>
      <c r="AV304" s="43"/>
      <c r="BA304" s="43"/>
      <c r="BF304" s="43"/>
      <c r="BK304" s="43"/>
      <c r="BQ304" s="43"/>
      <c r="BV304" s="43"/>
      <c r="CC304" s="43"/>
    </row>
    <row r="305" spans="2:81" ht="15.75" customHeight="1">
      <c r="B305" s="36"/>
      <c r="D305" s="36"/>
      <c r="F305" s="43"/>
      <c r="L305" s="43"/>
      <c r="Q305" s="43"/>
      <c r="V305" s="43"/>
      <c r="AD305" s="43"/>
      <c r="AG305" s="43"/>
      <c r="AL305" s="43"/>
      <c r="AQ305" s="43"/>
      <c r="AV305" s="43"/>
      <c r="BA305" s="43"/>
      <c r="BF305" s="43"/>
      <c r="BK305" s="43"/>
      <c r="BQ305" s="43"/>
      <c r="BV305" s="43"/>
      <c r="CC305" s="43"/>
    </row>
    <row r="306" spans="2:81" ht="15.75" customHeight="1">
      <c r="B306" s="36"/>
      <c r="D306" s="36"/>
      <c r="F306" s="43"/>
      <c r="L306" s="43"/>
      <c r="Q306" s="43"/>
      <c r="V306" s="43"/>
      <c r="AD306" s="43"/>
      <c r="AG306" s="43"/>
      <c r="AL306" s="43"/>
      <c r="AQ306" s="43"/>
      <c r="AV306" s="43"/>
      <c r="BA306" s="43"/>
      <c r="BF306" s="43"/>
      <c r="BK306" s="43"/>
      <c r="BQ306" s="43"/>
      <c r="BV306" s="43"/>
      <c r="CC306" s="43"/>
    </row>
    <row r="307" spans="2:81" ht="15.75" customHeight="1">
      <c r="B307" s="36"/>
      <c r="D307" s="36"/>
      <c r="F307" s="43"/>
      <c r="L307" s="43"/>
      <c r="Q307" s="43"/>
      <c r="V307" s="43"/>
      <c r="AD307" s="43"/>
      <c r="AG307" s="43"/>
      <c r="AL307" s="43"/>
      <c r="AQ307" s="43"/>
      <c r="AV307" s="43"/>
      <c r="BA307" s="43"/>
      <c r="BF307" s="43"/>
      <c r="BK307" s="43"/>
      <c r="BQ307" s="43"/>
      <c r="BV307" s="43"/>
      <c r="CC307" s="43"/>
    </row>
    <row r="308" spans="2:81" ht="15.75" customHeight="1">
      <c r="B308" s="36"/>
      <c r="D308" s="36"/>
      <c r="F308" s="43"/>
      <c r="L308" s="43"/>
      <c r="Q308" s="43"/>
      <c r="V308" s="43"/>
      <c r="AD308" s="43"/>
      <c r="AG308" s="43"/>
      <c r="AL308" s="43"/>
      <c r="AQ308" s="43"/>
      <c r="AV308" s="43"/>
      <c r="BA308" s="43"/>
      <c r="BF308" s="43"/>
      <c r="BK308" s="43"/>
      <c r="BQ308" s="43"/>
      <c r="BV308" s="43"/>
      <c r="CC308" s="43"/>
    </row>
    <row r="309" spans="2:81" ht="15.75" customHeight="1">
      <c r="B309" s="36"/>
      <c r="D309" s="36"/>
      <c r="F309" s="43"/>
      <c r="L309" s="43"/>
      <c r="Q309" s="43"/>
      <c r="V309" s="43"/>
      <c r="AD309" s="43"/>
      <c r="AG309" s="43"/>
      <c r="AL309" s="43"/>
      <c r="AQ309" s="43"/>
      <c r="AV309" s="43"/>
      <c r="BA309" s="43"/>
      <c r="BF309" s="43"/>
      <c r="BK309" s="43"/>
      <c r="BQ309" s="43"/>
      <c r="BV309" s="43"/>
      <c r="CC309" s="43"/>
    </row>
    <row r="310" spans="2:81" ht="15.75" customHeight="1">
      <c r="B310" s="36"/>
      <c r="D310" s="36"/>
      <c r="F310" s="43"/>
      <c r="L310" s="43"/>
      <c r="Q310" s="43"/>
      <c r="V310" s="43"/>
      <c r="AD310" s="43"/>
      <c r="AG310" s="43"/>
      <c r="AL310" s="43"/>
      <c r="AQ310" s="43"/>
      <c r="AV310" s="43"/>
      <c r="BA310" s="43"/>
      <c r="BF310" s="43"/>
      <c r="BK310" s="43"/>
      <c r="BQ310" s="43"/>
      <c r="BV310" s="43"/>
      <c r="CC310" s="43"/>
    </row>
    <row r="311" spans="2:81" ht="15.75" customHeight="1">
      <c r="B311" s="36"/>
      <c r="D311" s="36"/>
      <c r="F311" s="43"/>
      <c r="L311" s="43"/>
      <c r="Q311" s="43"/>
      <c r="V311" s="43"/>
      <c r="AD311" s="43"/>
      <c r="AG311" s="43"/>
      <c r="AL311" s="43"/>
      <c r="AQ311" s="43"/>
      <c r="AV311" s="43"/>
      <c r="BA311" s="43"/>
      <c r="BF311" s="43"/>
      <c r="BK311" s="43"/>
      <c r="BQ311" s="43"/>
      <c r="BV311" s="43"/>
      <c r="CC311" s="43"/>
    </row>
    <row r="312" spans="2:81" ht="15.75" customHeight="1">
      <c r="B312" s="36"/>
      <c r="D312" s="36"/>
      <c r="F312" s="43"/>
      <c r="L312" s="43"/>
      <c r="Q312" s="43"/>
      <c r="V312" s="43"/>
      <c r="AD312" s="43"/>
      <c r="AG312" s="43"/>
      <c r="AL312" s="43"/>
      <c r="AQ312" s="43"/>
      <c r="AV312" s="43"/>
      <c r="BA312" s="43"/>
      <c r="BF312" s="43"/>
      <c r="BK312" s="43"/>
      <c r="BQ312" s="43"/>
      <c r="BV312" s="43"/>
      <c r="CC312" s="43"/>
    </row>
    <row r="313" spans="2:81" ht="15.75" customHeight="1">
      <c r="B313" s="36"/>
      <c r="D313" s="36"/>
      <c r="F313" s="43"/>
      <c r="L313" s="43"/>
      <c r="Q313" s="43"/>
      <c r="V313" s="43"/>
      <c r="AD313" s="43"/>
      <c r="AG313" s="43"/>
      <c r="AL313" s="43"/>
      <c r="AQ313" s="43"/>
      <c r="AV313" s="43"/>
      <c r="BA313" s="43"/>
      <c r="BF313" s="43"/>
      <c r="BK313" s="43"/>
      <c r="BQ313" s="43"/>
      <c r="BV313" s="43"/>
      <c r="CC313" s="43"/>
    </row>
    <row r="314" spans="2:81" ht="15.75" customHeight="1">
      <c r="B314" s="36"/>
      <c r="D314" s="36"/>
      <c r="F314" s="43"/>
      <c r="L314" s="43"/>
      <c r="Q314" s="43"/>
      <c r="V314" s="43"/>
      <c r="AD314" s="43"/>
      <c r="AG314" s="43"/>
      <c r="AL314" s="43"/>
      <c r="AQ314" s="43"/>
      <c r="AV314" s="43"/>
      <c r="BA314" s="43"/>
      <c r="BF314" s="43"/>
      <c r="BK314" s="43"/>
      <c r="BQ314" s="43"/>
      <c r="BV314" s="43"/>
      <c r="CC314" s="43"/>
    </row>
    <row r="315" spans="2:81" ht="15.75" customHeight="1">
      <c r="B315" s="36"/>
      <c r="D315" s="36"/>
      <c r="F315" s="43"/>
      <c r="L315" s="43"/>
      <c r="Q315" s="43"/>
      <c r="V315" s="43"/>
      <c r="AD315" s="43"/>
      <c r="AG315" s="43"/>
      <c r="AL315" s="43"/>
      <c r="AQ315" s="43"/>
      <c r="AV315" s="43"/>
      <c r="BA315" s="43"/>
      <c r="BF315" s="43"/>
      <c r="BK315" s="43"/>
      <c r="BQ315" s="43"/>
      <c r="BV315" s="43"/>
      <c r="CC315" s="43"/>
    </row>
    <row r="316" spans="2:81" ht="15.75" customHeight="1">
      <c r="B316" s="36"/>
      <c r="D316" s="36"/>
      <c r="F316" s="43"/>
      <c r="L316" s="43"/>
      <c r="Q316" s="43"/>
      <c r="V316" s="43"/>
      <c r="AD316" s="43"/>
      <c r="AG316" s="43"/>
      <c r="AL316" s="43"/>
      <c r="AQ316" s="43"/>
      <c r="AV316" s="43"/>
      <c r="BA316" s="43"/>
      <c r="BF316" s="43"/>
      <c r="BK316" s="43"/>
      <c r="BQ316" s="43"/>
      <c r="BV316" s="43"/>
      <c r="CC316" s="43"/>
    </row>
    <row r="317" spans="2:81" ht="15.75" customHeight="1">
      <c r="B317" s="36"/>
      <c r="D317" s="36"/>
      <c r="F317" s="43"/>
      <c r="L317" s="43"/>
      <c r="Q317" s="43"/>
      <c r="V317" s="43"/>
      <c r="AD317" s="43"/>
      <c r="AG317" s="43"/>
      <c r="AL317" s="43"/>
      <c r="AQ317" s="43"/>
      <c r="AV317" s="43"/>
      <c r="BA317" s="43"/>
      <c r="BF317" s="43"/>
      <c r="BK317" s="43"/>
      <c r="BQ317" s="43"/>
      <c r="BV317" s="43"/>
      <c r="CC317" s="43"/>
    </row>
    <row r="318" spans="2:81" ht="15.75" customHeight="1">
      <c r="B318" s="36"/>
      <c r="D318" s="36"/>
      <c r="F318" s="43"/>
      <c r="L318" s="43"/>
      <c r="Q318" s="43"/>
      <c r="V318" s="43"/>
      <c r="AD318" s="43"/>
      <c r="AG318" s="43"/>
      <c r="AL318" s="43"/>
      <c r="AQ318" s="43"/>
      <c r="AV318" s="43"/>
      <c r="BA318" s="43"/>
      <c r="BF318" s="43"/>
      <c r="BK318" s="43"/>
      <c r="BQ318" s="43"/>
      <c r="BV318" s="43"/>
      <c r="CC318" s="43"/>
    </row>
    <row r="319" spans="2:81" ht="15.75" customHeight="1">
      <c r="B319" s="36"/>
      <c r="D319" s="36"/>
      <c r="F319" s="43"/>
      <c r="L319" s="43"/>
      <c r="Q319" s="43"/>
      <c r="V319" s="43"/>
      <c r="AD319" s="43"/>
      <c r="AG319" s="43"/>
      <c r="AL319" s="43"/>
      <c r="AQ319" s="43"/>
      <c r="AV319" s="43"/>
      <c r="BA319" s="43"/>
      <c r="BF319" s="43"/>
      <c r="BK319" s="43"/>
      <c r="BQ319" s="43"/>
      <c r="BV319" s="43"/>
      <c r="CC319" s="43"/>
    </row>
    <row r="320" spans="2:81" ht="15.75" customHeight="1">
      <c r="B320" s="36"/>
      <c r="D320" s="36"/>
      <c r="F320" s="43"/>
      <c r="L320" s="43"/>
      <c r="Q320" s="43"/>
      <c r="V320" s="43"/>
      <c r="AD320" s="43"/>
      <c r="AG320" s="43"/>
      <c r="AL320" s="43"/>
      <c r="AQ320" s="43"/>
      <c r="AV320" s="43"/>
      <c r="BA320" s="43"/>
      <c r="BF320" s="43"/>
      <c r="BK320" s="43"/>
      <c r="BQ320" s="43"/>
      <c r="BV320" s="43"/>
      <c r="CC320" s="43"/>
    </row>
    <row r="321" spans="2:81" ht="15.75" customHeight="1">
      <c r="B321" s="36"/>
      <c r="D321" s="36"/>
      <c r="F321" s="43"/>
      <c r="L321" s="43"/>
      <c r="Q321" s="43"/>
      <c r="V321" s="43"/>
      <c r="AD321" s="43"/>
      <c r="AG321" s="43"/>
      <c r="AL321" s="43"/>
      <c r="AQ321" s="43"/>
      <c r="AV321" s="43"/>
      <c r="BA321" s="43"/>
      <c r="BF321" s="43"/>
      <c r="BK321" s="43"/>
      <c r="BQ321" s="43"/>
      <c r="BV321" s="43"/>
      <c r="CC321" s="43"/>
    </row>
    <row r="322" spans="2:81" ht="15.75" customHeight="1">
      <c r="B322" s="36"/>
      <c r="D322" s="36"/>
      <c r="F322" s="43"/>
      <c r="L322" s="43"/>
      <c r="Q322" s="43"/>
      <c r="V322" s="43"/>
      <c r="AD322" s="43"/>
      <c r="AG322" s="43"/>
      <c r="AL322" s="43"/>
      <c r="AQ322" s="43"/>
      <c r="AV322" s="43"/>
      <c r="BA322" s="43"/>
      <c r="BF322" s="43"/>
      <c r="BK322" s="43"/>
      <c r="BQ322" s="43"/>
      <c r="BV322" s="43"/>
      <c r="CC322" s="43"/>
    </row>
    <row r="323" spans="2:81" ht="15.75" customHeight="1">
      <c r="B323" s="36"/>
      <c r="D323" s="36"/>
      <c r="F323" s="43"/>
      <c r="L323" s="43"/>
      <c r="Q323" s="43"/>
      <c r="V323" s="43"/>
      <c r="AD323" s="43"/>
      <c r="AG323" s="43"/>
      <c r="AL323" s="43"/>
      <c r="AQ323" s="43"/>
      <c r="AV323" s="43"/>
      <c r="BA323" s="43"/>
      <c r="BF323" s="43"/>
      <c r="BK323" s="43"/>
      <c r="BQ323" s="43"/>
      <c r="BV323" s="43"/>
      <c r="CC323" s="43"/>
    </row>
    <row r="324" spans="2:81" ht="15.75" customHeight="1">
      <c r="B324" s="36"/>
      <c r="D324" s="36"/>
      <c r="F324" s="43"/>
      <c r="L324" s="43"/>
      <c r="Q324" s="43"/>
      <c r="V324" s="43"/>
      <c r="AD324" s="43"/>
      <c r="AG324" s="43"/>
      <c r="AL324" s="43"/>
      <c r="AQ324" s="43"/>
      <c r="AV324" s="43"/>
      <c r="BA324" s="43"/>
      <c r="BF324" s="43"/>
      <c r="BK324" s="43"/>
      <c r="BQ324" s="43"/>
      <c r="BV324" s="43"/>
      <c r="CC324" s="43"/>
    </row>
    <row r="325" spans="2:81" ht="15.75" customHeight="1">
      <c r="B325" s="36"/>
      <c r="D325" s="36"/>
      <c r="F325" s="43"/>
      <c r="L325" s="43"/>
      <c r="Q325" s="43"/>
      <c r="V325" s="43"/>
      <c r="AD325" s="43"/>
      <c r="AG325" s="43"/>
      <c r="AL325" s="43"/>
      <c r="AQ325" s="43"/>
      <c r="AV325" s="43"/>
      <c r="BA325" s="43"/>
      <c r="BF325" s="43"/>
      <c r="BK325" s="43"/>
      <c r="BQ325" s="43"/>
      <c r="BV325" s="43"/>
      <c r="CC325" s="43"/>
    </row>
    <row r="326" spans="2:81" ht="15.75" customHeight="1">
      <c r="B326" s="36"/>
      <c r="D326" s="36"/>
      <c r="F326" s="43"/>
      <c r="L326" s="43"/>
      <c r="Q326" s="43"/>
      <c r="V326" s="43"/>
      <c r="AD326" s="43"/>
      <c r="AG326" s="43"/>
      <c r="AL326" s="43"/>
      <c r="AQ326" s="43"/>
      <c r="AV326" s="43"/>
      <c r="BA326" s="43"/>
      <c r="BF326" s="43"/>
      <c r="BK326" s="43"/>
      <c r="BQ326" s="43"/>
      <c r="BV326" s="43"/>
      <c r="CC326" s="43"/>
    </row>
    <row r="327" spans="2:81" ht="15.75" customHeight="1">
      <c r="B327" s="36"/>
      <c r="D327" s="36"/>
      <c r="F327" s="43"/>
      <c r="L327" s="43"/>
      <c r="Q327" s="43"/>
      <c r="V327" s="43"/>
      <c r="AD327" s="43"/>
      <c r="AG327" s="43"/>
      <c r="AL327" s="43"/>
      <c r="AQ327" s="43"/>
      <c r="AV327" s="43"/>
      <c r="BA327" s="43"/>
      <c r="BF327" s="43"/>
      <c r="BK327" s="43"/>
      <c r="BQ327" s="43"/>
      <c r="BV327" s="43"/>
      <c r="CC327" s="43"/>
    </row>
    <row r="328" spans="2:81" ht="15.75" customHeight="1">
      <c r="B328" s="36"/>
      <c r="D328" s="36"/>
      <c r="F328" s="43"/>
      <c r="L328" s="43"/>
      <c r="Q328" s="43"/>
      <c r="V328" s="43"/>
      <c r="AD328" s="43"/>
      <c r="AG328" s="43"/>
      <c r="AL328" s="43"/>
      <c r="AQ328" s="43"/>
      <c r="AV328" s="43"/>
      <c r="BA328" s="43"/>
      <c r="BF328" s="43"/>
      <c r="BK328" s="43"/>
      <c r="BQ328" s="43"/>
      <c r="BV328" s="43"/>
      <c r="CC328" s="43"/>
    </row>
    <row r="329" spans="2:81" ht="15.75" customHeight="1">
      <c r="B329" s="36"/>
      <c r="D329" s="36"/>
      <c r="F329" s="43"/>
      <c r="L329" s="43"/>
      <c r="Q329" s="43"/>
      <c r="V329" s="43"/>
      <c r="AD329" s="43"/>
      <c r="AG329" s="43"/>
      <c r="AL329" s="43"/>
      <c r="AQ329" s="43"/>
      <c r="AV329" s="43"/>
      <c r="BA329" s="43"/>
      <c r="BF329" s="43"/>
      <c r="BK329" s="43"/>
      <c r="BQ329" s="43"/>
      <c r="BV329" s="43"/>
      <c r="CC329" s="43"/>
    </row>
    <row r="330" spans="2:81" ht="15.75" customHeight="1">
      <c r="B330" s="36"/>
      <c r="D330" s="36"/>
      <c r="F330" s="43"/>
      <c r="L330" s="43"/>
      <c r="Q330" s="43"/>
      <c r="V330" s="43"/>
      <c r="AD330" s="43"/>
      <c r="AG330" s="43"/>
      <c r="AL330" s="43"/>
      <c r="AQ330" s="43"/>
      <c r="AV330" s="43"/>
      <c r="BA330" s="43"/>
      <c r="BF330" s="43"/>
      <c r="BK330" s="43"/>
      <c r="BQ330" s="43"/>
      <c r="BV330" s="43"/>
      <c r="CC330" s="43"/>
    </row>
    <row r="331" spans="2:81" ht="15.75" customHeight="1">
      <c r="B331" s="36"/>
      <c r="D331" s="36"/>
      <c r="F331" s="43"/>
      <c r="L331" s="43"/>
      <c r="Q331" s="43"/>
      <c r="V331" s="43"/>
      <c r="AD331" s="43"/>
      <c r="AG331" s="43"/>
      <c r="AL331" s="43"/>
      <c r="AQ331" s="43"/>
      <c r="AV331" s="43"/>
      <c r="BA331" s="43"/>
      <c r="BF331" s="43"/>
      <c r="BK331" s="43"/>
      <c r="BQ331" s="43"/>
      <c r="BV331" s="43"/>
      <c r="CC331" s="43"/>
    </row>
    <row r="332" spans="2:81" ht="15.75" customHeight="1">
      <c r="B332" s="36"/>
      <c r="D332" s="36"/>
      <c r="F332" s="43"/>
      <c r="L332" s="43"/>
      <c r="Q332" s="43"/>
      <c r="V332" s="43"/>
      <c r="AD332" s="43"/>
      <c r="AG332" s="43"/>
      <c r="AL332" s="43"/>
      <c r="AQ332" s="43"/>
      <c r="AV332" s="43"/>
      <c r="BA332" s="43"/>
      <c r="BF332" s="43"/>
      <c r="BK332" s="43"/>
      <c r="BQ332" s="43"/>
      <c r="BV332" s="43"/>
      <c r="CC332" s="43"/>
    </row>
    <row r="333" spans="2:81" ht="15.75" customHeight="1">
      <c r="B333" s="36"/>
      <c r="D333" s="36"/>
      <c r="F333" s="43"/>
      <c r="L333" s="43"/>
      <c r="Q333" s="43"/>
      <c r="V333" s="43"/>
      <c r="AD333" s="43"/>
      <c r="AG333" s="43"/>
      <c r="AL333" s="43"/>
      <c r="AQ333" s="43"/>
      <c r="AV333" s="43"/>
      <c r="BA333" s="43"/>
      <c r="BF333" s="43"/>
      <c r="BK333" s="43"/>
      <c r="BQ333" s="43"/>
      <c r="BV333" s="43"/>
      <c r="CC333" s="43"/>
    </row>
    <row r="334" spans="2:81" ht="15.75" customHeight="1">
      <c r="B334" s="36"/>
      <c r="D334" s="36"/>
      <c r="F334" s="43"/>
      <c r="L334" s="43"/>
      <c r="Q334" s="43"/>
      <c r="V334" s="43"/>
      <c r="AD334" s="43"/>
      <c r="AG334" s="43"/>
      <c r="AL334" s="43"/>
      <c r="AQ334" s="43"/>
      <c r="AV334" s="43"/>
      <c r="BA334" s="43"/>
      <c r="BF334" s="43"/>
      <c r="BK334" s="43"/>
      <c r="BQ334" s="43"/>
      <c r="BV334" s="43"/>
      <c r="CC334" s="43"/>
    </row>
    <row r="335" spans="2:81" ht="15.75" customHeight="1">
      <c r="B335" s="36"/>
      <c r="D335" s="36"/>
      <c r="F335" s="43"/>
      <c r="L335" s="43"/>
      <c r="Q335" s="43"/>
      <c r="V335" s="43"/>
      <c r="AD335" s="43"/>
      <c r="AG335" s="43"/>
      <c r="AL335" s="43"/>
      <c r="AQ335" s="43"/>
      <c r="AV335" s="43"/>
      <c r="BA335" s="43"/>
      <c r="BF335" s="43"/>
      <c r="BK335" s="43"/>
      <c r="BQ335" s="43"/>
      <c r="BV335" s="43"/>
      <c r="CC335" s="43"/>
    </row>
    <row r="336" spans="2:81" ht="15.75" customHeight="1">
      <c r="B336" s="36"/>
      <c r="D336" s="36"/>
      <c r="F336" s="43"/>
      <c r="L336" s="43"/>
      <c r="Q336" s="43"/>
      <c r="V336" s="43"/>
      <c r="AD336" s="43"/>
      <c r="AG336" s="43"/>
      <c r="AL336" s="43"/>
      <c r="AQ336" s="43"/>
      <c r="AV336" s="43"/>
      <c r="BA336" s="43"/>
      <c r="BF336" s="43"/>
      <c r="BK336" s="43"/>
      <c r="BQ336" s="43"/>
      <c r="BV336" s="43"/>
      <c r="CC336" s="43"/>
    </row>
    <row r="337" spans="2:81" ht="15.75" customHeight="1">
      <c r="B337" s="36"/>
      <c r="D337" s="36"/>
      <c r="F337" s="43"/>
      <c r="L337" s="43"/>
      <c r="Q337" s="43"/>
      <c r="V337" s="43"/>
      <c r="AD337" s="43"/>
      <c r="AG337" s="43"/>
      <c r="AL337" s="43"/>
      <c r="AQ337" s="43"/>
      <c r="AV337" s="43"/>
      <c r="BA337" s="43"/>
      <c r="BF337" s="43"/>
      <c r="BK337" s="43"/>
      <c r="BQ337" s="43"/>
      <c r="BV337" s="43"/>
      <c r="CC337" s="43"/>
    </row>
    <row r="338" spans="2:81" ht="15.75" customHeight="1">
      <c r="B338" s="36"/>
      <c r="D338" s="36"/>
      <c r="F338" s="43"/>
      <c r="L338" s="43"/>
      <c r="Q338" s="43"/>
      <c r="V338" s="43"/>
      <c r="AD338" s="43"/>
      <c r="AG338" s="43"/>
      <c r="AL338" s="43"/>
      <c r="AQ338" s="43"/>
      <c r="AV338" s="43"/>
      <c r="BA338" s="43"/>
      <c r="BF338" s="43"/>
      <c r="BK338" s="43"/>
      <c r="BQ338" s="43"/>
      <c r="BV338" s="43"/>
      <c r="CC338" s="43"/>
    </row>
    <row r="339" spans="2:81" ht="15.75" customHeight="1">
      <c r="B339" s="36"/>
      <c r="D339" s="36"/>
      <c r="F339" s="43"/>
      <c r="L339" s="43"/>
      <c r="Q339" s="43"/>
      <c r="V339" s="43"/>
      <c r="AD339" s="43"/>
      <c r="AG339" s="43"/>
      <c r="AL339" s="43"/>
      <c r="AQ339" s="43"/>
      <c r="AV339" s="43"/>
      <c r="BA339" s="43"/>
      <c r="BF339" s="43"/>
      <c r="BK339" s="43"/>
      <c r="BQ339" s="43"/>
      <c r="BV339" s="43"/>
      <c r="CC339" s="43"/>
    </row>
    <row r="340" spans="2:81" ht="15.75" customHeight="1">
      <c r="B340" s="36"/>
      <c r="D340" s="36"/>
      <c r="F340" s="43"/>
      <c r="L340" s="43"/>
      <c r="Q340" s="43"/>
      <c r="V340" s="43"/>
      <c r="AD340" s="43"/>
      <c r="AG340" s="43"/>
      <c r="AL340" s="43"/>
      <c r="AQ340" s="43"/>
      <c r="AV340" s="43"/>
      <c r="BA340" s="43"/>
      <c r="BF340" s="43"/>
      <c r="BK340" s="43"/>
      <c r="BQ340" s="43"/>
      <c r="BV340" s="43"/>
      <c r="CC340" s="43"/>
    </row>
    <row r="341" spans="2:81" ht="15.75" customHeight="1">
      <c r="B341" s="36"/>
      <c r="D341" s="36"/>
      <c r="F341" s="43"/>
      <c r="L341" s="43"/>
      <c r="Q341" s="43"/>
      <c r="V341" s="43"/>
      <c r="AD341" s="43"/>
      <c r="AG341" s="43"/>
      <c r="AL341" s="43"/>
      <c r="AQ341" s="43"/>
      <c r="AV341" s="43"/>
      <c r="BA341" s="43"/>
      <c r="BF341" s="43"/>
      <c r="BK341" s="43"/>
      <c r="BQ341" s="43"/>
      <c r="BV341" s="43"/>
      <c r="CC341" s="43"/>
    </row>
    <row r="342" spans="2:81" ht="15.75" customHeight="1">
      <c r="B342" s="36"/>
      <c r="D342" s="36"/>
      <c r="F342" s="43"/>
      <c r="L342" s="43"/>
      <c r="Q342" s="43"/>
      <c r="V342" s="43"/>
      <c r="AD342" s="43"/>
      <c r="AG342" s="43"/>
      <c r="AL342" s="43"/>
      <c r="AQ342" s="43"/>
      <c r="AV342" s="43"/>
      <c r="BA342" s="43"/>
      <c r="BF342" s="43"/>
      <c r="BK342" s="43"/>
      <c r="BQ342" s="43"/>
      <c r="BV342" s="43"/>
      <c r="CC342" s="43"/>
    </row>
    <row r="343" spans="2:81" ht="15.75" customHeight="1">
      <c r="B343" s="36"/>
      <c r="D343" s="36"/>
      <c r="F343" s="43"/>
      <c r="L343" s="43"/>
      <c r="Q343" s="43"/>
      <c r="V343" s="43"/>
      <c r="AD343" s="43"/>
      <c r="AG343" s="43"/>
      <c r="AL343" s="43"/>
      <c r="AQ343" s="43"/>
      <c r="AV343" s="43"/>
      <c r="BA343" s="43"/>
      <c r="BF343" s="43"/>
      <c r="BK343" s="43"/>
      <c r="BQ343" s="43"/>
      <c r="BV343" s="43"/>
      <c r="CC343" s="43"/>
    </row>
    <row r="344" spans="2:81" ht="15.75" customHeight="1">
      <c r="B344" s="36"/>
      <c r="D344" s="36"/>
      <c r="F344" s="43"/>
      <c r="L344" s="43"/>
      <c r="Q344" s="43"/>
      <c r="V344" s="43"/>
      <c r="AD344" s="43"/>
      <c r="AG344" s="43"/>
      <c r="AL344" s="43"/>
      <c r="AQ344" s="43"/>
      <c r="AV344" s="43"/>
      <c r="BA344" s="43"/>
      <c r="BF344" s="43"/>
      <c r="BK344" s="43"/>
      <c r="BQ344" s="43"/>
      <c r="BV344" s="43"/>
      <c r="CC344" s="43"/>
    </row>
    <row r="345" spans="2:81" ht="15.75" customHeight="1">
      <c r="B345" s="36"/>
      <c r="D345" s="36"/>
      <c r="F345" s="43"/>
      <c r="L345" s="43"/>
      <c r="Q345" s="43"/>
      <c r="V345" s="43"/>
      <c r="AD345" s="43"/>
      <c r="AG345" s="43"/>
      <c r="AL345" s="43"/>
      <c r="AQ345" s="43"/>
      <c r="AV345" s="43"/>
      <c r="BA345" s="43"/>
      <c r="BF345" s="43"/>
      <c r="BK345" s="43"/>
      <c r="BQ345" s="43"/>
      <c r="BV345" s="43"/>
      <c r="CC345" s="43"/>
    </row>
    <row r="346" spans="2:81" ht="15.75" customHeight="1">
      <c r="B346" s="36"/>
      <c r="D346" s="36"/>
      <c r="F346" s="43"/>
      <c r="L346" s="43"/>
      <c r="Q346" s="43"/>
      <c r="V346" s="43"/>
      <c r="AD346" s="43"/>
      <c r="AG346" s="43"/>
      <c r="AL346" s="43"/>
      <c r="AQ346" s="43"/>
      <c r="AV346" s="43"/>
      <c r="BA346" s="43"/>
      <c r="BF346" s="43"/>
      <c r="BK346" s="43"/>
      <c r="BQ346" s="43"/>
      <c r="BV346" s="43"/>
      <c r="CC346" s="43"/>
    </row>
    <row r="347" spans="2:81" ht="15.75" customHeight="1">
      <c r="B347" s="36"/>
      <c r="D347" s="36"/>
      <c r="F347" s="43"/>
      <c r="L347" s="43"/>
      <c r="Q347" s="43"/>
      <c r="V347" s="43"/>
      <c r="AD347" s="43"/>
      <c r="AG347" s="43"/>
      <c r="AL347" s="43"/>
      <c r="AQ347" s="43"/>
      <c r="AV347" s="43"/>
      <c r="BA347" s="43"/>
      <c r="BF347" s="43"/>
      <c r="BK347" s="43"/>
      <c r="BQ347" s="43"/>
      <c r="BV347" s="43"/>
      <c r="CC347" s="43"/>
    </row>
    <row r="348" spans="2:81" ht="15.75" customHeight="1">
      <c r="B348" s="36"/>
      <c r="D348" s="36"/>
      <c r="F348" s="43"/>
      <c r="L348" s="43"/>
      <c r="Q348" s="43"/>
      <c r="V348" s="43"/>
      <c r="AD348" s="43"/>
      <c r="AG348" s="43"/>
      <c r="AL348" s="43"/>
      <c r="AQ348" s="43"/>
      <c r="AV348" s="43"/>
      <c r="BA348" s="43"/>
      <c r="BF348" s="43"/>
      <c r="BK348" s="43"/>
      <c r="BQ348" s="43"/>
      <c r="BV348" s="43"/>
      <c r="CC348" s="43"/>
    </row>
    <row r="349" spans="2:81" ht="15.75" customHeight="1">
      <c r="B349" s="36"/>
      <c r="D349" s="36"/>
      <c r="F349" s="43"/>
      <c r="L349" s="43"/>
      <c r="Q349" s="43"/>
      <c r="V349" s="43"/>
      <c r="AD349" s="43"/>
      <c r="AG349" s="43"/>
      <c r="AL349" s="43"/>
      <c r="AQ349" s="43"/>
      <c r="AV349" s="43"/>
      <c r="BA349" s="43"/>
      <c r="BF349" s="43"/>
      <c r="BK349" s="43"/>
      <c r="BQ349" s="43"/>
      <c r="BV349" s="43"/>
      <c r="CC349" s="43"/>
    </row>
    <row r="350" spans="2:81" ht="15.75" customHeight="1">
      <c r="B350" s="36"/>
      <c r="D350" s="36"/>
      <c r="F350" s="43"/>
      <c r="L350" s="43"/>
      <c r="Q350" s="43"/>
      <c r="V350" s="43"/>
      <c r="AD350" s="43"/>
      <c r="AG350" s="43"/>
      <c r="AL350" s="43"/>
      <c r="AQ350" s="43"/>
      <c r="AV350" s="43"/>
      <c r="BA350" s="43"/>
      <c r="BF350" s="43"/>
      <c r="BK350" s="43"/>
      <c r="BQ350" s="43"/>
      <c r="BV350" s="43"/>
      <c r="CC350" s="43"/>
    </row>
    <row r="351" spans="2:81" ht="15.75" customHeight="1">
      <c r="B351" s="36"/>
      <c r="D351" s="36"/>
      <c r="F351" s="43"/>
      <c r="L351" s="43"/>
      <c r="Q351" s="43"/>
      <c r="V351" s="43"/>
      <c r="AD351" s="43"/>
      <c r="AG351" s="43"/>
      <c r="AL351" s="43"/>
      <c r="AQ351" s="43"/>
      <c r="AV351" s="43"/>
      <c r="BA351" s="43"/>
      <c r="BF351" s="43"/>
      <c r="BK351" s="43"/>
      <c r="BQ351" s="43"/>
      <c r="BV351" s="43"/>
      <c r="CC351" s="43"/>
    </row>
    <row r="352" spans="2:81" ht="15.75" customHeight="1">
      <c r="B352" s="36"/>
      <c r="D352" s="36"/>
      <c r="F352" s="43"/>
      <c r="L352" s="43"/>
      <c r="Q352" s="43"/>
      <c r="V352" s="43"/>
      <c r="AD352" s="43"/>
      <c r="AG352" s="43"/>
      <c r="AL352" s="43"/>
      <c r="AQ352" s="43"/>
      <c r="AV352" s="43"/>
      <c r="BA352" s="43"/>
      <c r="BF352" s="43"/>
      <c r="BK352" s="43"/>
      <c r="BQ352" s="43"/>
      <c r="BV352" s="43"/>
      <c r="CC352" s="43"/>
    </row>
    <row r="353" spans="2:81" ht="15.75" customHeight="1">
      <c r="B353" s="36"/>
      <c r="D353" s="36"/>
      <c r="F353" s="43"/>
      <c r="L353" s="43"/>
      <c r="Q353" s="43"/>
      <c r="V353" s="43"/>
      <c r="AD353" s="43"/>
      <c r="AG353" s="43"/>
      <c r="AL353" s="43"/>
      <c r="AQ353" s="43"/>
      <c r="AV353" s="43"/>
      <c r="BA353" s="43"/>
      <c r="BF353" s="43"/>
      <c r="BK353" s="43"/>
      <c r="BQ353" s="43"/>
      <c r="BV353" s="43"/>
      <c r="CC353" s="43"/>
    </row>
    <row r="354" spans="2:81" ht="15.75" customHeight="1">
      <c r="B354" s="36"/>
      <c r="D354" s="36"/>
      <c r="F354" s="43"/>
      <c r="L354" s="43"/>
      <c r="Q354" s="43"/>
      <c r="V354" s="43"/>
      <c r="AD354" s="43"/>
      <c r="AG354" s="43"/>
      <c r="AL354" s="43"/>
      <c r="AQ354" s="43"/>
      <c r="AV354" s="43"/>
      <c r="BA354" s="43"/>
      <c r="BF354" s="43"/>
      <c r="BK354" s="43"/>
      <c r="BQ354" s="43"/>
      <c r="BV354" s="43"/>
      <c r="CC354" s="43"/>
    </row>
    <row r="355" spans="2:81" ht="15.75" customHeight="1">
      <c r="B355" s="36"/>
      <c r="D355" s="36"/>
      <c r="F355" s="43"/>
      <c r="L355" s="43"/>
      <c r="Q355" s="43"/>
      <c r="V355" s="43"/>
      <c r="AD355" s="43"/>
      <c r="AG355" s="43"/>
      <c r="AL355" s="43"/>
      <c r="AQ355" s="43"/>
      <c r="AV355" s="43"/>
      <c r="BA355" s="43"/>
      <c r="BF355" s="43"/>
      <c r="BK355" s="43"/>
      <c r="BQ355" s="43"/>
      <c r="BV355" s="43"/>
      <c r="CC355" s="43"/>
    </row>
    <row r="356" spans="2:81" ht="15.75" customHeight="1">
      <c r="B356" s="36"/>
      <c r="D356" s="36"/>
      <c r="F356" s="43"/>
      <c r="L356" s="43"/>
      <c r="Q356" s="43"/>
      <c r="V356" s="43"/>
      <c r="AD356" s="43"/>
      <c r="AG356" s="43"/>
      <c r="AL356" s="43"/>
      <c r="AQ356" s="43"/>
      <c r="AV356" s="43"/>
      <c r="BA356" s="43"/>
      <c r="BF356" s="43"/>
      <c r="BK356" s="43"/>
      <c r="BQ356" s="43"/>
      <c r="BV356" s="43"/>
      <c r="CC356" s="43"/>
    </row>
    <row r="357" spans="2:81" ht="15.75" customHeight="1">
      <c r="B357" s="36"/>
      <c r="D357" s="36"/>
      <c r="F357" s="43"/>
      <c r="L357" s="43"/>
      <c r="Q357" s="43"/>
      <c r="V357" s="43"/>
      <c r="AD357" s="43"/>
      <c r="AG357" s="43"/>
      <c r="AL357" s="43"/>
      <c r="AQ357" s="43"/>
      <c r="AV357" s="43"/>
      <c r="BA357" s="43"/>
      <c r="BF357" s="43"/>
      <c r="BK357" s="43"/>
      <c r="BQ357" s="43"/>
      <c r="BV357" s="43"/>
      <c r="CC357" s="43"/>
    </row>
    <row r="358" spans="2:81" ht="15.75" customHeight="1">
      <c r="B358" s="36"/>
      <c r="D358" s="36"/>
      <c r="F358" s="43"/>
      <c r="L358" s="43"/>
      <c r="Q358" s="43"/>
      <c r="V358" s="43"/>
      <c r="AD358" s="43"/>
      <c r="AG358" s="43"/>
      <c r="AL358" s="43"/>
      <c r="AQ358" s="43"/>
      <c r="AV358" s="43"/>
      <c r="BA358" s="43"/>
      <c r="BF358" s="43"/>
      <c r="BK358" s="43"/>
      <c r="BQ358" s="43"/>
      <c r="BV358" s="43"/>
      <c r="CC358" s="43"/>
    </row>
    <row r="359" spans="2:81" ht="15.75" customHeight="1">
      <c r="B359" s="36"/>
      <c r="D359" s="36"/>
      <c r="F359" s="43"/>
      <c r="L359" s="43"/>
      <c r="Q359" s="43"/>
      <c r="V359" s="43"/>
      <c r="AD359" s="43"/>
      <c r="AG359" s="43"/>
      <c r="AL359" s="43"/>
      <c r="AQ359" s="43"/>
      <c r="AV359" s="43"/>
      <c r="BA359" s="43"/>
      <c r="BF359" s="43"/>
      <c r="BK359" s="43"/>
      <c r="BQ359" s="43"/>
      <c r="BV359" s="43"/>
      <c r="CC359" s="43"/>
    </row>
    <row r="360" spans="2:81" ht="15.75" customHeight="1">
      <c r="B360" s="36"/>
      <c r="D360" s="36"/>
      <c r="F360" s="43"/>
      <c r="L360" s="43"/>
      <c r="Q360" s="43"/>
      <c r="V360" s="43"/>
      <c r="AD360" s="43"/>
      <c r="AG360" s="43"/>
      <c r="AL360" s="43"/>
      <c r="AQ360" s="43"/>
      <c r="AV360" s="43"/>
      <c r="BA360" s="43"/>
      <c r="BF360" s="43"/>
      <c r="BK360" s="43"/>
      <c r="BQ360" s="43"/>
      <c r="BV360" s="43"/>
      <c r="CC360" s="43"/>
    </row>
    <row r="361" spans="2:81" ht="15.75" customHeight="1">
      <c r="B361" s="36"/>
      <c r="D361" s="36"/>
      <c r="F361" s="43"/>
      <c r="L361" s="43"/>
      <c r="Q361" s="43"/>
      <c r="V361" s="43"/>
      <c r="AD361" s="43"/>
      <c r="AG361" s="43"/>
      <c r="AL361" s="43"/>
      <c r="AQ361" s="43"/>
      <c r="AV361" s="43"/>
      <c r="BA361" s="43"/>
      <c r="BF361" s="43"/>
      <c r="BK361" s="43"/>
      <c r="BQ361" s="43"/>
      <c r="BV361" s="43"/>
      <c r="CC361" s="43"/>
    </row>
    <row r="362" spans="2:81" ht="15.75" customHeight="1">
      <c r="B362" s="36"/>
      <c r="D362" s="36"/>
      <c r="F362" s="43"/>
      <c r="L362" s="43"/>
      <c r="Q362" s="43"/>
      <c r="V362" s="43"/>
      <c r="AD362" s="43"/>
      <c r="AG362" s="43"/>
      <c r="AL362" s="43"/>
      <c r="AQ362" s="43"/>
      <c r="AV362" s="43"/>
      <c r="BA362" s="43"/>
      <c r="BF362" s="43"/>
      <c r="BK362" s="43"/>
      <c r="BQ362" s="43"/>
      <c r="BV362" s="43"/>
      <c r="CC362" s="43"/>
    </row>
    <row r="363" spans="2:81" ht="15.75" customHeight="1">
      <c r="B363" s="36"/>
      <c r="D363" s="36"/>
      <c r="F363" s="43"/>
      <c r="L363" s="43"/>
      <c r="Q363" s="43"/>
      <c r="V363" s="43"/>
      <c r="AD363" s="43"/>
      <c r="AG363" s="43"/>
      <c r="AL363" s="43"/>
      <c r="AQ363" s="43"/>
      <c r="AV363" s="43"/>
      <c r="BA363" s="43"/>
      <c r="BF363" s="43"/>
      <c r="BK363" s="43"/>
      <c r="BQ363" s="43"/>
      <c r="BV363" s="43"/>
      <c r="CC363" s="43"/>
    </row>
    <row r="364" spans="2:81" ht="15.75" customHeight="1">
      <c r="B364" s="36"/>
      <c r="D364" s="36"/>
      <c r="F364" s="43"/>
      <c r="L364" s="43"/>
      <c r="Q364" s="43"/>
      <c r="V364" s="43"/>
      <c r="AD364" s="43"/>
      <c r="AG364" s="43"/>
      <c r="AL364" s="43"/>
      <c r="AQ364" s="43"/>
      <c r="AV364" s="43"/>
      <c r="BA364" s="43"/>
      <c r="BF364" s="43"/>
      <c r="BK364" s="43"/>
      <c r="BQ364" s="43"/>
      <c r="BV364" s="43"/>
      <c r="CC364" s="43"/>
    </row>
    <row r="365" spans="2:81" ht="15.75" customHeight="1">
      <c r="B365" s="36"/>
      <c r="D365" s="36"/>
      <c r="F365" s="43"/>
      <c r="L365" s="43"/>
      <c r="Q365" s="43"/>
      <c r="V365" s="43"/>
      <c r="AD365" s="43"/>
      <c r="AG365" s="43"/>
      <c r="AL365" s="43"/>
      <c r="AQ365" s="43"/>
      <c r="AV365" s="43"/>
      <c r="BA365" s="43"/>
      <c r="BF365" s="43"/>
      <c r="BK365" s="43"/>
      <c r="BQ365" s="43"/>
      <c r="BV365" s="43"/>
      <c r="CC365" s="43"/>
    </row>
    <row r="366" spans="2:81" ht="15.75" customHeight="1">
      <c r="B366" s="36"/>
      <c r="D366" s="36"/>
      <c r="F366" s="43"/>
      <c r="L366" s="43"/>
      <c r="Q366" s="43"/>
      <c r="V366" s="43"/>
      <c r="AD366" s="43"/>
      <c r="AG366" s="43"/>
      <c r="AL366" s="43"/>
      <c r="AQ366" s="43"/>
      <c r="AV366" s="43"/>
      <c r="BA366" s="43"/>
      <c r="BF366" s="43"/>
      <c r="BK366" s="43"/>
      <c r="BQ366" s="43"/>
      <c r="BV366" s="43"/>
      <c r="CC366" s="43"/>
    </row>
    <row r="367" spans="2:81" ht="15.75" customHeight="1">
      <c r="B367" s="36"/>
      <c r="D367" s="36"/>
      <c r="F367" s="43"/>
      <c r="L367" s="43"/>
      <c r="Q367" s="43"/>
      <c r="V367" s="43"/>
      <c r="AD367" s="43"/>
      <c r="AG367" s="43"/>
      <c r="AL367" s="43"/>
      <c r="AQ367" s="43"/>
      <c r="AV367" s="43"/>
      <c r="BA367" s="43"/>
      <c r="BF367" s="43"/>
      <c r="BK367" s="43"/>
      <c r="BQ367" s="43"/>
      <c r="BV367" s="43"/>
      <c r="CC367" s="43"/>
    </row>
    <row r="368" spans="2:81" ht="15.75" customHeight="1">
      <c r="B368" s="36"/>
      <c r="D368" s="36"/>
      <c r="F368" s="43"/>
      <c r="L368" s="43"/>
      <c r="Q368" s="43"/>
      <c r="V368" s="43"/>
      <c r="AD368" s="43"/>
      <c r="AG368" s="43"/>
      <c r="AL368" s="43"/>
      <c r="AQ368" s="43"/>
      <c r="AV368" s="43"/>
      <c r="BA368" s="43"/>
      <c r="BF368" s="43"/>
      <c r="BK368" s="43"/>
      <c r="BQ368" s="43"/>
      <c r="BV368" s="43"/>
      <c r="CC368" s="43"/>
    </row>
    <row r="369" spans="2:81" ht="15.75" customHeight="1">
      <c r="B369" s="36"/>
      <c r="D369" s="36"/>
      <c r="F369" s="43"/>
      <c r="L369" s="43"/>
      <c r="Q369" s="43"/>
      <c r="V369" s="43"/>
      <c r="AD369" s="43"/>
      <c r="AG369" s="43"/>
      <c r="AL369" s="43"/>
      <c r="AQ369" s="43"/>
      <c r="AV369" s="43"/>
      <c r="BA369" s="43"/>
      <c r="BF369" s="43"/>
      <c r="BK369" s="43"/>
      <c r="BQ369" s="43"/>
      <c r="BV369" s="43"/>
      <c r="CC369" s="43"/>
    </row>
    <row r="370" spans="2:81" ht="15.75" customHeight="1">
      <c r="B370" s="36"/>
      <c r="D370" s="36"/>
      <c r="F370" s="43"/>
      <c r="L370" s="43"/>
      <c r="Q370" s="43"/>
      <c r="V370" s="43"/>
      <c r="AD370" s="43"/>
      <c r="AG370" s="43"/>
      <c r="AL370" s="43"/>
      <c r="AQ370" s="43"/>
      <c r="AV370" s="43"/>
      <c r="BA370" s="43"/>
      <c r="BF370" s="43"/>
      <c r="BK370" s="43"/>
      <c r="BQ370" s="43"/>
      <c r="BV370" s="43"/>
      <c r="CC370" s="43"/>
    </row>
    <row r="371" spans="2:81" ht="15.75" customHeight="1">
      <c r="B371" s="36"/>
      <c r="D371" s="36"/>
      <c r="F371" s="43"/>
      <c r="L371" s="43"/>
      <c r="Q371" s="43"/>
      <c r="V371" s="43"/>
      <c r="AD371" s="43"/>
      <c r="AG371" s="43"/>
      <c r="AL371" s="43"/>
      <c r="AQ371" s="43"/>
      <c r="AV371" s="43"/>
      <c r="BA371" s="43"/>
      <c r="BF371" s="43"/>
      <c r="BK371" s="43"/>
      <c r="BQ371" s="43"/>
      <c r="BV371" s="43"/>
      <c r="CC371" s="43"/>
    </row>
    <row r="372" spans="2:81" ht="15.75" customHeight="1">
      <c r="B372" s="36"/>
      <c r="D372" s="36"/>
      <c r="F372" s="43"/>
      <c r="L372" s="43"/>
      <c r="Q372" s="43"/>
      <c r="V372" s="43"/>
      <c r="AD372" s="43"/>
      <c r="AG372" s="43"/>
      <c r="AL372" s="43"/>
      <c r="AQ372" s="43"/>
      <c r="AV372" s="43"/>
      <c r="BA372" s="43"/>
      <c r="BF372" s="43"/>
      <c r="BK372" s="43"/>
      <c r="BQ372" s="43"/>
      <c r="BV372" s="43"/>
      <c r="CC372" s="43"/>
    </row>
    <row r="373" spans="2:81" ht="15.75" customHeight="1">
      <c r="B373" s="36"/>
      <c r="D373" s="36"/>
      <c r="F373" s="43"/>
      <c r="L373" s="43"/>
      <c r="Q373" s="43"/>
      <c r="V373" s="43"/>
      <c r="AD373" s="43"/>
      <c r="AG373" s="43"/>
      <c r="AL373" s="43"/>
      <c r="AQ373" s="43"/>
      <c r="AV373" s="43"/>
      <c r="BA373" s="43"/>
      <c r="BF373" s="43"/>
      <c r="BK373" s="43"/>
      <c r="BQ373" s="43"/>
      <c r="BV373" s="43"/>
      <c r="CC373" s="43"/>
    </row>
    <row r="374" spans="2:81" ht="15.75" customHeight="1">
      <c r="B374" s="36"/>
      <c r="D374" s="36"/>
      <c r="F374" s="43"/>
      <c r="L374" s="43"/>
      <c r="Q374" s="43"/>
      <c r="V374" s="43"/>
      <c r="AD374" s="43"/>
      <c r="AG374" s="43"/>
      <c r="AL374" s="43"/>
      <c r="AQ374" s="43"/>
      <c r="AV374" s="43"/>
      <c r="BA374" s="43"/>
      <c r="BF374" s="43"/>
      <c r="BK374" s="43"/>
      <c r="BQ374" s="43"/>
      <c r="BV374" s="43"/>
      <c r="CC374" s="43"/>
    </row>
    <row r="375" spans="2:81" ht="15.75" customHeight="1">
      <c r="B375" s="36"/>
      <c r="D375" s="36"/>
      <c r="F375" s="43"/>
      <c r="L375" s="43"/>
      <c r="Q375" s="43"/>
      <c r="V375" s="43"/>
      <c r="AD375" s="43"/>
      <c r="AG375" s="43"/>
      <c r="AL375" s="43"/>
      <c r="AQ375" s="43"/>
      <c r="AV375" s="43"/>
      <c r="BA375" s="43"/>
      <c r="BF375" s="43"/>
      <c r="BK375" s="43"/>
      <c r="BQ375" s="43"/>
      <c r="BV375" s="43"/>
      <c r="CC375" s="43"/>
    </row>
    <row r="376" spans="2:81" ht="15.75" customHeight="1">
      <c r="B376" s="36"/>
      <c r="D376" s="36"/>
      <c r="F376" s="43"/>
      <c r="L376" s="43"/>
      <c r="Q376" s="43"/>
      <c r="V376" s="43"/>
      <c r="AD376" s="43"/>
      <c r="AG376" s="43"/>
      <c r="AL376" s="43"/>
      <c r="AQ376" s="43"/>
      <c r="AV376" s="43"/>
      <c r="BA376" s="43"/>
      <c r="BF376" s="43"/>
      <c r="BK376" s="43"/>
      <c r="BQ376" s="43"/>
      <c r="BV376" s="43"/>
      <c r="CC376" s="43"/>
    </row>
    <row r="377" spans="2:81" ht="15.75" customHeight="1">
      <c r="B377" s="36"/>
      <c r="D377" s="36"/>
      <c r="F377" s="43"/>
      <c r="L377" s="43"/>
      <c r="Q377" s="43"/>
      <c r="V377" s="43"/>
      <c r="AD377" s="43"/>
      <c r="AG377" s="43"/>
      <c r="AL377" s="43"/>
      <c r="AQ377" s="43"/>
      <c r="AV377" s="43"/>
      <c r="BA377" s="43"/>
      <c r="BF377" s="43"/>
      <c r="BK377" s="43"/>
      <c r="BQ377" s="43"/>
      <c r="BV377" s="43"/>
      <c r="CC377" s="43"/>
    </row>
    <row r="378" spans="2:81" ht="15.75" customHeight="1">
      <c r="B378" s="36"/>
      <c r="D378" s="36"/>
      <c r="F378" s="43"/>
      <c r="L378" s="43"/>
      <c r="Q378" s="43"/>
      <c r="V378" s="43"/>
      <c r="AD378" s="43"/>
      <c r="AG378" s="43"/>
      <c r="AL378" s="43"/>
      <c r="AQ378" s="43"/>
      <c r="AV378" s="43"/>
      <c r="BA378" s="43"/>
      <c r="BF378" s="43"/>
      <c r="BK378" s="43"/>
      <c r="BQ378" s="43"/>
      <c r="BV378" s="43"/>
      <c r="CC378" s="43"/>
    </row>
    <row r="379" spans="2:81" ht="15.75" customHeight="1">
      <c r="B379" s="36"/>
      <c r="D379" s="36"/>
      <c r="F379" s="43"/>
      <c r="L379" s="43"/>
      <c r="Q379" s="43"/>
      <c r="V379" s="43"/>
      <c r="AD379" s="43"/>
      <c r="AG379" s="43"/>
      <c r="AL379" s="43"/>
      <c r="AQ379" s="43"/>
      <c r="AV379" s="43"/>
      <c r="BA379" s="43"/>
      <c r="BF379" s="43"/>
      <c r="BK379" s="43"/>
      <c r="BQ379" s="43"/>
      <c r="BV379" s="43"/>
      <c r="CC379" s="43"/>
    </row>
    <row r="380" spans="2:81" ht="15.75" customHeight="1">
      <c r="B380" s="36"/>
      <c r="D380" s="36"/>
      <c r="F380" s="43"/>
      <c r="L380" s="43"/>
      <c r="Q380" s="43"/>
      <c r="V380" s="43"/>
      <c r="AD380" s="43"/>
      <c r="AG380" s="43"/>
      <c r="AL380" s="43"/>
      <c r="AQ380" s="43"/>
      <c r="AV380" s="43"/>
      <c r="BA380" s="43"/>
      <c r="BF380" s="43"/>
      <c r="BK380" s="43"/>
      <c r="BQ380" s="43"/>
      <c r="BV380" s="43"/>
      <c r="CC380" s="43"/>
    </row>
    <row r="381" spans="2:81" ht="15.75" customHeight="1">
      <c r="B381" s="36"/>
      <c r="D381" s="36"/>
      <c r="F381" s="43"/>
      <c r="L381" s="43"/>
      <c r="Q381" s="43"/>
      <c r="V381" s="43"/>
      <c r="AD381" s="43"/>
      <c r="AG381" s="43"/>
      <c r="AL381" s="43"/>
      <c r="AQ381" s="43"/>
      <c r="AV381" s="43"/>
      <c r="BA381" s="43"/>
      <c r="BF381" s="43"/>
      <c r="BK381" s="43"/>
      <c r="BQ381" s="43"/>
      <c r="BV381" s="43"/>
      <c r="CC381" s="43"/>
    </row>
    <row r="382" spans="2:81" ht="15.75" customHeight="1">
      <c r="B382" s="36"/>
      <c r="D382" s="36"/>
      <c r="F382" s="43"/>
      <c r="L382" s="43"/>
      <c r="Q382" s="43"/>
      <c r="V382" s="43"/>
      <c r="AD382" s="43"/>
      <c r="AG382" s="43"/>
      <c r="AL382" s="43"/>
      <c r="AQ382" s="43"/>
      <c r="AV382" s="43"/>
      <c r="BA382" s="43"/>
      <c r="BF382" s="43"/>
      <c r="BK382" s="43"/>
      <c r="BQ382" s="43"/>
      <c r="BV382" s="43"/>
      <c r="CC382" s="43"/>
    </row>
    <row r="383" spans="2:81" ht="15.75" customHeight="1">
      <c r="B383" s="36"/>
      <c r="D383" s="36"/>
      <c r="F383" s="43"/>
      <c r="L383" s="43"/>
      <c r="Q383" s="43"/>
      <c r="V383" s="43"/>
      <c r="AD383" s="43"/>
      <c r="AG383" s="43"/>
      <c r="AL383" s="43"/>
      <c r="AQ383" s="43"/>
      <c r="AV383" s="43"/>
      <c r="BA383" s="43"/>
      <c r="BF383" s="43"/>
      <c r="BK383" s="43"/>
      <c r="BQ383" s="43"/>
      <c r="BV383" s="43"/>
      <c r="CC383" s="43"/>
    </row>
    <row r="384" spans="2:81" ht="15.75" customHeight="1">
      <c r="B384" s="36"/>
      <c r="D384" s="36"/>
      <c r="F384" s="43"/>
      <c r="L384" s="43"/>
      <c r="Q384" s="43"/>
      <c r="V384" s="43"/>
      <c r="AD384" s="43"/>
      <c r="AG384" s="43"/>
      <c r="AL384" s="43"/>
      <c r="AQ384" s="43"/>
      <c r="AV384" s="43"/>
      <c r="BA384" s="43"/>
      <c r="BF384" s="43"/>
      <c r="BK384" s="43"/>
      <c r="BQ384" s="43"/>
      <c r="BV384" s="43"/>
      <c r="CC384" s="43"/>
    </row>
    <row r="385" spans="2:81" ht="15.75" customHeight="1">
      <c r="B385" s="36"/>
      <c r="D385" s="36"/>
      <c r="F385" s="43"/>
      <c r="L385" s="43"/>
      <c r="Q385" s="43"/>
      <c r="V385" s="43"/>
      <c r="AD385" s="43"/>
      <c r="AG385" s="43"/>
      <c r="AL385" s="43"/>
      <c r="AQ385" s="43"/>
      <c r="AV385" s="43"/>
      <c r="BA385" s="43"/>
      <c r="BF385" s="43"/>
      <c r="BK385" s="43"/>
      <c r="BQ385" s="43"/>
      <c r="BV385" s="43"/>
      <c r="CC385" s="43"/>
    </row>
    <row r="386" spans="2:81" ht="15.75" customHeight="1">
      <c r="B386" s="36"/>
      <c r="D386" s="36"/>
      <c r="F386" s="43"/>
      <c r="L386" s="43"/>
      <c r="Q386" s="43"/>
      <c r="V386" s="43"/>
      <c r="AD386" s="43"/>
      <c r="AG386" s="43"/>
      <c r="AL386" s="43"/>
      <c r="AQ386" s="43"/>
      <c r="AV386" s="43"/>
      <c r="BA386" s="43"/>
      <c r="BF386" s="43"/>
      <c r="BK386" s="43"/>
      <c r="BQ386" s="43"/>
      <c r="BV386" s="43"/>
      <c r="CC386" s="43"/>
    </row>
    <row r="387" spans="2:81" ht="15.75" customHeight="1">
      <c r="B387" s="36"/>
      <c r="D387" s="36"/>
      <c r="F387" s="43"/>
      <c r="L387" s="43"/>
      <c r="Q387" s="43"/>
      <c r="V387" s="43"/>
      <c r="AD387" s="43"/>
      <c r="AG387" s="43"/>
      <c r="AL387" s="43"/>
      <c r="AQ387" s="43"/>
      <c r="AV387" s="43"/>
      <c r="BA387" s="43"/>
      <c r="BF387" s="43"/>
      <c r="BK387" s="43"/>
      <c r="BQ387" s="43"/>
      <c r="BV387" s="43"/>
      <c r="CC387" s="43"/>
    </row>
    <row r="388" spans="2:81" ht="15.75" customHeight="1">
      <c r="B388" s="36"/>
      <c r="D388" s="36"/>
      <c r="F388" s="43"/>
      <c r="L388" s="43"/>
      <c r="Q388" s="43"/>
      <c r="V388" s="43"/>
      <c r="AD388" s="43"/>
      <c r="AG388" s="43"/>
      <c r="AL388" s="43"/>
      <c r="AQ388" s="43"/>
      <c r="AV388" s="43"/>
      <c r="BA388" s="43"/>
      <c r="BF388" s="43"/>
      <c r="BK388" s="43"/>
      <c r="BQ388" s="43"/>
      <c r="BV388" s="43"/>
      <c r="CC388" s="43"/>
    </row>
    <row r="389" spans="2:81" ht="15.75" customHeight="1">
      <c r="B389" s="36"/>
      <c r="D389" s="36"/>
      <c r="F389" s="43"/>
      <c r="L389" s="43"/>
      <c r="Q389" s="43"/>
      <c r="V389" s="43"/>
      <c r="AD389" s="43"/>
      <c r="AG389" s="43"/>
      <c r="AL389" s="43"/>
      <c r="AQ389" s="43"/>
      <c r="AV389" s="43"/>
      <c r="BA389" s="43"/>
      <c r="BF389" s="43"/>
      <c r="BK389" s="43"/>
      <c r="BQ389" s="43"/>
      <c r="BV389" s="43"/>
      <c r="CC389" s="43"/>
    </row>
    <row r="390" spans="2:81" ht="15.75" customHeight="1">
      <c r="B390" s="36"/>
      <c r="D390" s="36"/>
      <c r="F390" s="43"/>
      <c r="L390" s="43"/>
      <c r="Q390" s="43"/>
      <c r="V390" s="43"/>
      <c r="AD390" s="43"/>
      <c r="AG390" s="43"/>
      <c r="AL390" s="43"/>
      <c r="AQ390" s="43"/>
      <c r="AV390" s="43"/>
      <c r="BA390" s="43"/>
      <c r="BF390" s="43"/>
      <c r="BK390" s="43"/>
      <c r="BQ390" s="43"/>
      <c r="BV390" s="43"/>
      <c r="CC390" s="43"/>
    </row>
    <row r="391" spans="2:81" ht="15.75" customHeight="1">
      <c r="B391" s="36"/>
      <c r="D391" s="36"/>
      <c r="F391" s="43"/>
      <c r="L391" s="43"/>
      <c r="Q391" s="43"/>
      <c r="V391" s="43"/>
      <c r="AD391" s="43"/>
      <c r="AG391" s="43"/>
      <c r="AL391" s="43"/>
      <c r="AQ391" s="43"/>
      <c r="AV391" s="43"/>
      <c r="BA391" s="43"/>
      <c r="BF391" s="43"/>
      <c r="BK391" s="43"/>
      <c r="BQ391" s="43"/>
      <c r="BV391" s="43"/>
      <c r="CC391" s="43"/>
    </row>
    <row r="392" spans="2:81" ht="15.75" customHeight="1">
      <c r="B392" s="36"/>
      <c r="D392" s="36"/>
      <c r="F392" s="43"/>
      <c r="L392" s="43"/>
      <c r="Q392" s="43"/>
      <c r="V392" s="43"/>
      <c r="AD392" s="43"/>
      <c r="AG392" s="43"/>
      <c r="AL392" s="43"/>
      <c r="AQ392" s="43"/>
      <c r="AV392" s="43"/>
      <c r="BA392" s="43"/>
      <c r="BF392" s="43"/>
      <c r="BK392" s="43"/>
      <c r="BQ392" s="43"/>
      <c r="BV392" s="43"/>
      <c r="CC392" s="43"/>
    </row>
    <row r="393" spans="2:81" ht="15.75" customHeight="1">
      <c r="B393" s="36"/>
      <c r="D393" s="36"/>
      <c r="F393" s="43"/>
      <c r="L393" s="43"/>
      <c r="Q393" s="43"/>
      <c r="V393" s="43"/>
      <c r="AD393" s="43"/>
      <c r="AG393" s="43"/>
      <c r="AL393" s="43"/>
      <c r="AQ393" s="43"/>
      <c r="AV393" s="43"/>
      <c r="BA393" s="43"/>
      <c r="BF393" s="43"/>
      <c r="BK393" s="43"/>
      <c r="BQ393" s="43"/>
      <c r="BV393" s="43"/>
      <c r="CC393" s="43"/>
    </row>
    <row r="394" spans="2:81" ht="15.75" customHeight="1">
      <c r="B394" s="36"/>
      <c r="D394" s="36"/>
      <c r="F394" s="43"/>
      <c r="L394" s="43"/>
      <c r="Q394" s="43"/>
      <c r="V394" s="43"/>
      <c r="AD394" s="43"/>
      <c r="AG394" s="43"/>
      <c r="AL394" s="43"/>
      <c r="AQ394" s="43"/>
      <c r="AV394" s="43"/>
      <c r="BA394" s="43"/>
      <c r="BF394" s="43"/>
      <c r="BK394" s="43"/>
      <c r="BQ394" s="43"/>
      <c r="BV394" s="43"/>
      <c r="CC394" s="43"/>
    </row>
    <row r="395" spans="2:81" ht="15.75" customHeight="1">
      <c r="B395" s="36"/>
      <c r="D395" s="36"/>
      <c r="F395" s="43"/>
      <c r="L395" s="43"/>
      <c r="Q395" s="43"/>
      <c r="V395" s="43"/>
      <c r="AD395" s="43"/>
      <c r="AG395" s="43"/>
      <c r="AL395" s="43"/>
      <c r="AQ395" s="43"/>
      <c r="AV395" s="43"/>
      <c r="BA395" s="43"/>
      <c r="BF395" s="43"/>
      <c r="BK395" s="43"/>
      <c r="BQ395" s="43"/>
      <c r="BV395" s="43"/>
      <c r="CC395" s="43"/>
    </row>
    <row r="396" spans="2:81" ht="15.75" customHeight="1">
      <c r="B396" s="36"/>
      <c r="D396" s="36"/>
      <c r="F396" s="43"/>
      <c r="L396" s="43"/>
      <c r="Q396" s="43"/>
      <c r="V396" s="43"/>
      <c r="AD396" s="43"/>
      <c r="AG396" s="43"/>
      <c r="AL396" s="43"/>
      <c r="AQ396" s="43"/>
      <c r="AV396" s="43"/>
      <c r="BA396" s="43"/>
      <c r="BF396" s="43"/>
      <c r="BK396" s="43"/>
      <c r="BQ396" s="43"/>
      <c r="BV396" s="43"/>
      <c r="CC396" s="43"/>
    </row>
    <row r="397" spans="2:81" ht="15.75" customHeight="1">
      <c r="B397" s="36"/>
      <c r="D397" s="36"/>
      <c r="F397" s="43"/>
      <c r="L397" s="43"/>
      <c r="Q397" s="43"/>
      <c r="V397" s="43"/>
      <c r="AD397" s="43"/>
      <c r="AG397" s="43"/>
      <c r="AL397" s="43"/>
      <c r="AQ397" s="43"/>
      <c r="AV397" s="43"/>
      <c r="BA397" s="43"/>
      <c r="BF397" s="43"/>
      <c r="BK397" s="43"/>
      <c r="BQ397" s="43"/>
      <c r="BV397" s="43"/>
      <c r="CC397" s="43"/>
    </row>
    <row r="398" spans="2:81" ht="15.75" customHeight="1">
      <c r="B398" s="36"/>
      <c r="D398" s="36"/>
      <c r="F398" s="43"/>
      <c r="L398" s="43"/>
      <c r="Q398" s="43"/>
      <c r="V398" s="43"/>
      <c r="AD398" s="43"/>
      <c r="AG398" s="43"/>
      <c r="AL398" s="43"/>
      <c r="AQ398" s="43"/>
      <c r="AV398" s="43"/>
      <c r="BA398" s="43"/>
      <c r="BF398" s="43"/>
      <c r="BK398" s="43"/>
      <c r="BQ398" s="43"/>
      <c r="BV398" s="43"/>
      <c r="CC398" s="43"/>
    </row>
    <row r="399" spans="2:81" ht="15.75" customHeight="1">
      <c r="B399" s="36"/>
      <c r="D399" s="36"/>
      <c r="F399" s="43"/>
      <c r="L399" s="43"/>
      <c r="Q399" s="43"/>
      <c r="V399" s="43"/>
      <c r="AD399" s="43"/>
      <c r="AG399" s="43"/>
      <c r="AL399" s="43"/>
      <c r="AQ399" s="43"/>
      <c r="AV399" s="43"/>
      <c r="BA399" s="43"/>
      <c r="BF399" s="43"/>
      <c r="BK399" s="43"/>
      <c r="BQ399" s="43"/>
      <c r="BV399" s="43"/>
      <c r="CC399" s="43"/>
    </row>
    <row r="400" spans="2:81" ht="15.75" customHeight="1">
      <c r="B400" s="36"/>
      <c r="D400" s="36"/>
      <c r="F400" s="43"/>
      <c r="L400" s="43"/>
      <c r="Q400" s="43"/>
      <c r="V400" s="43"/>
      <c r="AD400" s="43"/>
      <c r="AG400" s="43"/>
      <c r="AL400" s="43"/>
      <c r="AQ400" s="43"/>
      <c r="AV400" s="43"/>
      <c r="BA400" s="43"/>
      <c r="BF400" s="43"/>
      <c r="BK400" s="43"/>
      <c r="BQ400" s="43"/>
      <c r="BV400" s="43"/>
      <c r="CC400" s="43"/>
    </row>
    <row r="401" spans="2:81" ht="15.75" customHeight="1">
      <c r="B401" s="36"/>
      <c r="D401" s="36"/>
      <c r="F401" s="43"/>
      <c r="L401" s="43"/>
      <c r="Q401" s="43"/>
      <c r="V401" s="43"/>
      <c r="AD401" s="43"/>
      <c r="AG401" s="43"/>
      <c r="AL401" s="43"/>
      <c r="AQ401" s="43"/>
      <c r="AV401" s="43"/>
      <c r="BA401" s="43"/>
      <c r="BF401" s="43"/>
      <c r="BK401" s="43"/>
      <c r="BQ401" s="43"/>
      <c r="BV401" s="43"/>
      <c r="CC401" s="43"/>
    </row>
    <row r="402" spans="2:81" ht="15.75" customHeight="1">
      <c r="B402" s="36"/>
      <c r="D402" s="36"/>
      <c r="F402" s="43"/>
      <c r="L402" s="43"/>
      <c r="Q402" s="43"/>
      <c r="V402" s="43"/>
      <c r="AD402" s="43"/>
      <c r="AG402" s="43"/>
      <c r="AL402" s="43"/>
      <c r="AQ402" s="43"/>
      <c r="AV402" s="43"/>
      <c r="BA402" s="43"/>
      <c r="BF402" s="43"/>
      <c r="BK402" s="43"/>
      <c r="BQ402" s="43"/>
      <c r="BV402" s="43"/>
      <c r="CC402" s="43"/>
    </row>
    <row r="403" spans="2:81" ht="15.75" customHeight="1">
      <c r="B403" s="36"/>
      <c r="D403" s="36"/>
      <c r="F403" s="43"/>
      <c r="L403" s="43"/>
      <c r="Q403" s="43"/>
      <c r="V403" s="43"/>
      <c r="AD403" s="43"/>
      <c r="AG403" s="43"/>
      <c r="AL403" s="43"/>
      <c r="AQ403" s="43"/>
      <c r="AV403" s="43"/>
      <c r="BA403" s="43"/>
      <c r="BF403" s="43"/>
      <c r="BK403" s="43"/>
      <c r="BQ403" s="43"/>
      <c r="BV403" s="43"/>
      <c r="CC403" s="43"/>
    </row>
    <row r="404" spans="2:81" ht="15.75" customHeight="1">
      <c r="B404" s="36"/>
      <c r="D404" s="36"/>
      <c r="F404" s="43"/>
      <c r="L404" s="43"/>
      <c r="Q404" s="43"/>
      <c r="V404" s="43"/>
      <c r="AD404" s="43"/>
      <c r="AG404" s="43"/>
      <c r="AL404" s="43"/>
      <c r="AQ404" s="43"/>
      <c r="AV404" s="43"/>
      <c r="BA404" s="43"/>
      <c r="BF404" s="43"/>
      <c r="BK404" s="43"/>
      <c r="BQ404" s="43"/>
      <c r="BV404" s="43"/>
      <c r="CC404" s="43"/>
    </row>
    <row r="405" spans="2:81" ht="15.75" customHeight="1">
      <c r="B405" s="36"/>
      <c r="D405" s="36"/>
      <c r="F405" s="43"/>
      <c r="L405" s="43"/>
      <c r="Q405" s="43"/>
      <c r="V405" s="43"/>
      <c r="AD405" s="43"/>
      <c r="AG405" s="43"/>
      <c r="AL405" s="43"/>
      <c r="AQ405" s="43"/>
      <c r="AV405" s="43"/>
      <c r="BA405" s="43"/>
      <c r="BF405" s="43"/>
      <c r="BK405" s="43"/>
      <c r="BQ405" s="43"/>
      <c r="BV405" s="43"/>
      <c r="CC405" s="43"/>
    </row>
    <row r="406" spans="2:81" ht="15.75" customHeight="1">
      <c r="B406" s="36"/>
      <c r="D406" s="36"/>
      <c r="F406" s="43"/>
      <c r="L406" s="43"/>
      <c r="Q406" s="43"/>
      <c r="V406" s="43"/>
      <c r="AD406" s="43"/>
      <c r="AG406" s="43"/>
      <c r="AL406" s="43"/>
      <c r="AQ406" s="43"/>
      <c r="AV406" s="43"/>
      <c r="BA406" s="43"/>
      <c r="BF406" s="43"/>
      <c r="BK406" s="43"/>
      <c r="BQ406" s="43"/>
      <c r="BV406" s="43"/>
      <c r="CC406" s="43"/>
    </row>
    <row r="407" spans="2:81" ht="15.75" customHeight="1">
      <c r="B407" s="36"/>
      <c r="D407" s="36"/>
      <c r="F407" s="43"/>
      <c r="L407" s="43"/>
      <c r="Q407" s="43"/>
      <c r="V407" s="43"/>
      <c r="AD407" s="43"/>
      <c r="AG407" s="43"/>
      <c r="AL407" s="43"/>
      <c r="AQ407" s="43"/>
      <c r="AV407" s="43"/>
      <c r="BA407" s="43"/>
      <c r="BF407" s="43"/>
      <c r="BK407" s="43"/>
      <c r="BQ407" s="43"/>
      <c r="BV407" s="43"/>
      <c r="CC407" s="43"/>
    </row>
    <row r="408" spans="2:81" ht="15.75" customHeight="1">
      <c r="B408" s="36"/>
      <c r="D408" s="36"/>
      <c r="F408" s="43"/>
      <c r="L408" s="43"/>
      <c r="Q408" s="43"/>
      <c r="V408" s="43"/>
      <c r="AD408" s="43"/>
      <c r="AG408" s="43"/>
      <c r="AL408" s="43"/>
      <c r="AQ408" s="43"/>
      <c r="AV408" s="43"/>
      <c r="BA408" s="43"/>
      <c r="BF408" s="43"/>
      <c r="BK408" s="43"/>
      <c r="BQ408" s="43"/>
      <c r="BV408" s="43"/>
      <c r="CC408" s="43"/>
    </row>
    <row r="409" spans="2:81" ht="15.75" customHeight="1">
      <c r="B409" s="36"/>
      <c r="D409" s="36"/>
      <c r="F409" s="43"/>
      <c r="L409" s="43"/>
      <c r="Q409" s="43"/>
      <c r="V409" s="43"/>
      <c r="AD409" s="43"/>
      <c r="AG409" s="43"/>
      <c r="AL409" s="43"/>
      <c r="AQ409" s="43"/>
      <c r="AV409" s="43"/>
      <c r="BA409" s="43"/>
      <c r="BF409" s="43"/>
      <c r="BK409" s="43"/>
      <c r="BQ409" s="43"/>
      <c r="BV409" s="43"/>
      <c r="CC409" s="43"/>
    </row>
    <row r="410" spans="2:81" ht="15.75" customHeight="1">
      <c r="B410" s="36"/>
      <c r="D410" s="36"/>
      <c r="F410" s="43"/>
      <c r="L410" s="43"/>
      <c r="Q410" s="43"/>
      <c r="V410" s="43"/>
      <c r="AD410" s="43"/>
      <c r="AG410" s="43"/>
      <c r="AL410" s="43"/>
      <c r="AQ410" s="43"/>
      <c r="AV410" s="43"/>
      <c r="BA410" s="43"/>
      <c r="BF410" s="43"/>
      <c r="BK410" s="43"/>
      <c r="BQ410" s="43"/>
      <c r="BV410" s="43"/>
      <c r="CC410" s="43"/>
    </row>
    <row r="411" spans="2:81" ht="15.75" customHeight="1">
      <c r="B411" s="36"/>
      <c r="D411" s="36"/>
      <c r="F411" s="43"/>
      <c r="L411" s="43"/>
      <c r="Q411" s="43"/>
      <c r="V411" s="43"/>
      <c r="AD411" s="43"/>
      <c r="AG411" s="43"/>
      <c r="AL411" s="43"/>
      <c r="AQ411" s="43"/>
      <c r="AV411" s="43"/>
      <c r="BA411" s="43"/>
      <c r="BF411" s="43"/>
      <c r="BK411" s="43"/>
      <c r="BQ411" s="43"/>
      <c r="BV411" s="43"/>
      <c r="CC411" s="43"/>
    </row>
    <row r="412" spans="2:81" ht="15.75" customHeight="1">
      <c r="B412" s="36"/>
      <c r="D412" s="36"/>
      <c r="F412" s="43"/>
      <c r="L412" s="43"/>
      <c r="Q412" s="43"/>
      <c r="V412" s="43"/>
      <c r="AD412" s="43"/>
      <c r="AG412" s="43"/>
      <c r="AL412" s="43"/>
      <c r="AQ412" s="43"/>
      <c r="AV412" s="43"/>
      <c r="BA412" s="43"/>
      <c r="BF412" s="43"/>
      <c r="BK412" s="43"/>
      <c r="BQ412" s="43"/>
      <c r="BV412" s="43"/>
      <c r="CC412" s="43"/>
    </row>
    <row r="413" spans="2:81" ht="15.75" customHeight="1">
      <c r="B413" s="36"/>
      <c r="D413" s="36"/>
      <c r="F413" s="43"/>
      <c r="L413" s="43"/>
      <c r="Q413" s="43"/>
      <c r="V413" s="43"/>
      <c r="AD413" s="43"/>
      <c r="AG413" s="43"/>
      <c r="AL413" s="43"/>
      <c r="AQ413" s="43"/>
      <c r="AV413" s="43"/>
      <c r="BA413" s="43"/>
      <c r="BF413" s="43"/>
      <c r="BK413" s="43"/>
      <c r="BQ413" s="43"/>
      <c r="BV413" s="43"/>
      <c r="CC413" s="43"/>
    </row>
    <row r="414" spans="2:81" ht="15.75" customHeight="1">
      <c r="B414" s="36"/>
      <c r="D414" s="36"/>
      <c r="F414" s="43"/>
      <c r="L414" s="43"/>
      <c r="Q414" s="43"/>
      <c r="V414" s="43"/>
      <c r="AD414" s="43"/>
      <c r="AG414" s="43"/>
      <c r="AL414" s="43"/>
      <c r="AQ414" s="43"/>
      <c r="AV414" s="43"/>
      <c r="BA414" s="43"/>
      <c r="BF414" s="43"/>
      <c r="BK414" s="43"/>
      <c r="BQ414" s="43"/>
      <c r="BV414" s="43"/>
      <c r="CC414" s="43"/>
    </row>
    <row r="415" spans="2:81" ht="15.75" customHeight="1">
      <c r="B415" s="36"/>
      <c r="D415" s="36"/>
      <c r="F415" s="43"/>
      <c r="L415" s="43"/>
      <c r="Q415" s="43"/>
      <c r="V415" s="43"/>
      <c r="AD415" s="43"/>
      <c r="AG415" s="43"/>
      <c r="AL415" s="43"/>
      <c r="AQ415" s="43"/>
      <c r="AV415" s="43"/>
      <c r="BA415" s="43"/>
      <c r="BF415" s="43"/>
      <c r="BK415" s="43"/>
      <c r="BQ415" s="43"/>
      <c r="BV415" s="43"/>
      <c r="CC415" s="43"/>
    </row>
    <row r="416" spans="2:81" ht="15.75" customHeight="1">
      <c r="B416" s="36"/>
      <c r="D416" s="36"/>
      <c r="F416" s="43"/>
      <c r="L416" s="43"/>
      <c r="Q416" s="43"/>
      <c r="V416" s="43"/>
      <c r="AD416" s="43"/>
      <c r="AG416" s="43"/>
      <c r="AL416" s="43"/>
      <c r="AQ416" s="43"/>
      <c r="AV416" s="43"/>
      <c r="BA416" s="43"/>
      <c r="BF416" s="43"/>
      <c r="BK416" s="43"/>
      <c r="BQ416" s="43"/>
      <c r="BV416" s="43"/>
      <c r="CC416" s="43"/>
    </row>
    <row r="417" spans="2:81" ht="15.75" customHeight="1">
      <c r="B417" s="36"/>
      <c r="D417" s="36"/>
      <c r="F417" s="43"/>
      <c r="L417" s="43"/>
      <c r="Q417" s="43"/>
      <c r="V417" s="43"/>
      <c r="AD417" s="43"/>
      <c r="AG417" s="43"/>
      <c r="AL417" s="43"/>
      <c r="AQ417" s="43"/>
      <c r="AV417" s="43"/>
      <c r="BA417" s="43"/>
      <c r="BF417" s="43"/>
      <c r="BK417" s="43"/>
      <c r="BQ417" s="43"/>
      <c r="BV417" s="43"/>
      <c r="CC417" s="43"/>
    </row>
    <row r="418" spans="2:81" ht="15.75" customHeight="1">
      <c r="B418" s="36"/>
      <c r="D418" s="36"/>
      <c r="F418" s="43"/>
      <c r="L418" s="43"/>
      <c r="Q418" s="43"/>
      <c r="V418" s="43"/>
      <c r="AD418" s="43"/>
      <c r="AG418" s="43"/>
      <c r="AL418" s="43"/>
      <c r="AQ418" s="43"/>
      <c r="AV418" s="43"/>
      <c r="BA418" s="43"/>
      <c r="BF418" s="43"/>
      <c r="BK418" s="43"/>
      <c r="BQ418" s="43"/>
      <c r="BV418" s="43"/>
      <c r="CC418" s="43"/>
    </row>
    <row r="419" spans="2:81" ht="15.75" customHeight="1">
      <c r="B419" s="36"/>
      <c r="D419" s="36"/>
      <c r="F419" s="43"/>
      <c r="L419" s="43"/>
      <c r="Q419" s="43"/>
      <c r="V419" s="43"/>
      <c r="AD419" s="43"/>
      <c r="AG419" s="43"/>
      <c r="AL419" s="43"/>
      <c r="AQ419" s="43"/>
      <c r="AV419" s="43"/>
      <c r="BA419" s="43"/>
      <c r="BF419" s="43"/>
      <c r="BK419" s="43"/>
      <c r="BQ419" s="43"/>
      <c r="BV419" s="43"/>
      <c r="CC419" s="43"/>
    </row>
    <row r="420" spans="2:81" ht="15.75" customHeight="1">
      <c r="B420" s="36"/>
      <c r="D420" s="36"/>
      <c r="F420" s="43"/>
      <c r="L420" s="43"/>
      <c r="Q420" s="43"/>
      <c r="V420" s="43"/>
      <c r="AD420" s="43"/>
      <c r="AG420" s="43"/>
      <c r="AL420" s="43"/>
      <c r="AQ420" s="43"/>
      <c r="AV420" s="43"/>
      <c r="BA420" s="43"/>
      <c r="BF420" s="43"/>
      <c r="BK420" s="43"/>
      <c r="BQ420" s="43"/>
      <c r="BV420" s="43"/>
      <c r="CC420" s="43"/>
    </row>
    <row r="421" spans="2:81" ht="15.75" customHeight="1">
      <c r="B421" s="36"/>
      <c r="D421" s="36"/>
      <c r="F421" s="43"/>
      <c r="L421" s="43"/>
      <c r="Q421" s="43"/>
      <c r="V421" s="43"/>
      <c r="AD421" s="43"/>
      <c r="AG421" s="43"/>
      <c r="AL421" s="43"/>
      <c r="AQ421" s="43"/>
      <c r="AV421" s="43"/>
      <c r="BA421" s="43"/>
      <c r="BF421" s="43"/>
      <c r="BK421" s="43"/>
      <c r="BQ421" s="43"/>
      <c r="BV421" s="43"/>
      <c r="CC421" s="43"/>
    </row>
    <row r="422" spans="2:81" ht="15.75" customHeight="1">
      <c r="B422" s="36"/>
      <c r="D422" s="36"/>
      <c r="F422" s="43"/>
      <c r="L422" s="43"/>
      <c r="Q422" s="43"/>
      <c r="V422" s="43"/>
      <c r="AD422" s="43"/>
      <c r="AG422" s="43"/>
      <c r="AL422" s="43"/>
      <c r="AQ422" s="43"/>
      <c r="AV422" s="43"/>
      <c r="BA422" s="43"/>
      <c r="BF422" s="43"/>
      <c r="BK422" s="43"/>
      <c r="BQ422" s="43"/>
      <c r="BV422" s="43"/>
      <c r="CC422" s="43"/>
    </row>
    <row r="423" spans="2:81" ht="15.75" customHeight="1">
      <c r="B423" s="36"/>
      <c r="D423" s="36"/>
      <c r="F423" s="43"/>
      <c r="L423" s="43"/>
      <c r="Q423" s="43"/>
      <c r="V423" s="43"/>
      <c r="AD423" s="43"/>
      <c r="AG423" s="43"/>
      <c r="AL423" s="43"/>
      <c r="AQ423" s="43"/>
      <c r="AV423" s="43"/>
      <c r="BA423" s="43"/>
      <c r="BF423" s="43"/>
      <c r="BK423" s="43"/>
      <c r="BQ423" s="43"/>
      <c r="BV423" s="43"/>
      <c r="CC423" s="43"/>
    </row>
    <row r="424" spans="2:81" ht="15.75" customHeight="1">
      <c r="B424" s="36"/>
      <c r="D424" s="36"/>
      <c r="F424" s="43"/>
      <c r="L424" s="43"/>
      <c r="Q424" s="43"/>
      <c r="V424" s="43"/>
      <c r="AD424" s="43"/>
      <c r="AG424" s="43"/>
      <c r="AL424" s="43"/>
      <c r="AQ424" s="43"/>
      <c r="AV424" s="43"/>
      <c r="BA424" s="43"/>
      <c r="BF424" s="43"/>
      <c r="BK424" s="43"/>
      <c r="BQ424" s="43"/>
      <c r="BV424" s="43"/>
      <c r="CC424" s="43"/>
    </row>
    <row r="425" spans="2:81" ht="15.75" customHeight="1">
      <c r="B425" s="36"/>
      <c r="D425" s="36"/>
      <c r="F425" s="43"/>
      <c r="L425" s="43"/>
      <c r="Q425" s="43"/>
      <c r="V425" s="43"/>
      <c r="AD425" s="43"/>
      <c r="AG425" s="43"/>
      <c r="AL425" s="43"/>
      <c r="AQ425" s="43"/>
      <c r="AV425" s="43"/>
      <c r="BA425" s="43"/>
      <c r="BF425" s="43"/>
      <c r="BK425" s="43"/>
      <c r="BQ425" s="43"/>
      <c r="BV425" s="43"/>
      <c r="CC425" s="43"/>
    </row>
    <row r="426" spans="2:81" ht="15.75" customHeight="1">
      <c r="B426" s="36"/>
      <c r="D426" s="36"/>
      <c r="F426" s="43"/>
      <c r="L426" s="43"/>
      <c r="Q426" s="43"/>
      <c r="V426" s="43"/>
      <c r="AD426" s="43"/>
      <c r="AG426" s="43"/>
      <c r="AL426" s="43"/>
      <c r="AQ426" s="43"/>
      <c r="AV426" s="43"/>
      <c r="BA426" s="43"/>
      <c r="BF426" s="43"/>
      <c r="BK426" s="43"/>
      <c r="BQ426" s="43"/>
      <c r="BV426" s="43"/>
      <c r="CC426" s="43"/>
    </row>
    <row r="427" spans="2:81" ht="15.75" customHeight="1">
      <c r="B427" s="36"/>
      <c r="D427" s="36"/>
      <c r="F427" s="43"/>
      <c r="L427" s="43"/>
      <c r="Q427" s="43"/>
      <c r="V427" s="43"/>
      <c r="AD427" s="43"/>
      <c r="AG427" s="43"/>
      <c r="AL427" s="43"/>
      <c r="AQ427" s="43"/>
      <c r="AV427" s="43"/>
      <c r="BA427" s="43"/>
      <c r="BF427" s="43"/>
      <c r="BK427" s="43"/>
      <c r="BQ427" s="43"/>
      <c r="BV427" s="43"/>
      <c r="CC427" s="43"/>
    </row>
    <row r="428" spans="2:81" ht="15.75" customHeight="1">
      <c r="B428" s="36"/>
      <c r="D428" s="36"/>
      <c r="F428" s="43"/>
      <c r="L428" s="43"/>
      <c r="Q428" s="43"/>
      <c r="V428" s="43"/>
      <c r="AD428" s="43"/>
      <c r="AG428" s="43"/>
      <c r="AL428" s="43"/>
      <c r="AQ428" s="43"/>
      <c r="AV428" s="43"/>
      <c r="BA428" s="43"/>
      <c r="BF428" s="43"/>
      <c r="BK428" s="43"/>
      <c r="BQ428" s="43"/>
      <c r="BV428" s="43"/>
      <c r="CC428" s="43"/>
    </row>
    <row r="429" spans="2:81" ht="15.75" customHeight="1">
      <c r="B429" s="36"/>
      <c r="D429" s="36"/>
      <c r="F429" s="43"/>
      <c r="L429" s="43"/>
      <c r="Q429" s="43"/>
      <c r="V429" s="43"/>
      <c r="AD429" s="43"/>
      <c r="AG429" s="43"/>
      <c r="AL429" s="43"/>
      <c r="AQ429" s="43"/>
      <c r="AV429" s="43"/>
      <c r="BA429" s="43"/>
      <c r="BF429" s="43"/>
      <c r="BK429" s="43"/>
      <c r="BQ429" s="43"/>
      <c r="BV429" s="43"/>
      <c r="CC429" s="43"/>
    </row>
    <row r="430" spans="2:81" ht="15.75" customHeight="1">
      <c r="B430" s="36"/>
      <c r="D430" s="36"/>
      <c r="F430" s="43"/>
      <c r="L430" s="43"/>
      <c r="Q430" s="43"/>
      <c r="V430" s="43"/>
      <c r="AD430" s="43"/>
      <c r="AG430" s="43"/>
      <c r="AL430" s="43"/>
      <c r="AQ430" s="43"/>
      <c r="AV430" s="43"/>
      <c r="BA430" s="43"/>
      <c r="BF430" s="43"/>
      <c r="BK430" s="43"/>
      <c r="BQ430" s="43"/>
      <c r="BV430" s="43"/>
      <c r="CC430" s="43"/>
    </row>
    <row r="431" spans="2:81" ht="15.75" customHeight="1">
      <c r="B431" s="36"/>
      <c r="D431" s="36"/>
      <c r="F431" s="43"/>
      <c r="L431" s="43"/>
      <c r="Q431" s="43"/>
      <c r="V431" s="43"/>
      <c r="AD431" s="43"/>
      <c r="AG431" s="43"/>
      <c r="AL431" s="43"/>
      <c r="AQ431" s="43"/>
      <c r="AV431" s="43"/>
      <c r="BA431" s="43"/>
      <c r="BF431" s="43"/>
      <c r="BK431" s="43"/>
      <c r="BQ431" s="43"/>
      <c r="BV431" s="43"/>
      <c r="CC431" s="43"/>
    </row>
    <row r="432" spans="2:81" ht="15.75" customHeight="1">
      <c r="B432" s="36"/>
      <c r="D432" s="36"/>
      <c r="F432" s="43"/>
      <c r="L432" s="43"/>
      <c r="Q432" s="43"/>
      <c r="V432" s="43"/>
      <c r="AD432" s="43"/>
      <c r="AG432" s="43"/>
      <c r="AL432" s="43"/>
      <c r="AQ432" s="43"/>
      <c r="AV432" s="43"/>
      <c r="BA432" s="43"/>
      <c r="BF432" s="43"/>
      <c r="BK432" s="43"/>
      <c r="BQ432" s="43"/>
      <c r="BV432" s="43"/>
      <c r="CC432" s="43"/>
    </row>
    <row r="433" spans="2:81" ht="15.75" customHeight="1">
      <c r="B433" s="36"/>
      <c r="D433" s="36"/>
      <c r="F433" s="43"/>
      <c r="L433" s="43"/>
      <c r="Q433" s="43"/>
      <c r="V433" s="43"/>
      <c r="AD433" s="43"/>
      <c r="AG433" s="43"/>
      <c r="AL433" s="43"/>
      <c r="AQ433" s="43"/>
      <c r="AV433" s="43"/>
      <c r="BA433" s="43"/>
      <c r="BF433" s="43"/>
      <c r="BK433" s="43"/>
      <c r="BQ433" s="43"/>
      <c r="BV433" s="43"/>
      <c r="CC433" s="43"/>
    </row>
    <row r="434" spans="2:81" ht="15.75" customHeight="1">
      <c r="B434" s="36"/>
      <c r="D434" s="36"/>
      <c r="F434" s="43"/>
      <c r="L434" s="43"/>
      <c r="Q434" s="43"/>
      <c r="V434" s="43"/>
      <c r="AD434" s="43"/>
      <c r="AG434" s="43"/>
      <c r="AL434" s="43"/>
      <c r="AQ434" s="43"/>
      <c r="AV434" s="43"/>
      <c r="BA434" s="43"/>
      <c r="BF434" s="43"/>
      <c r="BK434" s="43"/>
      <c r="BQ434" s="43"/>
      <c r="BV434" s="43"/>
      <c r="CC434" s="43"/>
    </row>
    <row r="435" spans="2:81" ht="15.75" customHeight="1">
      <c r="B435" s="36"/>
      <c r="D435" s="36"/>
      <c r="F435" s="43"/>
      <c r="L435" s="43"/>
      <c r="Q435" s="43"/>
      <c r="V435" s="43"/>
      <c r="AD435" s="43"/>
      <c r="AG435" s="43"/>
      <c r="AL435" s="43"/>
      <c r="AQ435" s="43"/>
      <c r="AV435" s="43"/>
      <c r="BA435" s="43"/>
      <c r="BF435" s="43"/>
      <c r="BK435" s="43"/>
      <c r="BQ435" s="43"/>
      <c r="BV435" s="43"/>
      <c r="CC435" s="43"/>
    </row>
    <row r="436" spans="2:81" ht="15.75" customHeight="1">
      <c r="B436" s="36"/>
      <c r="D436" s="36"/>
      <c r="F436" s="43"/>
      <c r="L436" s="43"/>
      <c r="Q436" s="43"/>
      <c r="V436" s="43"/>
      <c r="AD436" s="43"/>
      <c r="AG436" s="43"/>
      <c r="AL436" s="43"/>
      <c r="AQ436" s="43"/>
      <c r="AV436" s="43"/>
      <c r="BA436" s="43"/>
      <c r="BF436" s="43"/>
      <c r="BK436" s="43"/>
      <c r="BQ436" s="43"/>
      <c r="BV436" s="43"/>
      <c r="CC436" s="43"/>
    </row>
    <row r="437" spans="2:81" ht="15.75" customHeight="1">
      <c r="B437" s="36"/>
      <c r="D437" s="36"/>
      <c r="F437" s="43"/>
      <c r="L437" s="43"/>
      <c r="Q437" s="43"/>
      <c r="V437" s="43"/>
      <c r="AD437" s="43"/>
      <c r="AG437" s="43"/>
      <c r="AL437" s="43"/>
      <c r="AQ437" s="43"/>
      <c r="AV437" s="43"/>
      <c r="BA437" s="43"/>
      <c r="BF437" s="43"/>
      <c r="BK437" s="43"/>
      <c r="BQ437" s="43"/>
      <c r="BV437" s="43"/>
      <c r="CC437" s="43"/>
    </row>
    <row r="438" spans="2:81" ht="15.75" customHeight="1">
      <c r="B438" s="36"/>
      <c r="D438" s="36"/>
      <c r="F438" s="43"/>
      <c r="L438" s="43"/>
      <c r="Q438" s="43"/>
      <c r="V438" s="43"/>
      <c r="AD438" s="43"/>
      <c r="AG438" s="43"/>
      <c r="AL438" s="43"/>
      <c r="AQ438" s="43"/>
      <c r="AV438" s="43"/>
      <c r="BA438" s="43"/>
      <c r="BF438" s="43"/>
      <c r="BK438" s="43"/>
      <c r="BQ438" s="43"/>
      <c r="BV438" s="43"/>
      <c r="CC438" s="43"/>
    </row>
    <row r="439" spans="2:81" ht="15.75" customHeight="1">
      <c r="B439" s="36"/>
      <c r="D439" s="36"/>
      <c r="F439" s="43"/>
      <c r="L439" s="43"/>
      <c r="Q439" s="43"/>
      <c r="V439" s="43"/>
      <c r="AD439" s="43"/>
      <c r="AG439" s="43"/>
      <c r="AL439" s="43"/>
      <c r="AQ439" s="43"/>
      <c r="AV439" s="43"/>
      <c r="BA439" s="43"/>
      <c r="BF439" s="43"/>
      <c r="BK439" s="43"/>
      <c r="BQ439" s="43"/>
      <c r="BV439" s="43"/>
      <c r="CC439" s="43"/>
    </row>
    <row r="440" spans="2:81" ht="15.75" customHeight="1">
      <c r="B440" s="36"/>
      <c r="D440" s="36"/>
      <c r="F440" s="43"/>
      <c r="L440" s="43"/>
      <c r="Q440" s="43"/>
      <c r="V440" s="43"/>
      <c r="AD440" s="43"/>
      <c r="AG440" s="43"/>
      <c r="AL440" s="43"/>
      <c r="AQ440" s="43"/>
      <c r="AV440" s="43"/>
      <c r="BA440" s="43"/>
      <c r="BF440" s="43"/>
      <c r="BK440" s="43"/>
      <c r="BQ440" s="43"/>
      <c r="BV440" s="43"/>
      <c r="CC440" s="43"/>
    </row>
    <row r="441" spans="2:81" ht="15.75" customHeight="1">
      <c r="B441" s="36"/>
      <c r="D441" s="36"/>
      <c r="F441" s="43"/>
      <c r="L441" s="43"/>
      <c r="Q441" s="43"/>
      <c r="V441" s="43"/>
      <c r="AD441" s="43"/>
      <c r="AG441" s="43"/>
      <c r="AL441" s="43"/>
      <c r="AQ441" s="43"/>
      <c r="AV441" s="43"/>
      <c r="BA441" s="43"/>
      <c r="BF441" s="43"/>
      <c r="BK441" s="43"/>
      <c r="BQ441" s="43"/>
      <c r="BV441" s="43"/>
      <c r="CC441" s="43"/>
    </row>
    <row r="442" spans="2:81" ht="15.75" customHeight="1">
      <c r="B442" s="36"/>
      <c r="D442" s="36"/>
      <c r="F442" s="43"/>
      <c r="L442" s="43"/>
      <c r="Q442" s="43"/>
      <c r="V442" s="43"/>
      <c r="AD442" s="43"/>
      <c r="AG442" s="43"/>
      <c r="AL442" s="43"/>
      <c r="AQ442" s="43"/>
      <c r="AV442" s="43"/>
      <c r="BA442" s="43"/>
      <c r="BF442" s="43"/>
      <c r="BK442" s="43"/>
      <c r="BQ442" s="43"/>
      <c r="BV442" s="43"/>
      <c r="CC442" s="43"/>
    </row>
    <row r="443" spans="2:81" ht="15.75" customHeight="1">
      <c r="B443" s="36"/>
      <c r="D443" s="36"/>
      <c r="F443" s="43"/>
      <c r="L443" s="43"/>
      <c r="Q443" s="43"/>
      <c r="V443" s="43"/>
      <c r="AD443" s="43"/>
      <c r="AG443" s="43"/>
      <c r="AL443" s="43"/>
      <c r="AQ443" s="43"/>
      <c r="AV443" s="43"/>
      <c r="BA443" s="43"/>
      <c r="BF443" s="43"/>
      <c r="BK443" s="43"/>
      <c r="BQ443" s="43"/>
      <c r="BV443" s="43"/>
      <c r="CC443" s="43"/>
    </row>
    <row r="444" spans="2:81" ht="15.75" customHeight="1">
      <c r="B444" s="36"/>
      <c r="D444" s="36"/>
      <c r="F444" s="43"/>
      <c r="L444" s="43"/>
      <c r="Q444" s="43"/>
      <c r="V444" s="43"/>
      <c r="AD444" s="43"/>
      <c r="AG444" s="43"/>
      <c r="AL444" s="43"/>
      <c r="AQ444" s="43"/>
      <c r="AV444" s="43"/>
      <c r="BA444" s="43"/>
      <c r="BF444" s="43"/>
      <c r="BK444" s="43"/>
      <c r="BQ444" s="43"/>
      <c r="BV444" s="43"/>
      <c r="CC444" s="43"/>
    </row>
    <row r="445" spans="2:81" ht="15.75" customHeight="1">
      <c r="B445" s="36"/>
      <c r="D445" s="36"/>
      <c r="F445" s="43"/>
      <c r="L445" s="43"/>
      <c r="Q445" s="43"/>
      <c r="V445" s="43"/>
      <c r="AD445" s="43"/>
      <c r="AG445" s="43"/>
      <c r="AL445" s="43"/>
      <c r="AQ445" s="43"/>
      <c r="AV445" s="43"/>
      <c r="BA445" s="43"/>
      <c r="BF445" s="43"/>
      <c r="BK445" s="43"/>
      <c r="BQ445" s="43"/>
      <c r="BV445" s="43"/>
      <c r="CC445" s="43"/>
    </row>
    <row r="446" spans="2:81" ht="15.75" customHeight="1">
      <c r="B446" s="36"/>
      <c r="D446" s="36"/>
      <c r="F446" s="43"/>
      <c r="L446" s="43"/>
      <c r="Q446" s="43"/>
      <c r="V446" s="43"/>
      <c r="AD446" s="43"/>
      <c r="AG446" s="43"/>
      <c r="AL446" s="43"/>
      <c r="AQ446" s="43"/>
      <c r="AV446" s="43"/>
      <c r="BA446" s="43"/>
      <c r="BF446" s="43"/>
      <c r="BK446" s="43"/>
      <c r="BQ446" s="43"/>
      <c r="BV446" s="43"/>
      <c r="CC446" s="43"/>
    </row>
    <row r="447" spans="2:81" ht="15.75" customHeight="1">
      <c r="B447" s="36"/>
      <c r="D447" s="36"/>
      <c r="F447" s="43"/>
      <c r="L447" s="43"/>
      <c r="Q447" s="43"/>
      <c r="V447" s="43"/>
      <c r="AD447" s="43"/>
      <c r="AG447" s="43"/>
      <c r="AL447" s="43"/>
      <c r="AQ447" s="43"/>
      <c r="AV447" s="43"/>
      <c r="BA447" s="43"/>
      <c r="BF447" s="43"/>
      <c r="BK447" s="43"/>
      <c r="BQ447" s="43"/>
      <c r="BV447" s="43"/>
      <c r="CC447" s="43"/>
    </row>
    <row r="448" spans="2:81" ht="15.75" customHeight="1">
      <c r="B448" s="36"/>
      <c r="D448" s="36"/>
      <c r="F448" s="43"/>
      <c r="L448" s="43"/>
      <c r="Q448" s="43"/>
      <c r="V448" s="43"/>
      <c r="AD448" s="43"/>
      <c r="AG448" s="43"/>
      <c r="AL448" s="43"/>
      <c r="AQ448" s="43"/>
      <c r="AV448" s="43"/>
      <c r="BA448" s="43"/>
      <c r="BF448" s="43"/>
      <c r="BK448" s="43"/>
      <c r="BQ448" s="43"/>
      <c r="BV448" s="43"/>
      <c r="CC448" s="43"/>
    </row>
    <row r="449" spans="2:81" ht="15.75" customHeight="1">
      <c r="B449" s="36"/>
      <c r="D449" s="36"/>
      <c r="F449" s="43"/>
      <c r="L449" s="43"/>
      <c r="Q449" s="43"/>
      <c r="V449" s="43"/>
      <c r="AD449" s="43"/>
      <c r="AG449" s="43"/>
      <c r="AL449" s="43"/>
      <c r="AQ449" s="43"/>
      <c r="AV449" s="43"/>
      <c r="BA449" s="43"/>
      <c r="BF449" s="43"/>
      <c r="BK449" s="43"/>
      <c r="BQ449" s="43"/>
      <c r="BV449" s="43"/>
      <c r="CC449" s="43"/>
    </row>
    <row r="450" spans="2:81" ht="15.75" customHeight="1">
      <c r="B450" s="36"/>
      <c r="D450" s="36"/>
      <c r="F450" s="43"/>
      <c r="L450" s="43"/>
      <c r="Q450" s="43"/>
      <c r="V450" s="43"/>
      <c r="AD450" s="43"/>
      <c r="AG450" s="43"/>
      <c r="AL450" s="43"/>
      <c r="AQ450" s="43"/>
      <c r="AV450" s="43"/>
      <c r="BA450" s="43"/>
      <c r="BF450" s="43"/>
      <c r="BK450" s="43"/>
      <c r="BQ450" s="43"/>
      <c r="BV450" s="43"/>
      <c r="CC450" s="43"/>
    </row>
    <row r="451" spans="2:81" ht="15.75" customHeight="1">
      <c r="B451" s="36"/>
      <c r="D451" s="36"/>
      <c r="F451" s="43"/>
      <c r="L451" s="43"/>
      <c r="Q451" s="43"/>
      <c r="V451" s="43"/>
      <c r="AD451" s="43"/>
      <c r="AG451" s="43"/>
      <c r="AL451" s="43"/>
      <c r="AQ451" s="43"/>
      <c r="AV451" s="43"/>
      <c r="BA451" s="43"/>
      <c r="BF451" s="43"/>
      <c r="BK451" s="43"/>
      <c r="BQ451" s="43"/>
      <c r="BV451" s="43"/>
      <c r="CC451" s="43"/>
    </row>
    <row r="452" spans="2:81" ht="15.75" customHeight="1">
      <c r="B452" s="36"/>
      <c r="D452" s="36"/>
      <c r="F452" s="43"/>
      <c r="L452" s="43"/>
      <c r="Q452" s="43"/>
      <c r="V452" s="43"/>
      <c r="AD452" s="43"/>
      <c r="AG452" s="43"/>
      <c r="AL452" s="43"/>
      <c r="AQ452" s="43"/>
      <c r="AV452" s="43"/>
      <c r="BA452" s="43"/>
      <c r="BF452" s="43"/>
      <c r="BK452" s="43"/>
      <c r="BQ452" s="43"/>
      <c r="BV452" s="43"/>
      <c r="CC452" s="43"/>
    </row>
    <row r="453" spans="2:81" ht="15.75" customHeight="1">
      <c r="B453" s="36"/>
      <c r="D453" s="36"/>
      <c r="F453" s="43"/>
      <c r="L453" s="43"/>
      <c r="Q453" s="43"/>
      <c r="V453" s="43"/>
      <c r="AD453" s="43"/>
      <c r="AG453" s="43"/>
      <c r="AL453" s="43"/>
      <c r="AQ453" s="43"/>
      <c r="AV453" s="43"/>
      <c r="BA453" s="43"/>
      <c r="BF453" s="43"/>
      <c r="BK453" s="43"/>
      <c r="BQ453" s="43"/>
      <c r="BV453" s="43"/>
      <c r="CC453" s="43"/>
    </row>
    <row r="454" spans="2:81" ht="15.75" customHeight="1">
      <c r="B454" s="36"/>
      <c r="D454" s="36"/>
      <c r="F454" s="43"/>
      <c r="L454" s="43"/>
      <c r="Q454" s="43"/>
      <c r="V454" s="43"/>
      <c r="AD454" s="43"/>
      <c r="AG454" s="43"/>
      <c r="AL454" s="43"/>
      <c r="AQ454" s="43"/>
      <c r="AV454" s="43"/>
      <c r="BA454" s="43"/>
      <c r="BF454" s="43"/>
      <c r="BK454" s="43"/>
      <c r="BQ454" s="43"/>
      <c r="BV454" s="43"/>
      <c r="CC454" s="43"/>
    </row>
    <row r="455" spans="2:81" ht="15.75" customHeight="1">
      <c r="B455" s="36"/>
      <c r="D455" s="36"/>
      <c r="F455" s="43"/>
      <c r="L455" s="43"/>
      <c r="Q455" s="43"/>
      <c r="V455" s="43"/>
      <c r="AD455" s="43"/>
      <c r="AG455" s="43"/>
      <c r="AL455" s="43"/>
      <c r="AQ455" s="43"/>
      <c r="AV455" s="43"/>
      <c r="BA455" s="43"/>
      <c r="BF455" s="43"/>
      <c r="BK455" s="43"/>
      <c r="BQ455" s="43"/>
      <c r="BV455" s="43"/>
      <c r="CC455" s="43"/>
    </row>
    <row r="456" spans="2:81" ht="15.75" customHeight="1">
      <c r="B456" s="36"/>
      <c r="D456" s="36"/>
      <c r="F456" s="43"/>
      <c r="L456" s="43"/>
      <c r="Q456" s="43"/>
      <c r="V456" s="43"/>
      <c r="AD456" s="43"/>
      <c r="AG456" s="43"/>
      <c r="AL456" s="43"/>
      <c r="AQ456" s="43"/>
      <c r="AV456" s="43"/>
      <c r="BA456" s="43"/>
      <c r="BF456" s="43"/>
      <c r="BK456" s="43"/>
      <c r="BQ456" s="43"/>
      <c r="BV456" s="43"/>
      <c r="CC456" s="43"/>
    </row>
    <row r="457" spans="2:81" ht="15.75" customHeight="1">
      <c r="B457" s="36"/>
      <c r="D457" s="36"/>
      <c r="F457" s="43"/>
      <c r="L457" s="43"/>
      <c r="Q457" s="43"/>
      <c r="V457" s="43"/>
      <c r="AD457" s="43"/>
      <c r="AG457" s="43"/>
      <c r="AL457" s="43"/>
      <c r="AQ457" s="43"/>
      <c r="AV457" s="43"/>
      <c r="BA457" s="43"/>
      <c r="BF457" s="43"/>
      <c r="BK457" s="43"/>
      <c r="BQ457" s="43"/>
      <c r="BV457" s="43"/>
      <c r="CC457" s="43"/>
    </row>
    <row r="458" spans="2:81" ht="15.75" customHeight="1">
      <c r="B458" s="36"/>
      <c r="D458" s="36"/>
      <c r="F458" s="43"/>
      <c r="L458" s="43"/>
      <c r="Q458" s="43"/>
      <c r="V458" s="43"/>
      <c r="AD458" s="43"/>
      <c r="AG458" s="43"/>
      <c r="AL458" s="43"/>
      <c r="AQ458" s="43"/>
      <c r="AV458" s="43"/>
      <c r="BA458" s="43"/>
      <c r="BF458" s="43"/>
      <c r="BK458" s="43"/>
      <c r="BQ458" s="43"/>
      <c r="BV458" s="43"/>
      <c r="CC458" s="43"/>
    </row>
    <row r="459" spans="2:81" ht="15.75" customHeight="1">
      <c r="B459" s="36"/>
      <c r="D459" s="36"/>
      <c r="F459" s="43"/>
      <c r="L459" s="43"/>
      <c r="Q459" s="43"/>
      <c r="V459" s="43"/>
      <c r="AD459" s="43"/>
      <c r="AG459" s="43"/>
      <c r="AL459" s="43"/>
      <c r="AQ459" s="43"/>
      <c r="AV459" s="43"/>
      <c r="BA459" s="43"/>
      <c r="BF459" s="43"/>
      <c r="BK459" s="43"/>
      <c r="BQ459" s="43"/>
      <c r="BV459" s="43"/>
      <c r="CC459" s="43"/>
    </row>
    <row r="460" spans="2:81" ht="15.75" customHeight="1">
      <c r="B460" s="36"/>
      <c r="D460" s="36"/>
      <c r="F460" s="43"/>
      <c r="L460" s="43"/>
      <c r="Q460" s="43"/>
      <c r="V460" s="43"/>
      <c r="AD460" s="43"/>
      <c r="AG460" s="43"/>
      <c r="AL460" s="43"/>
      <c r="AQ460" s="43"/>
      <c r="AV460" s="43"/>
      <c r="BA460" s="43"/>
      <c r="BF460" s="43"/>
      <c r="BK460" s="43"/>
      <c r="BQ460" s="43"/>
      <c r="BV460" s="43"/>
      <c r="CC460" s="43"/>
    </row>
    <row r="461" spans="2:81" ht="15.75" customHeight="1">
      <c r="B461" s="36"/>
      <c r="D461" s="36"/>
      <c r="F461" s="43"/>
      <c r="L461" s="43"/>
      <c r="Q461" s="43"/>
      <c r="V461" s="43"/>
      <c r="AD461" s="43"/>
      <c r="AG461" s="43"/>
      <c r="AL461" s="43"/>
      <c r="AQ461" s="43"/>
      <c r="AV461" s="43"/>
      <c r="BA461" s="43"/>
      <c r="BF461" s="43"/>
      <c r="BK461" s="43"/>
      <c r="BQ461" s="43"/>
      <c r="BV461" s="43"/>
      <c r="CC461" s="43"/>
    </row>
    <row r="462" spans="2:81" ht="15.75" customHeight="1">
      <c r="B462" s="36"/>
      <c r="D462" s="36"/>
      <c r="F462" s="43"/>
      <c r="L462" s="43"/>
      <c r="Q462" s="43"/>
      <c r="V462" s="43"/>
      <c r="AD462" s="43"/>
      <c r="AG462" s="43"/>
      <c r="AL462" s="43"/>
      <c r="AQ462" s="43"/>
      <c r="AV462" s="43"/>
      <c r="BA462" s="43"/>
      <c r="BF462" s="43"/>
      <c r="BK462" s="43"/>
      <c r="BQ462" s="43"/>
      <c r="BV462" s="43"/>
      <c r="CC462" s="43"/>
    </row>
    <row r="463" spans="2:81" ht="15.75" customHeight="1">
      <c r="B463" s="36"/>
      <c r="D463" s="36"/>
      <c r="F463" s="43"/>
      <c r="L463" s="43"/>
      <c r="Q463" s="43"/>
      <c r="V463" s="43"/>
      <c r="AD463" s="43"/>
      <c r="AG463" s="43"/>
      <c r="AL463" s="43"/>
      <c r="AQ463" s="43"/>
      <c r="AV463" s="43"/>
      <c r="BA463" s="43"/>
      <c r="BF463" s="43"/>
      <c r="BK463" s="43"/>
      <c r="BQ463" s="43"/>
      <c r="BV463" s="43"/>
      <c r="CC463" s="43"/>
    </row>
    <row r="464" spans="2:81" ht="15.75" customHeight="1">
      <c r="B464" s="36"/>
      <c r="D464" s="36"/>
      <c r="F464" s="43"/>
      <c r="L464" s="43"/>
      <c r="Q464" s="43"/>
      <c r="V464" s="43"/>
      <c r="AD464" s="43"/>
      <c r="AG464" s="43"/>
      <c r="AL464" s="43"/>
      <c r="AQ464" s="43"/>
      <c r="AV464" s="43"/>
      <c r="BA464" s="43"/>
      <c r="BF464" s="43"/>
      <c r="BK464" s="43"/>
      <c r="BQ464" s="43"/>
      <c r="BV464" s="43"/>
      <c r="CC464" s="43"/>
    </row>
    <row r="465" spans="2:81" ht="15.75" customHeight="1">
      <c r="B465" s="36"/>
      <c r="D465" s="36"/>
      <c r="F465" s="43"/>
      <c r="L465" s="43"/>
      <c r="Q465" s="43"/>
      <c r="V465" s="43"/>
      <c r="AD465" s="43"/>
      <c r="AG465" s="43"/>
      <c r="AL465" s="43"/>
      <c r="AQ465" s="43"/>
      <c r="AV465" s="43"/>
      <c r="BA465" s="43"/>
      <c r="BF465" s="43"/>
      <c r="BK465" s="43"/>
      <c r="BQ465" s="43"/>
      <c r="BV465" s="43"/>
      <c r="CC465" s="43"/>
    </row>
    <row r="466" spans="2:81" ht="15.75" customHeight="1">
      <c r="B466" s="36"/>
      <c r="D466" s="36"/>
      <c r="F466" s="43"/>
      <c r="L466" s="43"/>
      <c r="Q466" s="43"/>
      <c r="V466" s="43"/>
      <c r="AD466" s="43"/>
      <c r="AG466" s="43"/>
      <c r="AL466" s="43"/>
      <c r="AQ466" s="43"/>
      <c r="AV466" s="43"/>
      <c r="BA466" s="43"/>
      <c r="BF466" s="43"/>
      <c r="BK466" s="43"/>
      <c r="BQ466" s="43"/>
      <c r="BV466" s="43"/>
      <c r="CC466" s="43"/>
    </row>
    <row r="467" spans="2:81" ht="15.75" customHeight="1">
      <c r="B467" s="36"/>
      <c r="D467" s="36"/>
      <c r="F467" s="43"/>
      <c r="L467" s="43"/>
      <c r="Q467" s="43"/>
      <c r="V467" s="43"/>
      <c r="AD467" s="43"/>
      <c r="AG467" s="43"/>
      <c r="AL467" s="43"/>
      <c r="AQ467" s="43"/>
      <c r="AV467" s="43"/>
      <c r="BA467" s="43"/>
      <c r="BF467" s="43"/>
      <c r="BK467" s="43"/>
      <c r="BQ467" s="43"/>
      <c r="BV467" s="43"/>
      <c r="CC467" s="43"/>
    </row>
    <row r="468" spans="2:81" ht="15.75" customHeight="1">
      <c r="B468" s="36"/>
      <c r="D468" s="36"/>
      <c r="F468" s="43"/>
      <c r="L468" s="43"/>
      <c r="Q468" s="43"/>
      <c r="V468" s="43"/>
      <c r="AD468" s="43"/>
      <c r="AG468" s="43"/>
      <c r="AL468" s="43"/>
      <c r="AQ468" s="43"/>
      <c r="AV468" s="43"/>
      <c r="BA468" s="43"/>
      <c r="BF468" s="43"/>
      <c r="BK468" s="43"/>
      <c r="BQ468" s="43"/>
      <c r="BV468" s="43"/>
      <c r="CC468" s="43"/>
    </row>
    <row r="469" spans="2:81" ht="15.75" customHeight="1">
      <c r="B469" s="36"/>
      <c r="D469" s="36"/>
      <c r="F469" s="43"/>
      <c r="L469" s="43"/>
      <c r="Q469" s="43"/>
      <c r="V469" s="43"/>
      <c r="AD469" s="43"/>
      <c r="AG469" s="43"/>
      <c r="AL469" s="43"/>
      <c r="AQ469" s="43"/>
      <c r="AV469" s="43"/>
      <c r="BA469" s="43"/>
      <c r="BF469" s="43"/>
      <c r="BK469" s="43"/>
      <c r="BQ469" s="43"/>
      <c r="BV469" s="43"/>
      <c r="CC469" s="43"/>
    </row>
    <row r="470" spans="2:81" ht="15.75" customHeight="1">
      <c r="B470" s="36"/>
      <c r="D470" s="36"/>
      <c r="F470" s="43"/>
      <c r="L470" s="43"/>
      <c r="Q470" s="43"/>
      <c r="V470" s="43"/>
      <c r="AD470" s="43"/>
      <c r="AG470" s="43"/>
      <c r="AL470" s="43"/>
      <c r="AQ470" s="43"/>
      <c r="AV470" s="43"/>
      <c r="BA470" s="43"/>
      <c r="BF470" s="43"/>
      <c r="BK470" s="43"/>
      <c r="BQ470" s="43"/>
      <c r="BV470" s="43"/>
      <c r="CC470" s="43"/>
    </row>
    <row r="471" spans="2:81" ht="15.75" customHeight="1">
      <c r="B471" s="36"/>
      <c r="D471" s="36"/>
      <c r="F471" s="43"/>
      <c r="L471" s="43"/>
      <c r="Q471" s="43"/>
      <c r="V471" s="43"/>
      <c r="AD471" s="43"/>
      <c r="AG471" s="43"/>
      <c r="AL471" s="43"/>
      <c r="AQ471" s="43"/>
      <c r="AV471" s="43"/>
      <c r="BA471" s="43"/>
      <c r="BF471" s="43"/>
      <c r="BK471" s="43"/>
      <c r="BQ471" s="43"/>
      <c r="BV471" s="43"/>
      <c r="CC471" s="43"/>
    </row>
    <row r="472" spans="2:81" ht="15.75" customHeight="1">
      <c r="B472" s="36"/>
      <c r="D472" s="36"/>
      <c r="F472" s="43"/>
      <c r="L472" s="43"/>
      <c r="Q472" s="43"/>
      <c r="V472" s="43"/>
      <c r="AD472" s="43"/>
      <c r="AG472" s="43"/>
      <c r="AL472" s="43"/>
      <c r="AQ472" s="43"/>
      <c r="AV472" s="43"/>
      <c r="BA472" s="43"/>
      <c r="BF472" s="43"/>
      <c r="BK472" s="43"/>
      <c r="BQ472" s="43"/>
      <c r="BV472" s="43"/>
      <c r="CC472" s="43"/>
    </row>
    <row r="473" spans="2:81" ht="15.75" customHeight="1">
      <c r="B473" s="36"/>
      <c r="D473" s="36"/>
      <c r="F473" s="43"/>
      <c r="L473" s="43"/>
      <c r="Q473" s="43"/>
      <c r="V473" s="43"/>
      <c r="AD473" s="43"/>
      <c r="AG473" s="43"/>
      <c r="AL473" s="43"/>
      <c r="AQ473" s="43"/>
      <c r="AV473" s="43"/>
      <c r="BA473" s="43"/>
      <c r="BF473" s="43"/>
      <c r="BK473" s="43"/>
      <c r="BQ473" s="43"/>
      <c r="BV473" s="43"/>
      <c r="CC473" s="43"/>
    </row>
    <row r="474" spans="2:81" ht="15.75" customHeight="1">
      <c r="B474" s="36"/>
      <c r="D474" s="36"/>
      <c r="F474" s="43"/>
      <c r="L474" s="43"/>
      <c r="Q474" s="43"/>
      <c r="V474" s="43"/>
      <c r="AD474" s="43"/>
      <c r="AG474" s="43"/>
      <c r="AL474" s="43"/>
      <c r="AQ474" s="43"/>
      <c r="AV474" s="43"/>
      <c r="BA474" s="43"/>
      <c r="BF474" s="43"/>
      <c r="BK474" s="43"/>
      <c r="BQ474" s="43"/>
      <c r="BV474" s="43"/>
      <c r="CC474" s="43"/>
    </row>
    <row r="475" spans="2:81" ht="15.75" customHeight="1">
      <c r="B475" s="36"/>
      <c r="D475" s="36"/>
      <c r="F475" s="43"/>
      <c r="L475" s="43"/>
      <c r="Q475" s="43"/>
      <c r="V475" s="43"/>
      <c r="AD475" s="43"/>
      <c r="AG475" s="43"/>
      <c r="AL475" s="43"/>
      <c r="AQ475" s="43"/>
      <c r="AV475" s="43"/>
      <c r="BA475" s="43"/>
      <c r="BF475" s="43"/>
      <c r="BK475" s="43"/>
      <c r="BQ475" s="43"/>
      <c r="BV475" s="43"/>
      <c r="CC475" s="43"/>
    </row>
    <row r="476" spans="2:81" ht="15.75" customHeight="1">
      <c r="B476" s="36"/>
      <c r="D476" s="36"/>
      <c r="F476" s="43"/>
      <c r="L476" s="43"/>
      <c r="Q476" s="43"/>
      <c r="V476" s="43"/>
      <c r="AD476" s="43"/>
      <c r="AG476" s="43"/>
      <c r="AL476" s="43"/>
      <c r="AQ476" s="43"/>
      <c r="AV476" s="43"/>
      <c r="BA476" s="43"/>
      <c r="BF476" s="43"/>
      <c r="BK476" s="43"/>
      <c r="BQ476" s="43"/>
      <c r="BV476" s="43"/>
      <c r="CC476" s="43"/>
    </row>
    <row r="477" spans="2:81" ht="15.75" customHeight="1">
      <c r="B477" s="36"/>
      <c r="D477" s="36"/>
      <c r="F477" s="43"/>
      <c r="L477" s="43"/>
      <c r="Q477" s="43"/>
      <c r="V477" s="43"/>
      <c r="AD477" s="43"/>
      <c r="AG477" s="43"/>
      <c r="AL477" s="43"/>
      <c r="AQ477" s="43"/>
      <c r="AV477" s="43"/>
      <c r="BA477" s="43"/>
      <c r="BF477" s="43"/>
      <c r="BK477" s="43"/>
      <c r="BQ477" s="43"/>
      <c r="BV477" s="43"/>
      <c r="CC477" s="43"/>
    </row>
    <row r="478" spans="2:81" ht="15.75" customHeight="1">
      <c r="B478" s="36"/>
      <c r="D478" s="36"/>
      <c r="F478" s="43"/>
      <c r="L478" s="43"/>
      <c r="Q478" s="43"/>
      <c r="V478" s="43"/>
      <c r="AD478" s="43"/>
      <c r="AG478" s="43"/>
      <c r="AL478" s="43"/>
      <c r="AQ478" s="43"/>
      <c r="AV478" s="43"/>
      <c r="BA478" s="43"/>
      <c r="BF478" s="43"/>
      <c r="BK478" s="43"/>
      <c r="BQ478" s="43"/>
      <c r="BV478" s="43"/>
      <c r="CC478" s="43"/>
    </row>
    <row r="479" spans="2:81" ht="15.75" customHeight="1">
      <c r="B479" s="36"/>
      <c r="D479" s="36"/>
      <c r="F479" s="43"/>
      <c r="L479" s="43"/>
      <c r="Q479" s="43"/>
      <c r="V479" s="43"/>
      <c r="AD479" s="43"/>
      <c r="AG479" s="43"/>
      <c r="AL479" s="43"/>
      <c r="AQ479" s="43"/>
      <c r="AV479" s="43"/>
      <c r="BA479" s="43"/>
      <c r="BF479" s="43"/>
      <c r="BK479" s="43"/>
      <c r="BQ479" s="43"/>
      <c r="BV479" s="43"/>
      <c r="CC479" s="43"/>
    </row>
    <row r="480" spans="2:81" ht="15.75" customHeight="1">
      <c r="B480" s="36"/>
      <c r="D480" s="36"/>
      <c r="F480" s="43"/>
      <c r="L480" s="43"/>
      <c r="Q480" s="43"/>
      <c r="V480" s="43"/>
      <c r="AD480" s="43"/>
      <c r="AG480" s="43"/>
      <c r="AL480" s="43"/>
      <c r="AQ480" s="43"/>
      <c r="AV480" s="43"/>
      <c r="BA480" s="43"/>
      <c r="BF480" s="43"/>
      <c r="BK480" s="43"/>
      <c r="BQ480" s="43"/>
      <c r="BV480" s="43"/>
      <c r="CC480" s="43"/>
    </row>
    <row r="481" spans="2:81" ht="15.75" customHeight="1">
      <c r="B481" s="36"/>
      <c r="D481" s="36"/>
      <c r="F481" s="43"/>
      <c r="L481" s="43"/>
      <c r="Q481" s="43"/>
      <c r="V481" s="43"/>
      <c r="AD481" s="43"/>
      <c r="AG481" s="43"/>
      <c r="AL481" s="43"/>
      <c r="AQ481" s="43"/>
      <c r="AV481" s="43"/>
      <c r="BA481" s="43"/>
      <c r="BF481" s="43"/>
      <c r="BK481" s="43"/>
      <c r="BQ481" s="43"/>
      <c r="BV481" s="43"/>
      <c r="CC481" s="43"/>
    </row>
    <row r="482" spans="2:81" ht="15.75" customHeight="1">
      <c r="B482" s="36"/>
      <c r="D482" s="36"/>
      <c r="F482" s="43"/>
      <c r="L482" s="43"/>
      <c r="Q482" s="43"/>
      <c r="V482" s="43"/>
      <c r="AD482" s="43"/>
      <c r="AG482" s="43"/>
      <c r="AL482" s="43"/>
      <c r="AQ482" s="43"/>
      <c r="AV482" s="43"/>
      <c r="BA482" s="43"/>
      <c r="BF482" s="43"/>
      <c r="BK482" s="43"/>
      <c r="BQ482" s="43"/>
      <c r="BV482" s="43"/>
      <c r="CC482" s="43"/>
    </row>
    <row r="483" spans="2:81" ht="15.75" customHeight="1">
      <c r="B483" s="36"/>
      <c r="D483" s="36"/>
      <c r="F483" s="43"/>
      <c r="L483" s="43"/>
      <c r="Q483" s="43"/>
      <c r="V483" s="43"/>
      <c r="AD483" s="43"/>
      <c r="AG483" s="43"/>
      <c r="AL483" s="43"/>
      <c r="AQ483" s="43"/>
      <c r="AV483" s="43"/>
      <c r="BA483" s="43"/>
      <c r="BF483" s="43"/>
      <c r="BK483" s="43"/>
      <c r="BQ483" s="43"/>
      <c r="BV483" s="43"/>
      <c r="CC483" s="43"/>
    </row>
    <row r="484" spans="2:81" ht="15.75" customHeight="1">
      <c r="B484" s="36"/>
      <c r="D484" s="36"/>
      <c r="F484" s="43"/>
      <c r="L484" s="43"/>
      <c r="Q484" s="43"/>
      <c r="V484" s="43"/>
      <c r="AD484" s="43"/>
      <c r="AG484" s="43"/>
      <c r="AL484" s="43"/>
      <c r="AQ484" s="43"/>
      <c r="AV484" s="43"/>
      <c r="BA484" s="43"/>
      <c r="BF484" s="43"/>
      <c r="BK484" s="43"/>
      <c r="BQ484" s="43"/>
      <c r="BV484" s="43"/>
      <c r="CC484" s="43"/>
    </row>
    <row r="485" spans="2:81" ht="15.75" customHeight="1">
      <c r="B485" s="36"/>
      <c r="D485" s="36"/>
      <c r="F485" s="43"/>
      <c r="L485" s="43"/>
      <c r="Q485" s="43"/>
      <c r="V485" s="43"/>
      <c r="AD485" s="43"/>
      <c r="AG485" s="43"/>
      <c r="AL485" s="43"/>
      <c r="AQ485" s="43"/>
      <c r="AV485" s="43"/>
      <c r="BA485" s="43"/>
      <c r="BF485" s="43"/>
      <c r="BK485" s="43"/>
      <c r="BQ485" s="43"/>
      <c r="BV485" s="43"/>
      <c r="CC485" s="43"/>
    </row>
    <row r="486" spans="2:81" ht="15.75" customHeight="1">
      <c r="B486" s="36"/>
      <c r="D486" s="36"/>
      <c r="F486" s="43"/>
      <c r="L486" s="43"/>
      <c r="Q486" s="43"/>
      <c r="V486" s="43"/>
      <c r="AD486" s="43"/>
      <c r="AG486" s="43"/>
      <c r="AL486" s="43"/>
      <c r="AQ486" s="43"/>
      <c r="AV486" s="43"/>
      <c r="BA486" s="43"/>
      <c r="BF486" s="43"/>
      <c r="BK486" s="43"/>
      <c r="BQ486" s="43"/>
      <c r="BV486" s="43"/>
      <c r="CC486" s="43"/>
    </row>
    <row r="487" spans="2:81" ht="15.75" customHeight="1">
      <c r="B487" s="36"/>
      <c r="D487" s="36"/>
      <c r="F487" s="43"/>
      <c r="L487" s="43"/>
      <c r="Q487" s="43"/>
      <c r="V487" s="43"/>
      <c r="AD487" s="43"/>
      <c r="AG487" s="43"/>
      <c r="AL487" s="43"/>
      <c r="AQ487" s="43"/>
      <c r="AV487" s="43"/>
      <c r="BA487" s="43"/>
      <c r="BF487" s="43"/>
      <c r="BK487" s="43"/>
      <c r="BQ487" s="43"/>
      <c r="BV487" s="43"/>
      <c r="CC487" s="43"/>
    </row>
    <row r="488" spans="2:81" ht="15.75" customHeight="1">
      <c r="B488" s="36"/>
      <c r="D488" s="36"/>
      <c r="F488" s="43"/>
      <c r="L488" s="43"/>
      <c r="Q488" s="43"/>
      <c r="V488" s="43"/>
      <c r="AD488" s="43"/>
      <c r="AG488" s="43"/>
      <c r="AL488" s="43"/>
      <c r="AQ488" s="43"/>
      <c r="AV488" s="43"/>
      <c r="BA488" s="43"/>
      <c r="BF488" s="43"/>
      <c r="BK488" s="43"/>
      <c r="BQ488" s="43"/>
      <c r="BV488" s="43"/>
      <c r="CC488" s="43"/>
    </row>
    <row r="489" spans="2:81" ht="15.75" customHeight="1">
      <c r="B489" s="36"/>
      <c r="D489" s="36"/>
      <c r="F489" s="43"/>
      <c r="L489" s="43"/>
      <c r="Q489" s="43"/>
      <c r="V489" s="43"/>
      <c r="AD489" s="43"/>
      <c r="AG489" s="43"/>
      <c r="AL489" s="43"/>
      <c r="AQ489" s="43"/>
      <c r="AV489" s="43"/>
      <c r="BA489" s="43"/>
      <c r="BF489" s="43"/>
      <c r="BK489" s="43"/>
      <c r="BQ489" s="43"/>
      <c r="BV489" s="43"/>
      <c r="CC489" s="43"/>
    </row>
    <row r="490" spans="2:81" ht="15.75" customHeight="1">
      <c r="B490" s="36"/>
      <c r="D490" s="36"/>
      <c r="F490" s="43"/>
      <c r="L490" s="43"/>
      <c r="Q490" s="43"/>
      <c r="V490" s="43"/>
      <c r="AD490" s="43"/>
      <c r="AG490" s="43"/>
      <c r="AL490" s="43"/>
      <c r="AQ490" s="43"/>
      <c r="AV490" s="43"/>
      <c r="BA490" s="43"/>
      <c r="BF490" s="43"/>
      <c r="BK490" s="43"/>
      <c r="BQ490" s="43"/>
      <c r="BV490" s="43"/>
      <c r="CC490" s="43"/>
    </row>
    <row r="491" spans="2:81" ht="15.75" customHeight="1">
      <c r="B491" s="36"/>
      <c r="D491" s="36"/>
      <c r="F491" s="43"/>
      <c r="L491" s="43"/>
      <c r="Q491" s="43"/>
      <c r="V491" s="43"/>
      <c r="AD491" s="43"/>
      <c r="AG491" s="43"/>
      <c r="AL491" s="43"/>
      <c r="AQ491" s="43"/>
      <c r="AV491" s="43"/>
      <c r="BA491" s="43"/>
      <c r="BF491" s="43"/>
      <c r="BK491" s="43"/>
      <c r="BQ491" s="43"/>
      <c r="BV491" s="43"/>
      <c r="CC491" s="43"/>
    </row>
    <row r="492" spans="2:81" ht="15.75" customHeight="1">
      <c r="B492" s="36"/>
      <c r="D492" s="36"/>
      <c r="F492" s="43"/>
      <c r="L492" s="43"/>
      <c r="Q492" s="43"/>
      <c r="V492" s="43"/>
      <c r="AD492" s="43"/>
      <c r="AG492" s="43"/>
      <c r="AL492" s="43"/>
      <c r="AQ492" s="43"/>
      <c r="AV492" s="43"/>
      <c r="BA492" s="43"/>
      <c r="BF492" s="43"/>
      <c r="BK492" s="43"/>
      <c r="BQ492" s="43"/>
      <c r="BV492" s="43"/>
      <c r="CC492" s="43"/>
    </row>
    <row r="493" spans="2:81" ht="15.75" customHeight="1">
      <c r="B493" s="36"/>
      <c r="D493" s="36"/>
      <c r="F493" s="43"/>
      <c r="L493" s="43"/>
      <c r="Q493" s="43"/>
      <c r="V493" s="43"/>
      <c r="AD493" s="43"/>
      <c r="AG493" s="43"/>
      <c r="AL493" s="43"/>
      <c r="AQ493" s="43"/>
      <c r="AV493" s="43"/>
      <c r="BA493" s="43"/>
      <c r="BF493" s="43"/>
      <c r="BK493" s="43"/>
      <c r="BQ493" s="43"/>
      <c r="BV493" s="43"/>
      <c r="CC493" s="43"/>
    </row>
    <row r="494" spans="2:81" ht="15.75" customHeight="1">
      <c r="B494" s="36"/>
      <c r="D494" s="36"/>
      <c r="F494" s="43"/>
      <c r="L494" s="43"/>
      <c r="Q494" s="43"/>
      <c r="V494" s="43"/>
      <c r="AD494" s="43"/>
      <c r="AG494" s="43"/>
      <c r="AL494" s="43"/>
      <c r="AQ494" s="43"/>
      <c r="AV494" s="43"/>
      <c r="BA494" s="43"/>
      <c r="BF494" s="43"/>
      <c r="BK494" s="43"/>
      <c r="BQ494" s="43"/>
      <c r="BV494" s="43"/>
      <c r="CC494" s="43"/>
    </row>
    <row r="495" spans="2:81" ht="15.75" customHeight="1">
      <c r="B495" s="36"/>
      <c r="D495" s="36"/>
      <c r="F495" s="43"/>
      <c r="L495" s="43"/>
      <c r="Q495" s="43"/>
      <c r="V495" s="43"/>
      <c r="AD495" s="43"/>
      <c r="AG495" s="43"/>
      <c r="AL495" s="43"/>
      <c r="AQ495" s="43"/>
      <c r="AV495" s="43"/>
      <c r="BA495" s="43"/>
      <c r="BF495" s="43"/>
      <c r="BK495" s="43"/>
      <c r="BQ495" s="43"/>
      <c r="BV495" s="43"/>
      <c r="CC495" s="43"/>
    </row>
    <row r="496" spans="2:81" ht="15.75" customHeight="1">
      <c r="B496" s="36"/>
      <c r="D496" s="36"/>
      <c r="F496" s="43"/>
      <c r="L496" s="43"/>
      <c r="Q496" s="43"/>
      <c r="V496" s="43"/>
      <c r="AD496" s="43"/>
      <c r="AG496" s="43"/>
      <c r="AL496" s="43"/>
      <c r="AQ496" s="43"/>
      <c r="AV496" s="43"/>
      <c r="BA496" s="43"/>
      <c r="BF496" s="43"/>
      <c r="BK496" s="43"/>
      <c r="BQ496" s="43"/>
      <c r="BV496" s="43"/>
      <c r="CC496" s="43"/>
    </row>
    <row r="497" spans="2:81" ht="15.75" customHeight="1">
      <c r="B497" s="36"/>
      <c r="D497" s="36"/>
      <c r="F497" s="43"/>
      <c r="L497" s="43"/>
      <c r="Q497" s="43"/>
      <c r="V497" s="43"/>
      <c r="AD497" s="43"/>
      <c r="AG497" s="43"/>
      <c r="AL497" s="43"/>
      <c r="AQ497" s="43"/>
      <c r="AV497" s="43"/>
      <c r="BA497" s="43"/>
      <c r="BF497" s="43"/>
      <c r="BK497" s="43"/>
      <c r="BQ497" s="43"/>
      <c r="BV497" s="43"/>
      <c r="CC497" s="43"/>
    </row>
    <row r="498" spans="2:81" ht="15.75" customHeight="1">
      <c r="B498" s="36"/>
      <c r="D498" s="36"/>
      <c r="F498" s="43"/>
      <c r="L498" s="43"/>
      <c r="Q498" s="43"/>
      <c r="V498" s="43"/>
      <c r="AD498" s="43"/>
      <c r="AG498" s="43"/>
      <c r="AL498" s="43"/>
      <c r="AQ498" s="43"/>
      <c r="AV498" s="43"/>
      <c r="BA498" s="43"/>
      <c r="BF498" s="43"/>
      <c r="BK498" s="43"/>
      <c r="BQ498" s="43"/>
      <c r="BV498" s="43"/>
      <c r="CC498" s="43"/>
    </row>
    <row r="499" spans="2:81" ht="15.75" customHeight="1">
      <c r="B499" s="36"/>
      <c r="D499" s="36"/>
      <c r="F499" s="43"/>
      <c r="L499" s="43"/>
      <c r="Q499" s="43"/>
      <c r="V499" s="43"/>
      <c r="AD499" s="43"/>
      <c r="AG499" s="43"/>
      <c r="AL499" s="43"/>
      <c r="AQ499" s="43"/>
      <c r="AV499" s="43"/>
      <c r="BA499" s="43"/>
      <c r="BF499" s="43"/>
      <c r="BK499" s="43"/>
      <c r="BQ499" s="43"/>
      <c r="BV499" s="43"/>
      <c r="CC499" s="43"/>
    </row>
    <row r="500" spans="2:81" ht="15.75" customHeight="1">
      <c r="B500" s="36"/>
      <c r="D500" s="36"/>
      <c r="F500" s="43"/>
      <c r="L500" s="43"/>
      <c r="Q500" s="43"/>
      <c r="V500" s="43"/>
      <c r="AD500" s="43"/>
      <c r="AG500" s="43"/>
      <c r="AL500" s="43"/>
      <c r="AQ500" s="43"/>
      <c r="AV500" s="43"/>
      <c r="BA500" s="43"/>
      <c r="BF500" s="43"/>
      <c r="BK500" s="43"/>
      <c r="BQ500" s="43"/>
      <c r="BV500" s="43"/>
      <c r="CC500" s="43"/>
    </row>
    <row r="501" spans="2:81" ht="15.75" customHeight="1">
      <c r="B501" s="36"/>
      <c r="D501" s="36"/>
      <c r="F501" s="43"/>
      <c r="L501" s="43"/>
      <c r="Q501" s="43"/>
      <c r="V501" s="43"/>
      <c r="AD501" s="43"/>
      <c r="AG501" s="43"/>
      <c r="AL501" s="43"/>
      <c r="AQ501" s="43"/>
      <c r="AV501" s="43"/>
      <c r="BA501" s="43"/>
      <c r="BF501" s="43"/>
      <c r="BK501" s="43"/>
      <c r="BQ501" s="43"/>
      <c r="BV501" s="43"/>
      <c r="CC501" s="43"/>
    </row>
    <row r="502" spans="2:81" ht="15.75" customHeight="1">
      <c r="B502" s="36"/>
      <c r="D502" s="36"/>
      <c r="F502" s="43"/>
      <c r="L502" s="43"/>
      <c r="Q502" s="43"/>
      <c r="V502" s="43"/>
      <c r="AD502" s="43"/>
      <c r="AG502" s="43"/>
      <c r="AL502" s="43"/>
      <c r="AQ502" s="43"/>
      <c r="AV502" s="43"/>
      <c r="BA502" s="43"/>
      <c r="BF502" s="43"/>
      <c r="BK502" s="43"/>
      <c r="BQ502" s="43"/>
      <c r="BV502" s="43"/>
      <c r="CC502" s="43"/>
    </row>
    <row r="503" spans="2:81" ht="15.75" customHeight="1">
      <c r="B503" s="36"/>
      <c r="D503" s="36"/>
      <c r="F503" s="43"/>
      <c r="L503" s="43"/>
      <c r="Q503" s="43"/>
      <c r="V503" s="43"/>
      <c r="AD503" s="43"/>
      <c r="AG503" s="43"/>
      <c r="AL503" s="43"/>
      <c r="AQ503" s="43"/>
      <c r="AV503" s="43"/>
      <c r="BA503" s="43"/>
      <c r="BF503" s="43"/>
      <c r="BK503" s="43"/>
      <c r="BQ503" s="43"/>
      <c r="BV503" s="43"/>
      <c r="CC503" s="43"/>
    </row>
    <row r="504" spans="2:81" ht="15.75" customHeight="1">
      <c r="B504" s="36"/>
      <c r="D504" s="36"/>
      <c r="F504" s="43"/>
      <c r="L504" s="43"/>
      <c r="Q504" s="43"/>
      <c r="V504" s="43"/>
      <c r="AD504" s="43"/>
      <c r="AG504" s="43"/>
      <c r="AL504" s="43"/>
      <c r="AQ504" s="43"/>
      <c r="AV504" s="43"/>
      <c r="BA504" s="43"/>
      <c r="BF504" s="43"/>
      <c r="BK504" s="43"/>
      <c r="BQ504" s="43"/>
      <c r="BV504" s="43"/>
      <c r="CC504" s="43"/>
    </row>
    <row r="505" spans="2:81" ht="15.75" customHeight="1">
      <c r="B505" s="36"/>
      <c r="D505" s="36"/>
      <c r="F505" s="43"/>
      <c r="L505" s="43"/>
      <c r="Q505" s="43"/>
      <c r="V505" s="43"/>
      <c r="AD505" s="43"/>
      <c r="AG505" s="43"/>
      <c r="AL505" s="43"/>
      <c r="AQ505" s="43"/>
      <c r="AV505" s="43"/>
      <c r="BA505" s="43"/>
      <c r="BF505" s="43"/>
      <c r="BK505" s="43"/>
      <c r="BQ505" s="43"/>
      <c r="BV505" s="43"/>
      <c r="CC505" s="43"/>
    </row>
    <row r="506" spans="2:81" ht="15.75" customHeight="1">
      <c r="B506" s="36"/>
      <c r="D506" s="36"/>
      <c r="F506" s="43"/>
      <c r="L506" s="43"/>
      <c r="Q506" s="43"/>
      <c r="V506" s="43"/>
      <c r="AD506" s="43"/>
      <c r="AG506" s="43"/>
      <c r="AL506" s="43"/>
      <c r="AQ506" s="43"/>
      <c r="AV506" s="43"/>
      <c r="BA506" s="43"/>
      <c r="BF506" s="43"/>
      <c r="BK506" s="43"/>
      <c r="BQ506" s="43"/>
      <c r="BV506" s="43"/>
      <c r="CC506" s="43"/>
    </row>
    <row r="507" spans="2:81" ht="15.75" customHeight="1">
      <c r="B507" s="36"/>
      <c r="D507" s="36"/>
      <c r="F507" s="43"/>
      <c r="L507" s="43"/>
      <c r="Q507" s="43"/>
      <c r="V507" s="43"/>
      <c r="AD507" s="43"/>
      <c r="AG507" s="43"/>
      <c r="AL507" s="43"/>
      <c r="AQ507" s="43"/>
      <c r="AV507" s="43"/>
      <c r="BA507" s="43"/>
      <c r="BF507" s="43"/>
      <c r="BK507" s="43"/>
      <c r="BQ507" s="43"/>
      <c r="BV507" s="43"/>
      <c r="CC507" s="43"/>
    </row>
    <row r="508" spans="2:81" ht="15.75" customHeight="1">
      <c r="B508" s="36"/>
      <c r="D508" s="36"/>
      <c r="F508" s="43"/>
      <c r="L508" s="43"/>
      <c r="Q508" s="43"/>
      <c r="V508" s="43"/>
      <c r="AD508" s="43"/>
      <c r="AG508" s="43"/>
      <c r="AL508" s="43"/>
      <c r="AQ508" s="43"/>
      <c r="AV508" s="43"/>
      <c r="BA508" s="43"/>
      <c r="BF508" s="43"/>
      <c r="BK508" s="43"/>
      <c r="BQ508" s="43"/>
      <c r="BV508" s="43"/>
      <c r="CC508" s="43"/>
    </row>
    <row r="509" spans="2:81" ht="15.75" customHeight="1">
      <c r="B509" s="36"/>
      <c r="D509" s="36"/>
      <c r="F509" s="43"/>
      <c r="L509" s="43"/>
      <c r="Q509" s="43"/>
      <c r="V509" s="43"/>
      <c r="AD509" s="43"/>
      <c r="AG509" s="43"/>
      <c r="AL509" s="43"/>
      <c r="AQ509" s="43"/>
      <c r="AV509" s="43"/>
      <c r="BA509" s="43"/>
      <c r="BF509" s="43"/>
      <c r="BK509" s="43"/>
      <c r="BQ509" s="43"/>
      <c r="BV509" s="43"/>
      <c r="CC509" s="43"/>
    </row>
    <row r="510" spans="2:81" ht="15.75" customHeight="1">
      <c r="B510" s="36"/>
      <c r="D510" s="36"/>
      <c r="F510" s="43"/>
      <c r="L510" s="43"/>
      <c r="Q510" s="43"/>
      <c r="V510" s="43"/>
      <c r="AD510" s="43"/>
      <c r="AG510" s="43"/>
      <c r="AL510" s="43"/>
      <c r="AQ510" s="43"/>
      <c r="AV510" s="43"/>
      <c r="BA510" s="43"/>
      <c r="BF510" s="43"/>
      <c r="BK510" s="43"/>
      <c r="BQ510" s="43"/>
      <c r="BV510" s="43"/>
      <c r="CC510" s="43"/>
    </row>
    <row r="511" spans="2:81" ht="15.75" customHeight="1">
      <c r="B511" s="36"/>
      <c r="D511" s="36"/>
      <c r="F511" s="43"/>
      <c r="L511" s="43"/>
      <c r="Q511" s="43"/>
      <c r="V511" s="43"/>
      <c r="AD511" s="43"/>
      <c r="AG511" s="43"/>
      <c r="AL511" s="43"/>
      <c r="AQ511" s="43"/>
      <c r="AV511" s="43"/>
      <c r="BA511" s="43"/>
      <c r="BF511" s="43"/>
      <c r="BK511" s="43"/>
      <c r="BQ511" s="43"/>
      <c r="BV511" s="43"/>
      <c r="CC511" s="43"/>
    </row>
    <row r="512" spans="2:81" ht="15.75" customHeight="1">
      <c r="B512" s="36"/>
      <c r="D512" s="36"/>
      <c r="F512" s="43"/>
      <c r="L512" s="43"/>
      <c r="Q512" s="43"/>
      <c r="V512" s="43"/>
      <c r="AD512" s="43"/>
      <c r="AG512" s="43"/>
      <c r="AL512" s="43"/>
      <c r="AQ512" s="43"/>
      <c r="AV512" s="43"/>
      <c r="BA512" s="43"/>
      <c r="BF512" s="43"/>
      <c r="BK512" s="43"/>
      <c r="BQ512" s="43"/>
      <c r="BV512" s="43"/>
      <c r="CC512" s="43"/>
    </row>
    <row r="513" spans="2:81" ht="15.75" customHeight="1">
      <c r="B513" s="36"/>
      <c r="D513" s="36"/>
      <c r="F513" s="43"/>
      <c r="L513" s="43"/>
      <c r="Q513" s="43"/>
      <c r="V513" s="43"/>
      <c r="AD513" s="43"/>
      <c r="AG513" s="43"/>
      <c r="AL513" s="43"/>
      <c r="AQ513" s="43"/>
      <c r="AV513" s="43"/>
      <c r="BA513" s="43"/>
      <c r="BF513" s="43"/>
      <c r="BK513" s="43"/>
      <c r="BQ513" s="43"/>
      <c r="BV513" s="43"/>
      <c r="CC513" s="43"/>
    </row>
    <row r="514" spans="2:81" ht="15.75" customHeight="1">
      <c r="B514" s="36"/>
      <c r="D514" s="36"/>
      <c r="F514" s="43"/>
      <c r="L514" s="43"/>
      <c r="Q514" s="43"/>
      <c r="V514" s="43"/>
      <c r="AD514" s="43"/>
      <c r="AG514" s="43"/>
      <c r="AL514" s="43"/>
      <c r="AQ514" s="43"/>
      <c r="AV514" s="43"/>
      <c r="BA514" s="43"/>
      <c r="BF514" s="43"/>
      <c r="BK514" s="43"/>
      <c r="BQ514" s="43"/>
      <c r="BV514" s="43"/>
      <c r="CC514" s="43"/>
    </row>
    <row r="515" spans="2:81" ht="15.75" customHeight="1">
      <c r="B515" s="36"/>
      <c r="D515" s="36"/>
      <c r="F515" s="43"/>
      <c r="L515" s="43"/>
      <c r="Q515" s="43"/>
      <c r="V515" s="43"/>
      <c r="AD515" s="43"/>
      <c r="AG515" s="43"/>
      <c r="AL515" s="43"/>
      <c r="AQ515" s="43"/>
      <c r="AV515" s="43"/>
      <c r="BA515" s="43"/>
      <c r="BF515" s="43"/>
      <c r="BK515" s="43"/>
      <c r="BQ515" s="43"/>
      <c r="BV515" s="43"/>
      <c r="CC515" s="43"/>
    </row>
    <row r="516" spans="2:81" ht="15.75" customHeight="1">
      <c r="B516" s="36"/>
      <c r="D516" s="36"/>
      <c r="F516" s="43"/>
      <c r="L516" s="43"/>
      <c r="Q516" s="43"/>
      <c r="V516" s="43"/>
      <c r="AD516" s="43"/>
      <c r="AG516" s="43"/>
      <c r="AL516" s="43"/>
      <c r="AQ516" s="43"/>
      <c r="AV516" s="43"/>
      <c r="BA516" s="43"/>
      <c r="BF516" s="43"/>
      <c r="BK516" s="43"/>
      <c r="BQ516" s="43"/>
      <c r="BV516" s="43"/>
      <c r="CC516" s="43"/>
    </row>
    <row r="517" spans="2:81" ht="15.75" customHeight="1">
      <c r="B517" s="36"/>
      <c r="D517" s="36"/>
      <c r="F517" s="43"/>
      <c r="L517" s="43"/>
      <c r="Q517" s="43"/>
      <c r="V517" s="43"/>
      <c r="AD517" s="43"/>
      <c r="AG517" s="43"/>
      <c r="AL517" s="43"/>
      <c r="AQ517" s="43"/>
      <c r="AV517" s="43"/>
      <c r="BA517" s="43"/>
      <c r="BF517" s="43"/>
      <c r="BK517" s="43"/>
      <c r="BQ517" s="43"/>
      <c r="BV517" s="43"/>
      <c r="CC517" s="43"/>
    </row>
    <row r="518" spans="2:81" ht="15.75" customHeight="1">
      <c r="B518" s="36"/>
      <c r="D518" s="36"/>
      <c r="F518" s="43"/>
      <c r="L518" s="43"/>
      <c r="Q518" s="43"/>
      <c r="V518" s="43"/>
      <c r="AD518" s="43"/>
      <c r="AG518" s="43"/>
      <c r="AL518" s="43"/>
      <c r="AQ518" s="43"/>
      <c r="AV518" s="43"/>
      <c r="BA518" s="43"/>
      <c r="BF518" s="43"/>
      <c r="BK518" s="43"/>
      <c r="BQ518" s="43"/>
      <c r="BV518" s="43"/>
      <c r="CC518" s="43"/>
    </row>
    <row r="519" spans="2:81" ht="15.75" customHeight="1">
      <c r="B519" s="36"/>
      <c r="D519" s="36"/>
      <c r="F519" s="43"/>
      <c r="L519" s="43"/>
      <c r="Q519" s="43"/>
      <c r="V519" s="43"/>
      <c r="AD519" s="43"/>
      <c r="AG519" s="43"/>
      <c r="AL519" s="43"/>
      <c r="AQ519" s="43"/>
      <c r="AV519" s="43"/>
      <c r="BA519" s="43"/>
      <c r="BF519" s="43"/>
      <c r="BK519" s="43"/>
      <c r="BQ519" s="43"/>
      <c r="BV519" s="43"/>
      <c r="CC519" s="43"/>
    </row>
    <row r="520" spans="2:81" ht="15.75" customHeight="1">
      <c r="B520" s="36"/>
      <c r="D520" s="36"/>
      <c r="F520" s="43"/>
      <c r="L520" s="43"/>
      <c r="Q520" s="43"/>
      <c r="V520" s="43"/>
      <c r="AD520" s="43"/>
      <c r="AG520" s="43"/>
      <c r="AL520" s="43"/>
      <c r="AQ520" s="43"/>
      <c r="AV520" s="43"/>
      <c r="BA520" s="43"/>
      <c r="BF520" s="43"/>
      <c r="BK520" s="43"/>
      <c r="BQ520" s="43"/>
      <c r="BV520" s="43"/>
      <c r="CC520" s="43"/>
    </row>
    <row r="521" spans="2:81" ht="15.75" customHeight="1">
      <c r="B521" s="36"/>
      <c r="D521" s="36"/>
      <c r="F521" s="43"/>
      <c r="L521" s="43"/>
      <c r="Q521" s="43"/>
      <c r="V521" s="43"/>
      <c r="AD521" s="43"/>
      <c r="AG521" s="43"/>
      <c r="AL521" s="43"/>
      <c r="AQ521" s="43"/>
      <c r="AV521" s="43"/>
      <c r="BA521" s="43"/>
      <c r="BF521" s="43"/>
      <c r="BK521" s="43"/>
      <c r="BQ521" s="43"/>
      <c r="BV521" s="43"/>
      <c r="CC521" s="43"/>
    </row>
    <row r="522" spans="2:81" ht="15.75" customHeight="1">
      <c r="B522" s="36"/>
      <c r="D522" s="36"/>
      <c r="F522" s="43"/>
      <c r="L522" s="43"/>
      <c r="Q522" s="43"/>
      <c r="V522" s="43"/>
      <c r="AD522" s="43"/>
      <c r="AG522" s="43"/>
      <c r="AL522" s="43"/>
      <c r="AQ522" s="43"/>
      <c r="AV522" s="43"/>
      <c r="BA522" s="43"/>
      <c r="BF522" s="43"/>
      <c r="BK522" s="43"/>
      <c r="BQ522" s="43"/>
      <c r="BV522" s="43"/>
      <c r="CC522" s="43"/>
    </row>
    <row r="523" spans="2:81" ht="15.75" customHeight="1">
      <c r="B523" s="36"/>
      <c r="D523" s="36"/>
      <c r="F523" s="43"/>
      <c r="L523" s="43"/>
      <c r="Q523" s="43"/>
      <c r="V523" s="43"/>
      <c r="AD523" s="43"/>
      <c r="AG523" s="43"/>
      <c r="AL523" s="43"/>
      <c r="AQ523" s="43"/>
      <c r="AV523" s="43"/>
      <c r="BA523" s="43"/>
      <c r="BF523" s="43"/>
      <c r="BK523" s="43"/>
      <c r="BQ523" s="43"/>
      <c r="BV523" s="43"/>
      <c r="CC523" s="43"/>
    </row>
    <row r="524" spans="2:81" ht="15.75" customHeight="1">
      <c r="B524" s="36"/>
      <c r="D524" s="36"/>
      <c r="F524" s="43"/>
      <c r="L524" s="43"/>
      <c r="Q524" s="43"/>
      <c r="V524" s="43"/>
      <c r="AD524" s="43"/>
      <c r="AG524" s="43"/>
      <c r="AL524" s="43"/>
      <c r="AQ524" s="43"/>
      <c r="AV524" s="43"/>
      <c r="BA524" s="43"/>
      <c r="BF524" s="43"/>
      <c r="BK524" s="43"/>
      <c r="BQ524" s="43"/>
      <c r="BV524" s="43"/>
      <c r="CC524" s="43"/>
    </row>
    <row r="525" spans="2:81" ht="15.75" customHeight="1">
      <c r="B525" s="36"/>
      <c r="D525" s="36"/>
      <c r="F525" s="43"/>
      <c r="L525" s="43"/>
      <c r="Q525" s="43"/>
      <c r="V525" s="43"/>
      <c r="AD525" s="43"/>
      <c r="AG525" s="43"/>
      <c r="AL525" s="43"/>
      <c r="AQ525" s="43"/>
      <c r="AV525" s="43"/>
      <c r="BA525" s="43"/>
      <c r="BF525" s="43"/>
      <c r="BK525" s="43"/>
      <c r="BQ525" s="43"/>
      <c r="BV525" s="43"/>
      <c r="CC525" s="43"/>
    </row>
    <row r="526" spans="2:81" ht="15.75" customHeight="1">
      <c r="B526" s="36"/>
      <c r="D526" s="36"/>
      <c r="F526" s="43"/>
      <c r="L526" s="43"/>
      <c r="Q526" s="43"/>
      <c r="V526" s="43"/>
      <c r="AD526" s="43"/>
      <c r="AG526" s="43"/>
      <c r="AL526" s="43"/>
      <c r="AQ526" s="43"/>
      <c r="AV526" s="43"/>
      <c r="BA526" s="43"/>
      <c r="BF526" s="43"/>
      <c r="BK526" s="43"/>
      <c r="BQ526" s="43"/>
      <c r="BV526" s="43"/>
      <c r="CC526" s="43"/>
    </row>
    <row r="527" spans="2:81" ht="15.75" customHeight="1">
      <c r="B527" s="36"/>
      <c r="D527" s="36"/>
      <c r="F527" s="43"/>
      <c r="L527" s="43"/>
      <c r="Q527" s="43"/>
      <c r="V527" s="43"/>
      <c r="AD527" s="43"/>
      <c r="AG527" s="43"/>
      <c r="AL527" s="43"/>
      <c r="AQ527" s="43"/>
      <c r="AV527" s="43"/>
      <c r="BA527" s="43"/>
      <c r="BF527" s="43"/>
      <c r="BK527" s="43"/>
      <c r="BQ527" s="43"/>
      <c r="BV527" s="43"/>
      <c r="CC527" s="43"/>
    </row>
    <row r="528" spans="2:81" ht="15.75" customHeight="1">
      <c r="B528" s="36"/>
      <c r="D528" s="36"/>
      <c r="F528" s="43"/>
      <c r="L528" s="43"/>
      <c r="Q528" s="43"/>
      <c r="V528" s="43"/>
      <c r="AD528" s="43"/>
      <c r="AG528" s="43"/>
      <c r="AL528" s="43"/>
      <c r="AQ528" s="43"/>
      <c r="AV528" s="43"/>
      <c r="BA528" s="43"/>
      <c r="BF528" s="43"/>
      <c r="BK528" s="43"/>
      <c r="BQ528" s="43"/>
      <c r="BV528" s="43"/>
      <c r="CC528" s="43"/>
    </row>
    <row r="529" spans="2:81" ht="15.75" customHeight="1">
      <c r="B529" s="36"/>
      <c r="D529" s="36"/>
      <c r="F529" s="43"/>
      <c r="L529" s="43"/>
      <c r="Q529" s="43"/>
      <c r="V529" s="43"/>
      <c r="AD529" s="43"/>
      <c r="AG529" s="43"/>
      <c r="AL529" s="43"/>
      <c r="AQ529" s="43"/>
      <c r="AV529" s="43"/>
      <c r="BA529" s="43"/>
      <c r="BF529" s="43"/>
      <c r="BK529" s="43"/>
      <c r="BQ529" s="43"/>
      <c r="BV529" s="43"/>
      <c r="CC529" s="43"/>
    </row>
    <row r="530" spans="2:81" ht="15.75" customHeight="1">
      <c r="B530" s="36"/>
      <c r="D530" s="36"/>
      <c r="F530" s="43"/>
      <c r="L530" s="43"/>
      <c r="Q530" s="43"/>
      <c r="V530" s="43"/>
      <c r="AD530" s="43"/>
      <c r="AG530" s="43"/>
      <c r="AL530" s="43"/>
      <c r="AQ530" s="43"/>
      <c r="AV530" s="43"/>
      <c r="BA530" s="43"/>
      <c r="BF530" s="43"/>
      <c r="BK530" s="43"/>
      <c r="BQ530" s="43"/>
      <c r="BV530" s="43"/>
      <c r="CC530" s="43"/>
    </row>
    <row r="531" spans="2:81" ht="15.75" customHeight="1">
      <c r="B531" s="36"/>
      <c r="D531" s="36"/>
      <c r="F531" s="43"/>
      <c r="L531" s="43"/>
      <c r="Q531" s="43"/>
      <c r="V531" s="43"/>
      <c r="AD531" s="43"/>
      <c r="AG531" s="43"/>
      <c r="AL531" s="43"/>
      <c r="AQ531" s="43"/>
      <c r="AV531" s="43"/>
      <c r="BA531" s="43"/>
      <c r="BF531" s="43"/>
      <c r="BK531" s="43"/>
      <c r="BQ531" s="43"/>
      <c r="BV531" s="43"/>
      <c r="CC531" s="43"/>
    </row>
    <row r="532" spans="2:81" ht="15.75" customHeight="1">
      <c r="B532" s="36"/>
      <c r="D532" s="36"/>
      <c r="F532" s="43"/>
      <c r="L532" s="43"/>
      <c r="Q532" s="43"/>
      <c r="V532" s="43"/>
      <c r="AD532" s="43"/>
      <c r="AG532" s="43"/>
      <c r="AL532" s="43"/>
      <c r="AQ532" s="43"/>
      <c r="AV532" s="43"/>
      <c r="BA532" s="43"/>
      <c r="BF532" s="43"/>
      <c r="BK532" s="43"/>
      <c r="BQ532" s="43"/>
      <c r="BV532" s="43"/>
      <c r="CC532" s="43"/>
    </row>
    <row r="533" spans="2:81" ht="15.75" customHeight="1">
      <c r="B533" s="36"/>
      <c r="D533" s="36"/>
      <c r="F533" s="43"/>
      <c r="L533" s="43"/>
      <c r="Q533" s="43"/>
      <c r="V533" s="43"/>
      <c r="AD533" s="43"/>
      <c r="AG533" s="43"/>
      <c r="AL533" s="43"/>
      <c r="AQ533" s="43"/>
      <c r="AV533" s="43"/>
      <c r="BA533" s="43"/>
      <c r="BF533" s="43"/>
      <c r="BK533" s="43"/>
      <c r="BQ533" s="43"/>
      <c r="BV533" s="43"/>
      <c r="CC533" s="43"/>
    </row>
    <row r="534" spans="2:81" ht="15.75" customHeight="1">
      <c r="B534" s="36"/>
      <c r="D534" s="36"/>
      <c r="F534" s="43"/>
      <c r="L534" s="43"/>
      <c r="Q534" s="43"/>
      <c r="V534" s="43"/>
      <c r="AD534" s="43"/>
      <c r="AG534" s="43"/>
      <c r="AL534" s="43"/>
      <c r="AQ534" s="43"/>
      <c r="AV534" s="43"/>
      <c r="BA534" s="43"/>
      <c r="BF534" s="43"/>
      <c r="BK534" s="43"/>
      <c r="BQ534" s="43"/>
      <c r="BV534" s="43"/>
      <c r="CC534" s="43"/>
    </row>
    <row r="535" spans="2:81" ht="15.75" customHeight="1">
      <c r="B535" s="36"/>
      <c r="D535" s="36"/>
      <c r="F535" s="43"/>
      <c r="L535" s="43"/>
      <c r="Q535" s="43"/>
      <c r="V535" s="43"/>
      <c r="AD535" s="43"/>
      <c r="AG535" s="43"/>
      <c r="AL535" s="43"/>
      <c r="AQ535" s="43"/>
      <c r="AV535" s="43"/>
      <c r="BA535" s="43"/>
      <c r="BF535" s="43"/>
      <c r="BK535" s="43"/>
      <c r="BQ535" s="43"/>
      <c r="BV535" s="43"/>
      <c r="CC535" s="43"/>
    </row>
    <row r="536" spans="2:81" ht="15.75" customHeight="1">
      <c r="B536" s="36"/>
      <c r="D536" s="36"/>
      <c r="F536" s="43"/>
      <c r="L536" s="43"/>
      <c r="Q536" s="43"/>
      <c r="V536" s="43"/>
      <c r="AD536" s="43"/>
      <c r="AG536" s="43"/>
      <c r="AL536" s="43"/>
      <c r="AQ536" s="43"/>
      <c r="AV536" s="43"/>
      <c r="BA536" s="43"/>
      <c r="BF536" s="43"/>
      <c r="BK536" s="43"/>
      <c r="BQ536" s="43"/>
      <c r="BV536" s="43"/>
      <c r="CC536" s="43"/>
    </row>
    <row r="537" spans="2:81" ht="15.75" customHeight="1">
      <c r="B537" s="36"/>
      <c r="D537" s="36"/>
      <c r="F537" s="43"/>
      <c r="L537" s="43"/>
      <c r="Q537" s="43"/>
      <c r="V537" s="43"/>
      <c r="AD537" s="43"/>
      <c r="AG537" s="43"/>
      <c r="AL537" s="43"/>
      <c r="AQ537" s="43"/>
      <c r="AV537" s="43"/>
      <c r="BA537" s="43"/>
      <c r="BF537" s="43"/>
      <c r="BK537" s="43"/>
      <c r="BQ537" s="43"/>
      <c r="BV537" s="43"/>
      <c r="CC537" s="43"/>
    </row>
    <row r="538" spans="2:81" ht="15.75" customHeight="1">
      <c r="B538" s="36"/>
      <c r="D538" s="36"/>
      <c r="F538" s="43"/>
      <c r="L538" s="43"/>
      <c r="Q538" s="43"/>
      <c r="V538" s="43"/>
      <c r="AD538" s="43"/>
      <c r="AG538" s="43"/>
      <c r="AL538" s="43"/>
      <c r="AQ538" s="43"/>
      <c r="AV538" s="43"/>
      <c r="BA538" s="43"/>
      <c r="BF538" s="43"/>
      <c r="BK538" s="43"/>
      <c r="BQ538" s="43"/>
      <c r="BV538" s="43"/>
      <c r="CC538" s="43"/>
    </row>
    <row r="539" spans="2:81" ht="15.75" customHeight="1">
      <c r="B539" s="36"/>
      <c r="D539" s="36"/>
      <c r="F539" s="43"/>
      <c r="L539" s="43"/>
      <c r="Q539" s="43"/>
      <c r="V539" s="43"/>
      <c r="AD539" s="43"/>
      <c r="AG539" s="43"/>
      <c r="AL539" s="43"/>
      <c r="AQ539" s="43"/>
      <c r="AV539" s="43"/>
      <c r="BA539" s="43"/>
      <c r="BF539" s="43"/>
      <c r="BK539" s="43"/>
      <c r="BQ539" s="43"/>
      <c r="BV539" s="43"/>
      <c r="CC539" s="43"/>
    </row>
    <row r="540" spans="2:81" ht="15.75" customHeight="1">
      <c r="B540" s="36"/>
      <c r="D540" s="36"/>
      <c r="F540" s="43"/>
      <c r="L540" s="43"/>
      <c r="Q540" s="43"/>
      <c r="V540" s="43"/>
      <c r="AD540" s="43"/>
      <c r="AG540" s="43"/>
      <c r="AL540" s="43"/>
      <c r="AQ540" s="43"/>
      <c r="AV540" s="43"/>
      <c r="BA540" s="43"/>
      <c r="BF540" s="43"/>
      <c r="BK540" s="43"/>
      <c r="BQ540" s="43"/>
      <c r="BV540" s="43"/>
      <c r="CC540" s="43"/>
    </row>
    <row r="541" spans="2:81" ht="15.75" customHeight="1">
      <c r="B541" s="36"/>
      <c r="D541" s="36"/>
      <c r="F541" s="43"/>
      <c r="L541" s="43"/>
      <c r="Q541" s="43"/>
      <c r="V541" s="43"/>
      <c r="AD541" s="43"/>
      <c r="AG541" s="43"/>
      <c r="AL541" s="43"/>
      <c r="AQ541" s="43"/>
      <c r="AV541" s="43"/>
      <c r="BA541" s="43"/>
      <c r="BF541" s="43"/>
      <c r="BK541" s="43"/>
      <c r="BQ541" s="43"/>
      <c r="BV541" s="43"/>
      <c r="CC541" s="43"/>
    </row>
    <row r="542" spans="2:81" ht="15.75" customHeight="1">
      <c r="B542" s="36"/>
      <c r="D542" s="36"/>
      <c r="F542" s="43"/>
      <c r="L542" s="43"/>
      <c r="Q542" s="43"/>
      <c r="V542" s="43"/>
      <c r="AD542" s="43"/>
      <c r="AG542" s="43"/>
      <c r="AL542" s="43"/>
      <c r="AQ542" s="43"/>
      <c r="AV542" s="43"/>
      <c r="BA542" s="43"/>
      <c r="BF542" s="43"/>
      <c r="BK542" s="43"/>
      <c r="BQ542" s="43"/>
      <c r="BV542" s="43"/>
      <c r="CC542" s="43"/>
    </row>
    <row r="543" spans="2:81" ht="15.75" customHeight="1">
      <c r="B543" s="36"/>
      <c r="D543" s="36"/>
      <c r="F543" s="43"/>
      <c r="L543" s="43"/>
      <c r="Q543" s="43"/>
      <c r="V543" s="43"/>
      <c r="AD543" s="43"/>
      <c r="AG543" s="43"/>
      <c r="AL543" s="43"/>
      <c r="AQ543" s="43"/>
      <c r="AV543" s="43"/>
      <c r="BA543" s="43"/>
      <c r="BF543" s="43"/>
      <c r="BK543" s="43"/>
      <c r="BQ543" s="43"/>
      <c r="BV543" s="43"/>
      <c r="CC543" s="43"/>
    </row>
    <row r="544" spans="2:81" ht="15.75" customHeight="1">
      <c r="B544" s="36"/>
      <c r="D544" s="36"/>
      <c r="F544" s="43"/>
      <c r="L544" s="43"/>
      <c r="Q544" s="43"/>
      <c r="V544" s="43"/>
      <c r="AD544" s="43"/>
      <c r="AG544" s="43"/>
      <c r="AL544" s="43"/>
      <c r="AQ544" s="43"/>
      <c r="AV544" s="43"/>
      <c r="BA544" s="43"/>
      <c r="BF544" s="43"/>
      <c r="BK544" s="43"/>
      <c r="BQ544" s="43"/>
      <c r="BV544" s="43"/>
      <c r="CC544" s="43"/>
    </row>
    <row r="545" spans="2:81" ht="15.75" customHeight="1">
      <c r="B545" s="36"/>
      <c r="D545" s="36"/>
      <c r="F545" s="43"/>
      <c r="L545" s="43"/>
      <c r="Q545" s="43"/>
      <c r="V545" s="43"/>
      <c r="AD545" s="43"/>
      <c r="AG545" s="43"/>
      <c r="AL545" s="43"/>
      <c r="AQ545" s="43"/>
      <c r="AV545" s="43"/>
      <c r="BA545" s="43"/>
      <c r="BF545" s="43"/>
      <c r="BK545" s="43"/>
      <c r="BQ545" s="43"/>
      <c r="BV545" s="43"/>
      <c r="CC545" s="43"/>
    </row>
    <row r="546" spans="2:81" ht="15.75" customHeight="1">
      <c r="B546" s="36"/>
      <c r="D546" s="36"/>
      <c r="F546" s="43"/>
      <c r="L546" s="43"/>
      <c r="Q546" s="43"/>
      <c r="V546" s="43"/>
      <c r="AD546" s="43"/>
      <c r="AG546" s="43"/>
      <c r="AL546" s="43"/>
      <c r="AQ546" s="43"/>
      <c r="AV546" s="43"/>
      <c r="BA546" s="43"/>
      <c r="BF546" s="43"/>
      <c r="BK546" s="43"/>
      <c r="BQ546" s="43"/>
      <c r="BV546" s="43"/>
      <c r="CC546" s="43"/>
    </row>
    <row r="547" spans="2:81" ht="15.75" customHeight="1">
      <c r="B547" s="36"/>
      <c r="D547" s="36"/>
      <c r="F547" s="43"/>
      <c r="L547" s="43"/>
      <c r="Q547" s="43"/>
      <c r="V547" s="43"/>
      <c r="AD547" s="43"/>
      <c r="AG547" s="43"/>
      <c r="AL547" s="43"/>
      <c r="AQ547" s="43"/>
      <c r="AV547" s="43"/>
      <c r="BA547" s="43"/>
      <c r="BF547" s="43"/>
      <c r="BK547" s="43"/>
      <c r="BQ547" s="43"/>
      <c r="BV547" s="43"/>
      <c r="CC547" s="43"/>
    </row>
    <row r="548" spans="2:81" ht="15.75" customHeight="1">
      <c r="B548" s="36"/>
      <c r="D548" s="36"/>
      <c r="F548" s="43"/>
      <c r="L548" s="43"/>
      <c r="Q548" s="43"/>
      <c r="V548" s="43"/>
      <c r="AD548" s="43"/>
      <c r="AG548" s="43"/>
      <c r="AL548" s="43"/>
      <c r="AQ548" s="43"/>
      <c r="AV548" s="43"/>
      <c r="BA548" s="43"/>
      <c r="BF548" s="43"/>
      <c r="BK548" s="43"/>
      <c r="BQ548" s="43"/>
      <c r="BV548" s="43"/>
      <c r="CC548" s="43"/>
    </row>
    <row r="549" spans="2:81" ht="15.75" customHeight="1">
      <c r="B549" s="36"/>
      <c r="D549" s="36"/>
      <c r="F549" s="43"/>
      <c r="L549" s="43"/>
      <c r="Q549" s="43"/>
      <c r="V549" s="43"/>
      <c r="AD549" s="43"/>
      <c r="AG549" s="43"/>
      <c r="AL549" s="43"/>
      <c r="AQ549" s="43"/>
      <c r="AV549" s="43"/>
      <c r="BA549" s="43"/>
      <c r="BF549" s="43"/>
      <c r="BK549" s="43"/>
      <c r="BQ549" s="43"/>
      <c r="BV549" s="43"/>
      <c r="CC549" s="43"/>
    </row>
    <row r="550" spans="2:81" ht="15.75" customHeight="1">
      <c r="B550" s="36"/>
      <c r="D550" s="36"/>
      <c r="F550" s="43"/>
      <c r="L550" s="43"/>
      <c r="Q550" s="43"/>
      <c r="V550" s="43"/>
      <c r="AD550" s="43"/>
      <c r="AG550" s="43"/>
      <c r="AL550" s="43"/>
      <c r="AQ550" s="43"/>
      <c r="AV550" s="43"/>
      <c r="BA550" s="43"/>
      <c r="BF550" s="43"/>
      <c r="BK550" s="43"/>
      <c r="BQ550" s="43"/>
      <c r="BV550" s="43"/>
      <c r="CC550" s="43"/>
    </row>
    <row r="551" spans="2:81" ht="15.75" customHeight="1">
      <c r="B551" s="36"/>
      <c r="D551" s="36"/>
      <c r="F551" s="43"/>
      <c r="L551" s="43"/>
      <c r="Q551" s="43"/>
      <c r="V551" s="43"/>
      <c r="AD551" s="43"/>
      <c r="AG551" s="43"/>
      <c r="AL551" s="43"/>
      <c r="AQ551" s="43"/>
      <c r="AV551" s="43"/>
      <c r="BA551" s="43"/>
      <c r="BF551" s="43"/>
      <c r="BK551" s="43"/>
      <c r="BQ551" s="43"/>
      <c r="BV551" s="43"/>
      <c r="CC551" s="43"/>
    </row>
    <row r="552" spans="2:81" ht="15.75" customHeight="1">
      <c r="B552" s="36"/>
      <c r="D552" s="36"/>
      <c r="F552" s="43"/>
      <c r="L552" s="43"/>
      <c r="Q552" s="43"/>
      <c r="V552" s="43"/>
      <c r="AD552" s="43"/>
      <c r="AG552" s="43"/>
      <c r="AL552" s="43"/>
      <c r="AQ552" s="43"/>
      <c r="AV552" s="43"/>
      <c r="BA552" s="43"/>
      <c r="BF552" s="43"/>
      <c r="BK552" s="43"/>
      <c r="BQ552" s="43"/>
      <c r="BV552" s="43"/>
      <c r="CC552" s="43"/>
    </row>
    <row r="553" spans="2:81" ht="15.75" customHeight="1">
      <c r="B553" s="36"/>
      <c r="D553" s="36"/>
      <c r="F553" s="43"/>
      <c r="L553" s="43"/>
      <c r="Q553" s="43"/>
      <c r="V553" s="43"/>
      <c r="AD553" s="43"/>
      <c r="AG553" s="43"/>
      <c r="AL553" s="43"/>
      <c r="AQ553" s="43"/>
      <c r="AV553" s="43"/>
      <c r="BA553" s="43"/>
      <c r="BF553" s="43"/>
      <c r="BK553" s="43"/>
      <c r="BQ553" s="43"/>
      <c r="BV553" s="43"/>
      <c r="CC553" s="43"/>
    </row>
    <row r="554" spans="2:81" ht="15.75" customHeight="1">
      <c r="B554" s="36"/>
      <c r="D554" s="36"/>
      <c r="F554" s="43"/>
      <c r="L554" s="43"/>
      <c r="Q554" s="43"/>
      <c r="V554" s="43"/>
      <c r="AD554" s="43"/>
      <c r="AG554" s="43"/>
      <c r="AL554" s="43"/>
      <c r="AQ554" s="43"/>
      <c r="AV554" s="43"/>
      <c r="BA554" s="43"/>
      <c r="BF554" s="43"/>
      <c r="BK554" s="43"/>
      <c r="BQ554" s="43"/>
      <c r="BV554" s="43"/>
      <c r="CC554" s="43"/>
    </row>
    <row r="555" spans="2:81" ht="15.75" customHeight="1">
      <c r="B555" s="36"/>
      <c r="D555" s="36"/>
      <c r="F555" s="43"/>
      <c r="L555" s="43"/>
      <c r="Q555" s="43"/>
      <c r="V555" s="43"/>
      <c r="AD555" s="43"/>
      <c r="AG555" s="43"/>
      <c r="AL555" s="43"/>
      <c r="AQ555" s="43"/>
      <c r="AV555" s="43"/>
      <c r="BA555" s="43"/>
      <c r="BF555" s="43"/>
      <c r="BK555" s="43"/>
      <c r="BQ555" s="43"/>
      <c r="BV555" s="43"/>
      <c r="CC555" s="43"/>
    </row>
    <row r="556" spans="2:81" ht="15.75" customHeight="1">
      <c r="B556" s="36"/>
      <c r="D556" s="36"/>
      <c r="F556" s="43"/>
      <c r="L556" s="43"/>
      <c r="Q556" s="43"/>
      <c r="V556" s="43"/>
      <c r="AD556" s="43"/>
      <c r="AG556" s="43"/>
      <c r="AL556" s="43"/>
      <c r="AQ556" s="43"/>
      <c r="AV556" s="43"/>
      <c r="BA556" s="43"/>
      <c r="BF556" s="43"/>
      <c r="BK556" s="43"/>
      <c r="BQ556" s="43"/>
      <c r="BV556" s="43"/>
      <c r="CC556" s="43"/>
    </row>
    <row r="557" spans="2:81" ht="15.75" customHeight="1">
      <c r="B557" s="36"/>
      <c r="D557" s="36"/>
      <c r="F557" s="43"/>
      <c r="L557" s="43"/>
      <c r="Q557" s="43"/>
      <c r="V557" s="43"/>
      <c r="AD557" s="43"/>
      <c r="AG557" s="43"/>
      <c r="AL557" s="43"/>
      <c r="AQ557" s="43"/>
      <c r="AV557" s="43"/>
      <c r="BA557" s="43"/>
      <c r="BF557" s="43"/>
      <c r="BK557" s="43"/>
      <c r="BQ557" s="43"/>
      <c r="BV557" s="43"/>
      <c r="CC557" s="43"/>
    </row>
    <row r="558" spans="2:81" ht="15.75" customHeight="1">
      <c r="B558" s="36"/>
      <c r="D558" s="36"/>
      <c r="F558" s="43"/>
      <c r="L558" s="43"/>
      <c r="Q558" s="43"/>
      <c r="V558" s="43"/>
      <c r="AD558" s="43"/>
      <c r="AG558" s="43"/>
      <c r="AL558" s="43"/>
      <c r="AQ558" s="43"/>
      <c r="AV558" s="43"/>
      <c r="BA558" s="43"/>
      <c r="BF558" s="43"/>
      <c r="BK558" s="43"/>
      <c r="BQ558" s="43"/>
      <c r="BV558" s="43"/>
      <c r="CC558" s="43"/>
    </row>
    <row r="559" spans="2:81" ht="15.75" customHeight="1">
      <c r="B559" s="36"/>
      <c r="D559" s="36"/>
      <c r="F559" s="43"/>
      <c r="L559" s="43"/>
      <c r="Q559" s="43"/>
      <c r="V559" s="43"/>
      <c r="AD559" s="43"/>
      <c r="AG559" s="43"/>
      <c r="AL559" s="43"/>
      <c r="AQ559" s="43"/>
      <c r="AV559" s="43"/>
      <c r="BA559" s="43"/>
      <c r="BF559" s="43"/>
      <c r="BK559" s="43"/>
      <c r="BQ559" s="43"/>
      <c r="BV559" s="43"/>
      <c r="CC559" s="43"/>
    </row>
    <row r="560" spans="2:81" ht="15.75" customHeight="1">
      <c r="B560" s="36"/>
      <c r="D560" s="36"/>
      <c r="F560" s="43"/>
      <c r="L560" s="43"/>
      <c r="Q560" s="43"/>
      <c r="V560" s="43"/>
      <c r="AD560" s="43"/>
      <c r="AG560" s="43"/>
      <c r="AL560" s="43"/>
      <c r="AQ560" s="43"/>
      <c r="AV560" s="43"/>
      <c r="BA560" s="43"/>
      <c r="BF560" s="43"/>
      <c r="BK560" s="43"/>
      <c r="BQ560" s="43"/>
      <c r="BV560" s="43"/>
      <c r="CC560" s="43"/>
    </row>
    <row r="561" spans="2:81" ht="15.75" customHeight="1">
      <c r="B561" s="36"/>
      <c r="D561" s="36"/>
      <c r="F561" s="43"/>
      <c r="L561" s="43"/>
      <c r="Q561" s="43"/>
      <c r="V561" s="43"/>
      <c r="AD561" s="43"/>
      <c r="AG561" s="43"/>
      <c r="AL561" s="43"/>
      <c r="AQ561" s="43"/>
      <c r="AV561" s="43"/>
      <c r="BA561" s="43"/>
      <c r="BF561" s="43"/>
      <c r="BK561" s="43"/>
      <c r="BQ561" s="43"/>
      <c r="BV561" s="43"/>
      <c r="CC561" s="43"/>
    </row>
    <row r="562" spans="2:81" ht="15.75" customHeight="1">
      <c r="B562" s="36"/>
      <c r="D562" s="36"/>
      <c r="F562" s="43"/>
      <c r="L562" s="43"/>
      <c r="Q562" s="43"/>
      <c r="V562" s="43"/>
      <c r="AD562" s="43"/>
      <c r="AG562" s="43"/>
      <c r="AL562" s="43"/>
      <c r="AQ562" s="43"/>
      <c r="AV562" s="43"/>
      <c r="BA562" s="43"/>
      <c r="BF562" s="43"/>
      <c r="BK562" s="43"/>
      <c r="BQ562" s="43"/>
      <c r="BV562" s="43"/>
      <c r="CC562" s="43"/>
    </row>
    <row r="563" spans="2:81" ht="15.75" customHeight="1">
      <c r="B563" s="36"/>
      <c r="D563" s="36"/>
      <c r="F563" s="43"/>
      <c r="L563" s="43"/>
      <c r="Q563" s="43"/>
      <c r="V563" s="43"/>
      <c r="AD563" s="43"/>
      <c r="AG563" s="43"/>
      <c r="AL563" s="43"/>
      <c r="AQ563" s="43"/>
      <c r="AV563" s="43"/>
      <c r="BA563" s="43"/>
      <c r="BF563" s="43"/>
      <c r="BK563" s="43"/>
      <c r="BQ563" s="43"/>
      <c r="BV563" s="43"/>
      <c r="CC563" s="43"/>
    </row>
    <row r="564" spans="2:81" ht="15.75" customHeight="1">
      <c r="B564" s="36"/>
      <c r="D564" s="36"/>
      <c r="F564" s="43"/>
      <c r="L564" s="43"/>
      <c r="Q564" s="43"/>
      <c r="V564" s="43"/>
      <c r="AD564" s="43"/>
      <c r="AG564" s="43"/>
      <c r="AL564" s="43"/>
      <c r="AQ564" s="43"/>
      <c r="AV564" s="43"/>
      <c r="BA564" s="43"/>
      <c r="BF564" s="43"/>
      <c r="BK564" s="43"/>
      <c r="BQ564" s="43"/>
      <c r="BV564" s="43"/>
      <c r="CC564" s="43"/>
    </row>
    <row r="565" spans="2:81" ht="15.75" customHeight="1">
      <c r="B565" s="36"/>
      <c r="D565" s="36"/>
      <c r="F565" s="43"/>
      <c r="L565" s="43"/>
      <c r="Q565" s="43"/>
      <c r="V565" s="43"/>
      <c r="AD565" s="43"/>
      <c r="AG565" s="43"/>
      <c r="AL565" s="43"/>
      <c r="AQ565" s="43"/>
      <c r="AV565" s="43"/>
      <c r="BA565" s="43"/>
      <c r="BF565" s="43"/>
      <c r="BK565" s="43"/>
      <c r="BQ565" s="43"/>
      <c r="BV565" s="43"/>
      <c r="CC565" s="43"/>
    </row>
    <row r="566" spans="2:81" ht="15.75" customHeight="1">
      <c r="B566" s="36"/>
      <c r="D566" s="36"/>
      <c r="F566" s="43"/>
      <c r="L566" s="43"/>
      <c r="Q566" s="43"/>
      <c r="V566" s="43"/>
      <c r="AD566" s="43"/>
      <c r="AG566" s="43"/>
      <c r="AL566" s="43"/>
      <c r="AQ566" s="43"/>
      <c r="AV566" s="43"/>
      <c r="BA566" s="43"/>
      <c r="BF566" s="43"/>
      <c r="BK566" s="43"/>
      <c r="BQ566" s="43"/>
      <c r="BV566" s="43"/>
      <c r="CC566" s="43"/>
    </row>
    <row r="567" spans="2:81" ht="15.75" customHeight="1">
      <c r="B567" s="36"/>
      <c r="D567" s="36"/>
      <c r="F567" s="43"/>
      <c r="L567" s="43"/>
      <c r="Q567" s="43"/>
      <c r="V567" s="43"/>
      <c r="AD567" s="43"/>
      <c r="AG567" s="43"/>
      <c r="AL567" s="43"/>
      <c r="AQ567" s="43"/>
      <c r="AV567" s="43"/>
      <c r="BA567" s="43"/>
      <c r="BF567" s="43"/>
      <c r="BK567" s="43"/>
      <c r="BQ567" s="43"/>
      <c r="BV567" s="43"/>
      <c r="CC567" s="43"/>
    </row>
    <row r="568" spans="2:81" ht="15.75" customHeight="1">
      <c r="B568" s="36"/>
      <c r="D568" s="36"/>
      <c r="F568" s="43"/>
      <c r="L568" s="43"/>
      <c r="Q568" s="43"/>
      <c r="V568" s="43"/>
      <c r="AD568" s="43"/>
      <c r="AG568" s="43"/>
      <c r="AL568" s="43"/>
      <c r="AQ568" s="43"/>
      <c r="AV568" s="43"/>
      <c r="BA568" s="43"/>
      <c r="BF568" s="43"/>
      <c r="BK568" s="43"/>
      <c r="BQ568" s="43"/>
      <c r="BV568" s="43"/>
      <c r="CC568" s="43"/>
    </row>
    <row r="569" spans="2:81" ht="15.75" customHeight="1">
      <c r="B569" s="36"/>
      <c r="D569" s="36"/>
      <c r="F569" s="43"/>
      <c r="L569" s="43"/>
      <c r="Q569" s="43"/>
      <c r="V569" s="43"/>
      <c r="AD569" s="43"/>
      <c r="AG569" s="43"/>
      <c r="AL569" s="43"/>
      <c r="AQ569" s="43"/>
      <c r="AV569" s="43"/>
      <c r="BA569" s="43"/>
      <c r="BF569" s="43"/>
      <c r="BK569" s="43"/>
      <c r="BQ569" s="43"/>
      <c r="BV569" s="43"/>
      <c r="CC569" s="43"/>
    </row>
    <row r="570" spans="2:81" ht="15.75" customHeight="1">
      <c r="B570" s="36"/>
      <c r="D570" s="36"/>
      <c r="F570" s="43"/>
      <c r="L570" s="43"/>
      <c r="Q570" s="43"/>
      <c r="V570" s="43"/>
      <c r="AD570" s="43"/>
      <c r="AG570" s="43"/>
      <c r="AL570" s="43"/>
      <c r="AQ570" s="43"/>
      <c r="AV570" s="43"/>
      <c r="BA570" s="43"/>
      <c r="BF570" s="43"/>
      <c r="BK570" s="43"/>
      <c r="BQ570" s="43"/>
      <c r="BV570" s="43"/>
      <c r="CC570" s="43"/>
    </row>
    <row r="571" spans="2:81" ht="15.75" customHeight="1">
      <c r="B571" s="36"/>
      <c r="D571" s="36"/>
      <c r="F571" s="43"/>
      <c r="L571" s="43"/>
      <c r="Q571" s="43"/>
      <c r="V571" s="43"/>
      <c r="AD571" s="43"/>
      <c r="AG571" s="43"/>
      <c r="AL571" s="43"/>
      <c r="AQ571" s="43"/>
      <c r="AV571" s="43"/>
      <c r="BA571" s="43"/>
      <c r="BF571" s="43"/>
      <c r="BK571" s="43"/>
      <c r="BQ571" s="43"/>
      <c r="BV571" s="43"/>
      <c r="CC571" s="43"/>
    </row>
    <row r="572" spans="2:81" ht="15.75" customHeight="1">
      <c r="B572" s="36"/>
      <c r="D572" s="36"/>
      <c r="F572" s="43"/>
      <c r="L572" s="43"/>
      <c r="Q572" s="43"/>
      <c r="V572" s="43"/>
      <c r="AD572" s="43"/>
      <c r="AG572" s="43"/>
      <c r="AL572" s="43"/>
      <c r="AQ572" s="43"/>
      <c r="AV572" s="43"/>
      <c r="BA572" s="43"/>
      <c r="BF572" s="43"/>
      <c r="BK572" s="43"/>
      <c r="BQ572" s="43"/>
      <c r="BV572" s="43"/>
      <c r="CC572" s="43"/>
    </row>
    <row r="573" spans="2:81" ht="15.75" customHeight="1">
      <c r="B573" s="36"/>
      <c r="D573" s="36"/>
      <c r="F573" s="43"/>
      <c r="L573" s="43"/>
      <c r="Q573" s="43"/>
      <c r="V573" s="43"/>
      <c r="AD573" s="43"/>
      <c r="AG573" s="43"/>
      <c r="AL573" s="43"/>
      <c r="AQ573" s="43"/>
      <c r="AV573" s="43"/>
      <c r="BA573" s="43"/>
      <c r="BF573" s="43"/>
      <c r="BK573" s="43"/>
      <c r="BQ573" s="43"/>
      <c r="BV573" s="43"/>
      <c r="CC573" s="43"/>
    </row>
    <row r="574" spans="2:81" ht="15.75" customHeight="1">
      <c r="B574" s="36"/>
      <c r="D574" s="36"/>
      <c r="F574" s="43"/>
      <c r="L574" s="43"/>
      <c r="Q574" s="43"/>
      <c r="V574" s="43"/>
      <c r="AD574" s="43"/>
      <c r="AG574" s="43"/>
      <c r="AL574" s="43"/>
      <c r="AQ574" s="43"/>
      <c r="AV574" s="43"/>
      <c r="BA574" s="43"/>
      <c r="BF574" s="43"/>
      <c r="BK574" s="43"/>
      <c r="BQ574" s="43"/>
      <c r="BV574" s="43"/>
      <c r="CC574" s="43"/>
    </row>
    <row r="575" spans="2:81" ht="15.75" customHeight="1">
      <c r="B575" s="36"/>
      <c r="D575" s="36"/>
      <c r="F575" s="43"/>
      <c r="L575" s="43"/>
      <c r="Q575" s="43"/>
      <c r="V575" s="43"/>
      <c r="AD575" s="43"/>
      <c r="AG575" s="43"/>
      <c r="AL575" s="43"/>
      <c r="AQ575" s="43"/>
      <c r="AV575" s="43"/>
      <c r="BA575" s="43"/>
      <c r="BF575" s="43"/>
      <c r="BK575" s="43"/>
      <c r="BQ575" s="43"/>
      <c r="BV575" s="43"/>
      <c r="CC575" s="43"/>
    </row>
    <row r="576" spans="2:81" ht="15.75" customHeight="1">
      <c r="B576" s="36"/>
      <c r="D576" s="36"/>
      <c r="F576" s="43"/>
      <c r="L576" s="43"/>
      <c r="Q576" s="43"/>
      <c r="V576" s="43"/>
      <c r="AD576" s="43"/>
      <c r="AG576" s="43"/>
      <c r="AL576" s="43"/>
      <c r="AQ576" s="43"/>
      <c r="AV576" s="43"/>
      <c r="BA576" s="43"/>
      <c r="BF576" s="43"/>
      <c r="BK576" s="43"/>
      <c r="BQ576" s="43"/>
      <c r="BV576" s="43"/>
      <c r="CC576" s="43"/>
    </row>
    <row r="577" spans="2:81" ht="15.75" customHeight="1">
      <c r="B577" s="36"/>
      <c r="D577" s="36"/>
      <c r="F577" s="43"/>
      <c r="L577" s="43"/>
      <c r="Q577" s="43"/>
      <c r="V577" s="43"/>
      <c r="AD577" s="43"/>
      <c r="AG577" s="43"/>
      <c r="AL577" s="43"/>
      <c r="AQ577" s="43"/>
      <c r="AV577" s="43"/>
      <c r="BA577" s="43"/>
      <c r="BF577" s="43"/>
      <c r="BK577" s="43"/>
      <c r="BQ577" s="43"/>
      <c r="BV577" s="43"/>
      <c r="CC577" s="43"/>
    </row>
    <row r="578" spans="2:81" ht="15.75" customHeight="1">
      <c r="B578" s="36"/>
      <c r="D578" s="36"/>
      <c r="F578" s="43"/>
      <c r="L578" s="43"/>
      <c r="Q578" s="43"/>
      <c r="V578" s="43"/>
      <c r="AD578" s="43"/>
      <c r="AG578" s="43"/>
      <c r="AL578" s="43"/>
      <c r="AQ578" s="43"/>
      <c r="AV578" s="43"/>
      <c r="BA578" s="43"/>
      <c r="BF578" s="43"/>
      <c r="BK578" s="43"/>
      <c r="BQ578" s="43"/>
      <c r="BV578" s="43"/>
      <c r="CC578" s="43"/>
    </row>
    <row r="579" spans="2:81" ht="15.75" customHeight="1">
      <c r="B579" s="36"/>
      <c r="D579" s="36"/>
      <c r="F579" s="43"/>
      <c r="L579" s="43"/>
      <c r="Q579" s="43"/>
      <c r="V579" s="43"/>
      <c r="AD579" s="43"/>
      <c r="AG579" s="43"/>
      <c r="AL579" s="43"/>
      <c r="AQ579" s="43"/>
      <c r="AV579" s="43"/>
      <c r="BA579" s="43"/>
      <c r="BF579" s="43"/>
      <c r="BK579" s="43"/>
      <c r="BQ579" s="43"/>
      <c r="BV579" s="43"/>
      <c r="CC579" s="43"/>
    </row>
    <row r="580" spans="2:81" ht="15.75" customHeight="1">
      <c r="B580" s="36"/>
      <c r="D580" s="36"/>
      <c r="F580" s="43"/>
      <c r="L580" s="43"/>
      <c r="Q580" s="43"/>
      <c r="V580" s="43"/>
      <c r="AD580" s="43"/>
      <c r="AG580" s="43"/>
      <c r="AL580" s="43"/>
      <c r="AQ580" s="43"/>
      <c r="AV580" s="43"/>
      <c r="BA580" s="43"/>
      <c r="BF580" s="43"/>
      <c r="BK580" s="43"/>
      <c r="BQ580" s="43"/>
      <c r="BV580" s="43"/>
      <c r="CC580" s="43"/>
    </row>
    <row r="581" spans="2:81" ht="15.75" customHeight="1">
      <c r="B581" s="36"/>
      <c r="D581" s="36"/>
      <c r="F581" s="43"/>
      <c r="L581" s="43"/>
      <c r="Q581" s="43"/>
      <c r="V581" s="43"/>
      <c r="AD581" s="43"/>
      <c r="AG581" s="43"/>
      <c r="AL581" s="43"/>
      <c r="AQ581" s="43"/>
      <c r="AV581" s="43"/>
      <c r="BA581" s="43"/>
      <c r="BF581" s="43"/>
      <c r="BK581" s="43"/>
      <c r="BQ581" s="43"/>
      <c r="BV581" s="43"/>
      <c r="CC581" s="43"/>
    </row>
    <row r="582" spans="2:81" ht="15.75" customHeight="1">
      <c r="B582" s="36"/>
      <c r="D582" s="36"/>
      <c r="F582" s="43"/>
      <c r="L582" s="43"/>
      <c r="Q582" s="43"/>
      <c r="V582" s="43"/>
      <c r="AD582" s="43"/>
      <c r="AG582" s="43"/>
      <c r="AL582" s="43"/>
      <c r="AQ582" s="43"/>
      <c r="AV582" s="43"/>
      <c r="BA582" s="43"/>
      <c r="BF582" s="43"/>
      <c r="BK582" s="43"/>
      <c r="BQ582" s="43"/>
      <c r="BV582" s="43"/>
      <c r="CC582" s="43"/>
    </row>
    <row r="583" spans="2:81" ht="15.75" customHeight="1">
      <c r="B583" s="36"/>
      <c r="D583" s="36"/>
      <c r="F583" s="43"/>
      <c r="L583" s="43"/>
      <c r="Q583" s="43"/>
      <c r="V583" s="43"/>
      <c r="AD583" s="43"/>
      <c r="AG583" s="43"/>
      <c r="AL583" s="43"/>
      <c r="AQ583" s="43"/>
      <c r="AV583" s="43"/>
      <c r="BA583" s="43"/>
      <c r="BF583" s="43"/>
      <c r="BK583" s="43"/>
      <c r="BQ583" s="43"/>
      <c r="BV583" s="43"/>
      <c r="CC583" s="43"/>
    </row>
    <row r="584" spans="2:81" ht="15.75" customHeight="1">
      <c r="B584" s="36"/>
      <c r="D584" s="36"/>
      <c r="F584" s="43"/>
      <c r="L584" s="43"/>
      <c r="Q584" s="43"/>
      <c r="V584" s="43"/>
      <c r="AD584" s="43"/>
      <c r="AG584" s="43"/>
      <c r="AL584" s="43"/>
      <c r="AQ584" s="43"/>
      <c r="AV584" s="43"/>
      <c r="BA584" s="43"/>
      <c r="BF584" s="43"/>
      <c r="BK584" s="43"/>
      <c r="BQ584" s="43"/>
      <c r="BV584" s="43"/>
      <c r="CC584" s="43"/>
    </row>
    <row r="585" spans="2:81" ht="15.75" customHeight="1">
      <c r="B585" s="36"/>
      <c r="D585" s="36"/>
      <c r="F585" s="43"/>
      <c r="L585" s="43"/>
      <c r="Q585" s="43"/>
      <c r="V585" s="43"/>
      <c r="AD585" s="43"/>
      <c r="AG585" s="43"/>
      <c r="AL585" s="43"/>
      <c r="AQ585" s="43"/>
      <c r="AV585" s="43"/>
      <c r="BA585" s="43"/>
      <c r="BF585" s="43"/>
      <c r="BK585" s="43"/>
      <c r="BQ585" s="43"/>
      <c r="BV585" s="43"/>
      <c r="CC585" s="43"/>
    </row>
    <row r="586" spans="2:81" ht="15.75" customHeight="1">
      <c r="B586" s="36"/>
      <c r="D586" s="36"/>
      <c r="F586" s="43"/>
      <c r="L586" s="43"/>
      <c r="Q586" s="43"/>
      <c r="V586" s="43"/>
      <c r="AD586" s="43"/>
      <c r="AG586" s="43"/>
      <c r="AL586" s="43"/>
      <c r="AQ586" s="43"/>
      <c r="AV586" s="43"/>
      <c r="BA586" s="43"/>
      <c r="BF586" s="43"/>
      <c r="BK586" s="43"/>
      <c r="BQ586" s="43"/>
      <c r="BV586" s="43"/>
      <c r="CC586" s="43"/>
    </row>
    <row r="587" spans="2:81" ht="15.75" customHeight="1">
      <c r="B587" s="36"/>
      <c r="D587" s="36"/>
      <c r="F587" s="43"/>
      <c r="L587" s="43"/>
      <c r="Q587" s="43"/>
      <c r="V587" s="43"/>
      <c r="AD587" s="43"/>
      <c r="AG587" s="43"/>
      <c r="AL587" s="43"/>
      <c r="AQ587" s="43"/>
      <c r="AV587" s="43"/>
      <c r="BA587" s="43"/>
      <c r="BF587" s="43"/>
      <c r="BK587" s="43"/>
      <c r="BQ587" s="43"/>
      <c r="BV587" s="43"/>
      <c r="CC587" s="43"/>
    </row>
    <row r="588" spans="2:81" ht="15.75" customHeight="1">
      <c r="B588" s="36"/>
      <c r="D588" s="36"/>
      <c r="F588" s="43"/>
      <c r="L588" s="43"/>
      <c r="Q588" s="43"/>
      <c r="V588" s="43"/>
      <c r="AD588" s="43"/>
      <c r="AG588" s="43"/>
      <c r="AL588" s="43"/>
      <c r="AQ588" s="43"/>
      <c r="AV588" s="43"/>
      <c r="BA588" s="43"/>
      <c r="BF588" s="43"/>
      <c r="BK588" s="43"/>
      <c r="BQ588" s="43"/>
      <c r="BV588" s="43"/>
      <c r="CC588" s="43"/>
    </row>
    <row r="589" spans="2:81" ht="15.75" customHeight="1">
      <c r="B589" s="36"/>
      <c r="D589" s="36"/>
      <c r="F589" s="43"/>
      <c r="L589" s="43"/>
      <c r="Q589" s="43"/>
      <c r="V589" s="43"/>
      <c r="AD589" s="43"/>
      <c r="AG589" s="43"/>
      <c r="AL589" s="43"/>
      <c r="AQ589" s="43"/>
      <c r="AV589" s="43"/>
      <c r="BA589" s="43"/>
      <c r="BF589" s="43"/>
      <c r="BK589" s="43"/>
      <c r="BQ589" s="43"/>
      <c r="BV589" s="43"/>
      <c r="CC589" s="43"/>
    </row>
    <row r="590" spans="2:81" ht="15.75" customHeight="1">
      <c r="B590" s="36"/>
      <c r="D590" s="36"/>
      <c r="F590" s="43"/>
      <c r="L590" s="43"/>
      <c r="Q590" s="43"/>
      <c r="V590" s="43"/>
      <c r="AD590" s="43"/>
      <c r="AG590" s="43"/>
      <c r="AL590" s="43"/>
      <c r="AQ590" s="43"/>
      <c r="AV590" s="43"/>
      <c r="BA590" s="43"/>
      <c r="BF590" s="43"/>
      <c r="BK590" s="43"/>
      <c r="BQ590" s="43"/>
      <c r="BV590" s="43"/>
      <c r="CC590" s="43"/>
    </row>
    <row r="591" spans="2:81" ht="15.75" customHeight="1">
      <c r="B591" s="36"/>
      <c r="D591" s="36"/>
      <c r="F591" s="43"/>
      <c r="L591" s="43"/>
      <c r="Q591" s="43"/>
      <c r="V591" s="43"/>
      <c r="AD591" s="43"/>
      <c r="AG591" s="43"/>
      <c r="AL591" s="43"/>
      <c r="AQ591" s="43"/>
      <c r="AV591" s="43"/>
      <c r="BA591" s="43"/>
      <c r="BF591" s="43"/>
      <c r="BK591" s="43"/>
      <c r="BQ591" s="43"/>
      <c r="BV591" s="43"/>
      <c r="CC591" s="43"/>
    </row>
    <row r="592" spans="2:81" ht="15.75" customHeight="1">
      <c r="B592" s="36"/>
      <c r="D592" s="36"/>
      <c r="F592" s="43"/>
      <c r="L592" s="43"/>
      <c r="Q592" s="43"/>
      <c r="V592" s="43"/>
      <c r="AD592" s="43"/>
      <c r="AG592" s="43"/>
      <c r="AL592" s="43"/>
      <c r="AQ592" s="43"/>
      <c r="AV592" s="43"/>
      <c r="BA592" s="43"/>
      <c r="BF592" s="43"/>
      <c r="BK592" s="43"/>
      <c r="BQ592" s="43"/>
      <c r="BV592" s="43"/>
      <c r="CC592" s="43"/>
    </row>
    <row r="593" spans="2:81" ht="15.75" customHeight="1">
      <c r="B593" s="36"/>
      <c r="D593" s="36"/>
      <c r="F593" s="43"/>
      <c r="L593" s="43"/>
      <c r="Q593" s="43"/>
      <c r="V593" s="43"/>
      <c r="AD593" s="43"/>
      <c r="AG593" s="43"/>
      <c r="AL593" s="43"/>
      <c r="AQ593" s="43"/>
      <c r="AV593" s="43"/>
      <c r="BA593" s="43"/>
      <c r="BF593" s="43"/>
      <c r="BK593" s="43"/>
      <c r="BQ593" s="43"/>
      <c r="BV593" s="43"/>
      <c r="CC593" s="43"/>
    </row>
    <row r="594" spans="2:81" ht="15.75" customHeight="1">
      <c r="B594" s="36"/>
      <c r="D594" s="36"/>
      <c r="F594" s="43"/>
      <c r="L594" s="43"/>
      <c r="Q594" s="43"/>
      <c r="V594" s="43"/>
      <c r="AD594" s="43"/>
      <c r="AG594" s="43"/>
      <c r="AL594" s="43"/>
      <c r="AQ594" s="43"/>
      <c r="AV594" s="43"/>
      <c r="BA594" s="43"/>
      <c r="BF594" s="43"/>
      <c r="BK594" s="43"/>
      <c r="BQ594" s="43"/>
      <c r="BV594" s="43"/>
      <c r="CC594" s="43"/>
    </row>
    <row r="595" spans="2:81" ht="15.75" customHeight="1">
      <c r="B595" s="36"/>
      <c r="D595" s="36"/>
      <c r="F595" s="43"/>
      <c r="L595" s="43"/>
      <c r="Q595" s="43"/>
      <c r="V595" s="43"/>
      <c r="AD595" s="43"/>
      <c r="AG595" s="43"/>
      <c r="AL595" s="43"/>
      <c r="AQ595" s="43"/>
      <c r="AV595" s="43"/>
      <c r="BA595" s="43"/>
      <c r="BF595" s="43"/>
      <c r="BK595" s="43"/>
      <c r="BQ595" s="43"/>
      <c r="BV595" s="43"/>
      <c r="CC595" s="43"/>
    </row>
    <row r="596" spans="2:81" ht="15.75" customHeight="1">
      <c r="B596" s="36"/>
      <c r="D596" s="36"/>
      <c r="F596" s="43"/>
      <c r="L596" s="43"/>
      <c r="Q596" s="43"/>
      <c r="V596" s="43"/>
      <c r="AD596" s="43"/>
      <c r="AG596" s="43"/>
      <c r="AL596" s="43"/>
      <c r="AQ596" s="43"/>
      <c r="AV596" s="43"/>
      <c r="BA596" s="43"/>
      <c r="BF596" s="43"/>
      <c r="BK596" s="43"/>
      <c r="BQ596" s="43"/>
      <c r="BV596" s="43"/>
      <c r="CC596" s="43"/>
    </row>
    <row r="597" spans="2:81" ht="15.75" customHeight="1">
      <c r="B597" s="36"/>
      <c r="D597" s="36"/>
      <c r="F597" s="43"/>
      <c r="L597" s="43"/>
      <c r="Q597" s="43"/>
      <c r="V597" s="43"/>
      <c r="AD597" s="43"/>
      <c r="AG597" s="43"/>
      <c r="AL597" s="43"/>
      <c r="AQ597" s="43"/>
      <c r="AV597" s="43"/>
      <c r="BA597" s="43"/>
      <c r="BF597" s="43"/>
      <c r="BK597" s="43"/>
      <c r="BQ597" s="43"/>
      <c r="BV597" s="43"/>
      <c r="CC597" s="43"/>
    </row>
    <row r="598" spans="2:81" ht="15.75" customHeight="1">
      <c r="B598" s="36"/>
      <c r="D598" s="36"/>
      <c r="F598" s="43"/>
      <c r="L598" s="43"/>
      <c r="Q598" s="43"/>
      <c r="V598" s="43"/>
      <c r="AD598" s="43"/>
      <c r="AG598" s="43"/>
      <c r="AL598" s="43"/>
      <c r="AQ598" s="43"/>
      <c r="AV598" s="43"/>
      <c r="BA598" s="43"/>
      <c r="BF598" s="43"/>
      <c r="BK598" s="43"/>
      <c r="BQ598" s="43"/>
      <c r="BV598" s="43"/>
      <c r="CC598" s="43"/>
    </row>
    <row r="599" spans="2:81" ht="15.75" customHeight="1">
      <c r="B599" s="36"/>
      <c r="D599" s="36"/>
      <c r="F599" s="43"/>
      <c r="L599" s="43"/>
      <c r="Q599" s="43"/>
      <c r="V599" s="43"/>
      <c r="AD599" s="43"/>
      <c r="AG599" s="43"/>
      <c r="AL599" s="43"/>
      <c r="AQ599" s="43"/>
      <c r="AV599" s="43"/>
      <c r="BA599" s="43"/>
      <c r="BF599" s="43"/>
      <c r="BK599" s="43"/>
      <c r="BQ599" s="43"/>
      <c r="BV599" s="43"/>
      <c r="CC599" s="43"/>
    </row>
    <row r="600" spans="2:81" ht="15.75" customHeight="1">
      <c r="B600" s="36"/>
      <c r="D600" s="36"/>
      <c r="F600" s="43"/>
      <c r="L600" s="43"/>
      <c r="Q600" s="43"/>
      <c r="V600" s="43"/>
      <c r="AD600" s="43"/>
      <c r="AG600" s="43"/>
      <c r="AL600" s="43"/>
      <c r="AQ600" s="43"/>
      <c r="AV600" s="43"/>
      <c r="BA600" s="43"/>
      <c r="BF600" s="43"/>
      <c r="BK600" s="43"/>
      <c r="BQ600" s="43"/>
      <c r="BV600" s="43"/>
      <c r="CC600" s="43"/>
    </row>
    <row r="601" spans="2:81" ht="15.75" customHeight="1">
      <c r="B601" s="36"/>
      <c r="D601" s="36"/>
      <c r="F601" s="43"/>
      <c r="L601" s="43"/>
      <c r="Q601" s="43"/>
      <c r="V601" s="43"/>
      <c r="AD601" s="43"/>
      <c r="AG601" s="43"/>
      <c r="AL601" s="43"/>
      <c r="AQ601" s="43"/>
      <c r="AV601" s="43"/>
      <c r="BA601" s="43"/>
      <c r="BF601" s="43"/>
      <c r="BK601" s="43"/>
      <c r="BQ601" s="43"/>
      <c r="BV601" s="43"/>
      <c r="CC601" s="43"/>
    </row>
    <row r="602" spans="2:81" ht="15.75" customHeight="1">
      <c r="B602" s="36"/>
      <c r="D602" s="36"/>
      <c r="F602" s="43"/>
      <c r="L602" s="43"/>
      <c r="Q602" s="43"/>
      <c r="V602" s="43"/>
      <c r="AD602" s="43"/>
      <c r="AG602" s="43"/>
      <c r="AL602" s="43"/>
      <c r="AQ602" s="43"/>
      <c r="AV602" s="43"/>
      <c r="BA602" s="43"/>
      <c r="BF602" s="43"/>
      <c r="BK602" s="43"/>
      <c r="BQ602" s="43"/>
      <c r="BV602" s="43"/>
      <c r="CC602" s="43"/>
    </row>
    <row r="603" spans="2:81" ht="15.75" customHeight="1">
      <c r="B603" s="36"/>
      <c r="D603" s="36"/>
      <c r="F603" s="43"/>
      <c r="L603" s="43"/>
      <c r="Q603" s="43"/>
      <c r="V603" s="43"/>
      <c r="AD603" s="43"/>
      <c r="AG603" s="43"/>
      <c r="AL603" s="43"/>
      <c r="AQ603" s="43"/>
      <c r="AV603" s="43"/>
      <c r="BA603" s="43"/>
      <c r="BF603" s="43"/>
      <c r="BK603" s="43"/>
      <c r="BQ603" s="43"/>
      <c r="BV603" s="43"/>
      <c r="CC603" s="43"/>
    </row>
    <row r="604" spans="2:81" ht="15.75" customHeight="1">
      <c r="B604" s="36"/>
      <c r="D604" s="36"/>
      <c r="F604" s="43"/>
      <c r="L604" s="43"/>
      <c r="Q604" s="43"/>
      <c r="V604" s="43"/>
      <c r="AD604" s="43"/>
      <c r="AG604" s="43"/>
      <c r="AL604" s="43"/>
      <c r="AQ604" s="43"/>
      <c r="AV604" s="43"/>
      <c r="BA604" s="43"/>
      <c r="BF604" s="43"/>
      <c r="BK604" s="43"/>
      <c r="BQ604" s="43"/>
      <c r="BV604" s="43"/>
      <c r="CC604" s="43"/>
    </row>
    <row r="605" spans="2:81" ht="15.75" customHeight="1">
      <c r="B605" s="36"/>
      <c r="D605" s="36"/>
      <c r="F605" s="43"/>
      <c r="L605" s="43"/>
      <c r="Q605" s="43"/>
      <c r="V605" s="43"/>
      <c r="AD605" s="43"/>
      <c r="AG605" s="43"/>
      <c r="AL605" s="43"/>
      <c r="AQ605" s="43"/>
      <c r="AV605" s="43"/>
      <c r="BA605" s="43"/>
      <c r="BF605" s="43"/>
      <c r="BK605" s="43"/>
      <c r="BQ605" s="43"/>
      <c r="BV605" s="43"/>
      <c r="CC605" s="43"/>
    </row>
    <row r="606" spans="2:81" ht="15.75" customHeight="1">
      <c r="B606" s="36"/>
      <c r="D606" s="36"/>
      <c r="F606" s="43"/>
      <c r="L606" s="43"/>
      <c r="Q606" s="43"/>
      <c r="V606" s="43"/>
      <c r="AD606" s="43"/>
      <c r="AG606" s="43"/>
      <c r="AL606" s="43"/>
      <c r="AQ606" s="43"/>
      <c r="AV606" s="43"/>
      <c r="BA606" s="43"/>
      <c r="BF606" s="43"/>
      <c r="BK606" s="43"/>
      <c r="BQ606" s="43"/>
      <c r="BV606" s="43"/>
      <c r="CC606" s="43"/>
    </row>
    <row r="607" spans="2:81" ht="15.75" customHeight="1">
      <c r="B607" s="36"/>
      <c r="D607" s="36"/>
      <c r="F607" s="43"/>
      <c r="L607" s="43"/>
      <c r="Q607" s="43"/>
      <c r="V607" s="43"/>
      <c r="AD607" s="43"/>
      <c r="AG607" s="43"/>
      <c r="AL607" s="43"/>
      <c r="AQ607" s="43"/>
      <c r="AV607" s="43"/>
      <c r="BA607" s="43"/>
      <c r="BF607" s="43"/>
      <c r="BK607" s="43"/>
      <c r="BQ607" s="43"/>
      <c r="BV607" s="43"/>
      <c r="CC607" s="43"/>
    </row>
    <row r="608" spans="2:81" ht="15.75" customHeight="1">
      <c r="B608" s="36"/>
      <c r="D608" s="36"/>
      <c r="F608" s="43"/>
      <c r="L608" s="43"/>
      <c r="Q608" s="43"/>
      <c r="V608" s="43"/>
      <c r="AD608" s="43"/>
      <c r="AG608" s="43"/>
      <c r="AL608" s="43"/>
      <c r="AQ608" s="43"/>
      <c r="AV608" s="43"/>
      <c r="BA608" s="43"/>
      <c r="BF608" s="43"/>
      <c r="BK608" s="43"/>
      <c r="BQ608" s="43"/>
      <c r="BV608" s="43"/>
      <c r="CC608" s="43"/>
    </row>
    <row r="609" spans="2:81" ht="15.75" customHeight="1">
      <c r="B609" s="36"/>
      <c r="D609" s="36"/>
      <c r="F609" s="43"/>
      <c r="L609" s="43"/>
      <c r="Q609" s="43"/>
      <c r="V609" s="43"/>
      <c r="AD609" s="43"/>
      <c r="AG609" s="43"/>
      <c r="AL609" s="43"/>
      <c r="AQ609" s="43"/>
      <c r="AV609" s="43"/>
      <c r="BA609" s="43"/>
      <c r="BF609" s="43"/>
      <c r="BK609" s="43"/>
      <c r="BQ609" s="43"/>
      <c r="BV609" s="43"/>
      <c r="CC609" s="43"/>
    </row>
    <row r="610" spans="2:81" ht="15.75" customHeight="1">
      <c r="B610" s="36"/>
      <c r="D610" s="36"/>
      <c r="F610" s="43"/>
      <c r="L610" s="43"/>
      <c r="Q610" s="43"/>
      <c r="V610" s="43"/>
      <c r="AD610" s="43"/>
      <c r="AG610" s="43"/>
      <c r="AL610" s="43"/>
      <c r="AQ610" s="43"/>
      <c r="AV610" s="43"/>
      <c r="BA610" s="43"/>
      <c r="BF610" s="43"/>
      <c r="BK610" s="43"/>
      <c r="BQ610" s="43"/>
      <c r="BV610" s="43"/>
      <c r="CC610" s="43"/>
    </row>
    <row r="611" spans="2:81" ht="15.75" customHeight="1">
      <c r="B611" s="36"/>
      <c r="D611" s="36"/>
      <c r="F611" s="43"/>
      <c r="L611" s="43"/>
      <c r="Q611" s="43"/>
      <c r="V611" s="43"/>
      <c r="AD611" s="43"/>
      <c r="AG611" s="43"/>
      <c r="AL611" s="43"/>
      <c r="AQ611" s="43"/>
      <c r="AV611" s="43"/>
      <c r="BA611" s="43"/>
      <c r="BF611" s="43"/>
      <c r="BK611" s="43"/>
      <c r="BQ611" s="43"/>
      <c r="BV611" s="43"/>
      <c r="CC611" s="43"/>
    </row>
    <row r="612" spans="2:81" ht="15.75" customHeight="1">
      <c r="B612" s="36"/>
      <c r="D612" s="36"/>
      <c r="F612" s="43"/>
      <c r="L612" s="43"/>
      <c r="Q612" s="43"/>
      <c r="V612" s="43"/>
      <c r="AD612" s="43"/>
      <c r="AG612" s="43"/>
      <c r="AL612" s="43"/>
      <c r="AQ612" s="43"/>
      <c r="AV612" s="43"/>
      <c r="BA612" s="43"/>
      <c r="BF612" s="43"/>
      <c r="BK612" s="43"/>
      <c r="BQ612" s="43"/>
      <c r="BV612" s="43"/>
      <c r="CC612" s="43"/>
    </row>
    <row r="613" spans="2:81" ht="15.75" customHeight="1">
      <c r="B613" s="36"/>
      <c r="D613" s="36"/>
      <c r="F613" s="43"/>
      <c r="L613" s="43"/>
      <c r="Q613" s="43"/>
      <c r="V613" s="43"/>
      <c r="AD613" s="43"/>
      <c r="AG613" s="43"/>
      <c r="AL613" s="43"/>
      <c r="AQ613" s="43"/>
      <c r="AV613" s="43"/>
      <c r="BA613" s="43"/>
      <c r="BF613" s="43"/>
      <c r="BK613" s="43"/>
      <c r="BQ613" s="43"/>
      <c r="BV613" s="43"/>
      <c r="CC613" s="43"/>
    </row>
    <row r="614" spans="2:81" ht="15.75" customHeight="1">
      <c r="B614" s="36"/>
      <c r="D614" s="36"/>
      <c r="F614" s="43"/>
      <c r="L614" s="43"/>
      <c r="Q614" s="43"/>
      <c r="V614" s="43"/>
      <c r="AD614" s="43"/>
      <c r="AG614" s="43"/>
      <c r="AL614" s="43"/>
      <c r="AQ614" s="43"/>
      <c r="AV614" s="43"/>
      <c r="BA614" s="43"/>
      <c r="BF614" s="43"/>
      <c r="BK614" s="43"/>
      <c r="BQ614" s="43"/>
      <c r="BV614" s="43"/>
      <c r="CC614" s="43"/>
    </row>
    <row r="615" spans="2:81" ht="15.75" customHeight="1">
      <c r="B615" s="36"/>
      <c r="D615" s="36"/>
      <c r="F615" s="43"/>
      <c r="L615" s="43"/>
      <c r="Q615" s="43"/>
      <c r="V615" s="43"/>
      <c r="AD615" s="43"/>
      <c r="AG615" s="43"/>
      <c r="AL615" s="43"/>
      <c r="AQ615" s="43"/>
      <c r="AV615" s="43"/>
      <c r="BA615" s="43"/>
      <c r="BF615" s="43"/>
      <c r="BK615" s="43"/>
      <c r="BQ615" s="43"/>
      <c r="BV615" s="43"/>
      <c r="CC615" s="43"/>
    </row>
    <row r="616" spans="2:81" ht="15.75" customHeight="1">
      <c r="B616" s="36"/>
      <c r="D616" s="36"/>
      <c r="F616" s="43"/>
      <c r="L616" s="43"/>
      <c r="Q616" s="43"/>
      <c r="V616" s="43"/>
      <c r="AD616" s="43"/>
      <c r="AG616" s="43"/>
      <c r="AL616" s="43"/>
      <c r="AQ616" s="43"/>
      <c r="AV616" s="43"/>
      <c r="BA616" s="43"/>
      <c r="BF616" s="43"/>
      <c r="BK616" s="43"/>
      <c r="BQ616" s="43"/>
      <c r="BV616" s="43"/>
      <c r="CC616" s="43"/>
    </row>
    <row r="617" spans="2:81" ht="15.75" customHeight="1">
      <c r="B617" s="36"/>
      <c r="D617" s="36"/>
      <c r="F617" s="43"/>
      <c r="L617" s="43"/>
      <c r="Q617" s="43"/>
      <c r="V617" s="43"/>
      <c r="AD617" s="43"/>
      <c r="AG617" s="43"/>
      <c r="AL617" s="43"/>
      <c r="AQ617" s="43"/>
      <c r="AV617" s="43"/>
      <c r="BA617" s="43"/>
      <c r="BF617" s="43"/>
      <c r="BK617" s="43"/>
      <c r="BQ617" s="43"/>
      <c r="BV617" s="43"/>
      <c r="CC617" s="43"/>
    </row>
    <row r="618" spans="2:81" ht="15.75" customHeight="1">
      <c r="B618" s="36"/>
      <c r="D618" s="36"/>
      <c r="F618" s="43"/>
      <c r="L618" s="43"/>
      <c r="Q618" s="43"/>
      <c r="V618" s="43"/>
      <c r="AD618" s="43"/>
      <c r="AG618" s="43"/>
      <c r="AL618" s="43"/>
      <c r="AQ618" s="43"/>
      <c r="AV618" s="43"/>
      <c r="BA618" s="43"/>
      <c r="BF618" s="43"/>
      <c r="BK618" s="43"/>
      <c r="BQ618" s="43"/>
      <c r="BV618" s="43"/>
      <c r="CC618" s="43"/>
    </row>
    <row r="619" spans="2:81" ht="15.75" customHeight="1">
      <c r="B619" s="36"/>
      <c r="D619" s="36"/>
      <c r="F619" s="43"/>
      <c r="L619" s="43"/>
      <c r="Q619" s="43"/>
      <c r="V619" s="43"/>
      <c r="AD619" s="43"/>
      <c r="AG619" s="43"/>
      <c r="AL619" s="43"/>
      <c r="AQ619" s="43"/>
      <c r="AV619" s="43"/>
      <c r="BA619" s="43"/>
      <c r="BF619" s="43"/>
      <c r="BK619" s="43"/>
      <c r="BQ619" s="43"/>
      <c r="BV619" s="43"/>
      <c r="CC619" s="43"/>
    </row>
    <row r="620" spans="2:81" ht="15.75" customHeight="1">
      <c r="B620" s="36"/>
      <c r="D620" s="36"/>
      <c r="F620" s="43"/>
      <c r="L620" s="43"/>
      <c r="Q620" s="43"/>
      <c r="V620" s="43"/>
      <c r="AD620" s="43"/>
      <c r="AG620" s="43"/>
      <c r="AL620" s="43"/>
      <c r="AQ620" s="43"/>
      <c r="AV620" s="43"/>
      <c r="BA620" s="43"/>
      <c r="BF620" s="43"/>
      <c r="BK620" s="43"/>
      <c r="BQ620" s="43"/>
      <c r="BV620" s="43"/>
      <c r="CC620" s="43"/>
    </row>
    <row r="621" spans="2:81" ht="15.75" customHeight="1">
      <c r="B621" s="36"/>
      <c r="D621" s="36"/>
      <c r="F621" s="43"/>
      <c r="L621" s="43"/>
      <c r="Q621" s="43"/>
      <c r="V621" s="43"/>
      <c r="AD621" s="43"/>
      <c r="AG621" s="43"/>
      <c r="AL621" s="43"/>
      <c r="AQ621" s="43"/>
      <c r="AV621" s="43"/>
      <c r="BA621" s="43"/>
      <c r="BF621" s="43"/>
      <c r="BK621" s="43"/>
      <c r="BQ621" s="43"/>
      <c r="BV621" s="43"/>
      <c r="CC621" s="43"/>
    </row>
    <row r="622" spans="2:81" ht="15.75" customHeight="1">
      <c r="B622" s="36"/>
      <c r="D622" s="36"/>
      <c r="F622" s="43"/>
      <c r="L622" s="43"/>
      <c r="Q622" s="43"/>
      <c r="V622" s="43"/>
      <c r="AD622" s="43"/>
      <c r="AG622" s="43"/>
      <c r="AL622" s="43"/>
      <c r="AQ622" s="43"/>
      <c r="AV622" s="43"/>
      <c r="BA622" s="43"/>
      <c r="BF622" s="43"/>
      <c r="BK622" s="43"/>
      <c r="BQ622" s="43"/>
      <c r="BV622" s="43"/>
      <c r="CC622" s="43"/>
    </row>
    <row r="623" spans="2:81" ht="15.75" customHeight="1">
      <c r="B623" s="36"/>
      <c r="D623" s="36"/>
      <c r="F623" s="43"/>
      <c r="L623" s="43"/>
      <c r="Q623" s="43"/>
      <c r="V623" s="43"/>
      <c r="AD623" s="43"/>
      <c r="AG623" s="43"/>
      <c r="AL623" s="43"/>
      <c r="AQ623" s="43"/>
      <c r="AV623" s="43"/>
      <c r="BA623" s="43"/>
      <c r="BF623" s="43"/>
      <c r="BK623" s="43"/>
      <c r="BQ623" s="43"/>
      <c r="BV623" s="43"/>
      <c r="CC623" s="43"/>
    </row>
    <row r="624" spans="2:81" ht="15.75" customHeight="1">
      <c r="B624" s="36"/>
      <c r="D624" s="36"/>
      <c r="F624" s="43"/>
      <c r="L624" s="43"/>
      <c r="Q624" s="43"/>
      <c r="V624" s="43"/>
      <c r="AD624" s="43"/>
      <c r="AG624" s="43"/>
      <c r="AL624" s="43"/>
      <c r="AQ624" s="43"/>
      <c r="AV624" s="43"/>
      <c r="BA624" s="43"/>
      <c r="BF624" s="43"/>
      <c r="BK624" s="43"/>
      <c r="BQ624" s="43"/>
      <c r="BV624" s="43"/>
      <c r="CC624" s="43"/>
    </row>
    <row r="625" spans="2:81" ht="15.75" customHeight="1">
      <c r="B625" s="36"/>
      <c r="D625" s="36"/>
      <c r="F625" s="43"/>
      <c r="L625" s="43"/>
      <c r="Q625" s="43"/>
      <c r="V625" s="43"/>
      <c r="AD625" s="43"/>
      <c r="AG625" s="43"/>
      <c r="AL625" s="43"/>
      <c r="AQ625" s="43"/>
      <c r="AV625" s="43"/>
      <c r="BA625" s="43"/>
      <c r="BF625" s="43"/>
      <c r="BK625" s="43"/>
      <c r="BQ625" s="43"/>
      <c r="BV625" s="43"/>
      <c r="CC625" s="43"/>
    </row>
    <row r="626" spans="2:81" ht="15.75" customHeight="1">
      <c r="B626" s="36"/>
      <c r="D626" s="36"/>
      <c r="F626" s="43"/>
      <c r="L626" s="43"/>
      <c r="Q626" s="43"/>
      <c r="V626" s="43"/>
      <c r="AD626" s="43"/>
      <c r="AG626" s="43"/>
      <c r="AL626" s="43"/>
      <c r="AQ626" s="43"/>
      <c r="AV626" s="43"/>
      <c r="BA626" s="43"/>
      <c r="BF626" s="43"/>
      <c r="BK626" s="43"/>
      <c r="BQ626" s="43"/>
      <c r="BV626" s="43"/>
      <c r="CC626" s="43"/>
    </row>
    <row r="627" spans="2:81" ht="15.75" customHeight="1">
      <c r="B627" s="36"/>
      <c r="D627" s="36"/>
      <c r="F627" s="43"/>
      <c r="L627" s="43"/>
      <c r="Q627" s="43"/>
      <c r="V627" s="43"/>
      <c r="AD627" s="43"/>
      <c r="AG627" s="43"/>
      <c r="AL627" s="43"/>
      <c r="AQ627" s="43"/>
      <c r="AV627" s="43"/>
      <c r="BA627" s="43"/>
      <c r="BF627" s="43"/>
      <c r="BK627" s="43"/>
      <c r="BQ627" s="43"/>
      <c r="BV627" s="43"/>
      <c r="CC627" s="43"/>
    </row>
    <row r="628" spans="2:81" ht="15.75" customHeight="1">
      <c r="B628" s="36"/>
      <c r="D628" s="36"/>
      <c r="F628" s="43"/>
      <c r="L628" s="43"/>
      <c r="Q628" s="43"/>
      <c r="V628" s="43"/>
      <c r="AD628" s="43"/>
      <c r="AG628" s="43"/>
      <c r="AL628" s="43"/>
      <c r="AQ628" s="43"/>
      <c r="AV628" s="43"/>
      <c r="BA628" s="43"/>
      <c r="BF628" s="43"/>
      <c r="BK628" s="43"/>
      <c r="BQ628" s="43"/>
      <c r="BV628" s="43"/>
      <c r="CC628" s="43"/>
    </row>
    <row r="629" spans="2:81" ht="15.75" customHeight="1">
      <c r="B629" s="36"/>
      <c r="D629" s="36"/>
      <c r="F629" s="43"/>
      <c r="L629" s="43"/>
      <c r="Q629" s="43"/>
      <c r="V629" s="43"/>
      <c r="AD629" s="43"/>
      <c r="AG629" s="43"/>
      <c r="AL629" s="43"/>
      <c r="AQ629" s="43"/>
      <c r="AV629" s="43"/>
      <c r="BA629" s="43"/>
      <c r="BF629" s="43"/>
      <c r="BK629" s="43"/>
      <c r="BQ629" s="43"/>
      <c r="BV629" s="43"/>
      <c r="CC629" s="43"/>
    </row>
    <row r="630" spans="2:81" ht="15.75" customHeight="1">
      <c r="B630" s="36"/>
      <c r="D630" s="36"/>
      <c r="F630" s="43"/>
      <c r="L630" s="43"/>
      <c r="Q630" s="43"/>
      <c r="V630" s="43"/>
      <c r="AD630" s="43"/>
      <c r="AG630" s="43"/>
      <c r="AL630" s="43"/>
      <c r="AQ630" s="43"/>
      <c r="AV630" s="43"/>
      <c r="BA630" s="43"/>
      <c r="BF630" s="43"/>
      <c r="BK630" s="43"/>
      <c r="BQ630" s="43"/>
      <c r="BV630" s="43"/>
      <c r="CC630" s="43"/>
    </row>
    <row r="631" spans="2:81" ht="15.75" customHeight="1">
      <c r="B631" s="36"/>
      <c r="D631" s="36"/>
      <c r="F631" s="43"/>
      <c r="L631" s="43"/>
      <c r="Q631" s="43"/>
      <c r="V631" s="43"/>
      <c r="AD631" s="43"/>
      <c r="AG631" s="43"/>
      <c r="AL631" s="43"/>
      <c r="AQ631" s="43"/>
      <c r="AV631" s="43"/>
      <c r="BA631" s="43"/>
      <c r="BF631" s="43"/>
      <c r="BK631" s="43"/>
      <c r="BQ631" s="43"/>
      <c r="BV631" s="43"/>
      <c r="CC631" s="43"/>
    </row>
    <row r="632" spans="2:81" ht="15.75" customHeight="1">
      <c r="B632" s="36"/>
      <c r="D632" s="36"/>
      <c r="F632" s="43"/>
      <c r="L632" s="43"/>
      <c r="Q632" s="43"/>
      <c r="V632" s="43"/>
      <c r="AD632" s="43"/>
      <c r="AG632" s="43"/>
      <c r="AL632" s="43"/>
      <c r="AQ632" s="43"/>
      <c r="AV632" s="43"/>
      <c r="BA632" s="43"/>
      <c r="BF632" s="43"/>
      <c r="BK632" s="43"/>
      <c r="BQ632" s="43"/>
      <c r="BV632" s="43"/>
      <c r="CC632" s="43"/>
    </row>
    <row r="633" spans="2:81" ht="15.75" customHeight="1">
      <c r="B633" s="36"/>
      <c r="D633" s="36"/>
      <c r="F633" s="43"/>
      <c r="L633" s="43"/>
      <c r="Q633" s="43"/>
      <c r="V633" s="43"/>
      <c r="AD633" s="43"/>
      <c r="AG633" s="43"/>
      <c r="AL633" s="43"/>
      <c r="AQ633" s="43"/>
      <c r="AV633" s="43"/>
      <c r="BA633" s="43"/>
      <c r="BF633" s="43"/>
      <c r="BK633" s="43"/>
      <c r="BQ633" s="43"/>
      <c r="BV633" s="43"/>
      <c r="CC633" s="43"/>
    </row>
    <row r="634" spans="2:81" ht="15.75" customHeight="1">
      <c r="B634" s="36"/>
      <c r="D634" s="36"/>
      <c r="F634" s="43"/>
      <c r="L634" s="43"/>
      <c r="Q634" s="43"/>
      <c r="V634" s="43"/>
      <c r="AD634" s="43"/>
      <c r="AG634" s="43"/>
      <c r="AL634" s="43"/>
      <c r="AQ634" s="43"/>
      <c r="AV634" s="43"/>
      <c r="BA634" s="43"/>
      <c r="BF634" s="43"/>
      <c r="BK634" s="43"/>
      <c r="BQ634" s="43"/>
      <c r="BV634" s="43"/>
      <c r="CC634" s="43"/>
    </row>
    <row r="635" spans="2:81" ht="15.75" customHeight="1">
      <c r="B635" s="36"/>
      <c r="D635" s="36"/>
      <c r="F635" s="43"/>
      <c r="L635" s="43"/>
      <c r="Q635" s="43"/>
      <c r="V635" s="43"/>
      <c r="AD635" s="43"/>
      <c r="AG635" s="43"/>
      <c r="AL635" s="43"/>
      <c r="AQ635" s="43"/>
      <c r="AV635" s="43"/>
      <c r="BA635" s="43"/>
      <c r="BF635" s="43"/>
      <c r="BK635" s="43"/>
      <c r="BQ635" s="43"/>
      <c r="BV635" s="43"/>
      <c r="CC635" s="43"/>
    </row>
    <row r="636" spans="2:81" ht="15.75" customHeight="1">
      <c r="B636" s="36"/>
      <c r="D636" s="36"/>
      <c r="F636" s="43"/>
      <c r="L636" s="43"/>
      <c r="Q636" s="43"/>
      <c r="V636" s="43"/>
      <c r="AD636" s="43"/>
      <c r="AG636" s="43"/>
      <c r="AL636" s="43"/>
      <c r="AQ636" s="43"/>
      <c r="AV636" s="43"/>
      <c r="BA636" s="43"/>
      <c r="BF636" s="43"/>
      <c r="BK636" s="43"/>
      <c r="BQ636" s="43"/>
      <c r="BV636" s="43"/>
      <c r="CC636" s="43"/>
    </row>
    <row r="637" spans="2:81" ht="15.75" customHeight="1">
      <c r="B637" s="36"/>
      <c r="D637" s="36"/>
      <c r="F637" s="43"/>
      <c r="L637" s="43"/>
      <c r="Q637" s="43"/>
      <c r="V637" s="43"/>
      <c r="AD637" s="43"/>
      <c r="AG637" s="43"/>
      <c r="AL637" s="43"/>
      <c r="AQ637" s="43"/>
      <c r="AV637" s="43"/>
      <c r="BA637" s="43"/>
      <c r="BF637" s="43"/>
      <c r="BK637" s="43"/>
      <c r="BQ637" s="43"/>
      <c r="BV637" s="43"/>
      <c r="CC637" s="43"/>
    </row>
    <row r="638" spans="2:81" ht="15.75" customHeight="1">
      <c r="B638" s="36"/>
      <c r="D638" s="36"/>
      <c r="F638" s="43"/>
      <c r="L638" s="43"/>
      <c r="Q638" s="43"/>
      <c r="V638" s="43"/>
      <c r="AD638" s="43"/>
      <c r="AG638" s="43"/>
      <c r="AL638" s="43"/>
      <c r="AQ638" s="43"/>
      <c r="AV638" s="43"/>
      <c r="BA638" s="43"/>
      <c r="BF638" s="43"/>
      <c r="BK638" s="43"/>
      <c r="BQ638" s="43"/>
      <c r="BV638" s="43"/>
      <c r="CC638" s="43"/>
    </row>
    <row r="639" spans="2:81" ht="15.75" customHeight="1">
      <c r="B639" s="36"/>
      <c r="D639" s="36"/>
      <c r="F639" s="43"/>
      <c r="L639" s="43"/>
      <c r="Q639" s="43"/>
      <c r="V639" s="43"/>
      <c r="AD639" s="43"/>
      <c r="AG639" s="43"/>
      <c r="AL639" s="43"/>
      <c r="AQ639" s="43"/>
      <c r="AV639" s="43"/>
      <c r="BA639" s="43"/>
      <c r="BF639" s="43"/>
      <c r="BK639" s="43"/>
      <c r="BQ639" s="43"/>
      <c r="BV639" s="43"/>
      <c r="CC639" s="43"/>
    </row>
    <row r="640" spans="2:81" ht="15.75" customHeight="1">
      <c r="B640" s="36"/>
      <c r="D640" s="36"/>
      <c r="F640" s="43"/>
      <c r="L640" s="43"/>
      <c r="Q640" s="43"/>
      <c r="V640" s="43"/>
      <c r="AD640" s="43"/>
      <c r="AG640" s="43"/>
      <c r="AL640" s="43"/>
      <c r="AQ640" s="43"/>
      <c r="AV640" s="43"/>
      <c r="BA640" s="43"/>
      <c r="BF640" s="43"/>
      <c r="BK640" s="43"/>
      <c r="BQ640" s="43"/>
      <c r="BV640" s="43"/>
      <c r="CC640" s="43"/>
    </row>
    <row r="641" spans="2:81" ht="15.75" customHeight="1">
      <c r="B641" s="36"/>
      <c r="D641" s="36"/>
      <c r="F641" s="43"/>
      <c r="L641" s="43"/>
      <c r="Q641" s="43"/>
      <c r="V641" s="43"/>
      <c r="AD641" s="43"/>
      <c r="AG641" s="43"/>
      <c r="AL641" s="43"/>
      <c r="AQ641" s="43"/>
      <c r="AV641" s="43"/>
      <c r="BA641" s="43"/>
      <c r="BF641" s="43"/>
      <c r="BK641" s="43"/>
      <c r="BQ641" s="43"/>
      <c r="BV641" s="43"/>
      <c r="CC641" s="43"/>
    </row>
    <row r="642" spans="2:81" ht="15.75" customHeight="1">
      <c r="B642" s="36"/>
      <c r="D642" s="36"/>
      <c r="F642" s="43"/>
      <c r="L642" s="43"/>
      <c r="Q642" s="43"/>
      <c r="V642" s="43"/>
      <c r="AD642" s="43"/>
      <c r="AG642" s="43"/>
      <c r="AL642" s="43"/>
      <c r="AQ642" s="43"/>
      <c r="AV642" s="43"/>
      <c r="BA642" s="43"/>
      <c r="BF642" s="43"/>
      <c r="BK642" s="43"/>
      <c r="BQ642" s="43"/>
      <c r="BV642" s="43"/>
      <c r="CC642" s="43"/>
    </row>
    <row r="643" spans="2:81" ht="15.75" customHeight="1">
      <c r="B643" s="36"/>
      <c r="D643" s="36"/>
      <c r="F643" s="43"/>
      <c r="L643" s="43"/>
      <c r="Q643" s="43"/>
      <c r="V643" s="43"/>
      <c r="AD643" s="43"/>
      <c r="AG643" s="43"/>
      <c r="AL643" s="43"/>
      <c r="AQ643" s="43"/>
      <c r="AV643" s="43"/>
      <c r="BA643" s="43"/>
      <c r="BF643" s="43"/>
      <c r="BK643" s="43"/>
      <c r="BQ643" s="43"/>
      <c r="BV643" s="43"/>
      <c r="CC643" s="43"/>
    </row>
    <row r="644" spans="2:81" ht="15.75" customHeight="1">
      <c r="B644" s="36"/>
      <c r="D644" s="36"/>
      <c r="F644" s="43"/>
      <c r="L644" s="43"/>
      <c r="Q644" s="43"/>
      <c r="V644" s="43"/>
      <c r="AD644" s="43"/>
      <c r="AG644" s="43"/>
      <c r="AL644" s="43"/>
      <c r="AQ644" s="43"/>
      <c r="AV644" s="43"/>
      <c r="BA644" s="43"/>
      <c r="BF644" s="43"/>
      <c r="BK644" s="43"/>
      <c r="BQ644" s="43"/>
      <c r="BV644" s="43"/>
      <c r="CC644" s="43"/>
    </row>
    <row r="645" spans="2:81" ht="15.75" customHeight="1">
      <c r="B645" s="36"/>
      <c r="D645" s="36"/>
      <c r="F645" s="43"/>
      <c r="L645" s="43"/>
      <c r="Q645" s="43"/>
      <c r="V645" s="43"/>
      <c r="AD645" s="43"/>
      <c r="AG645" s="43"/>
      <c r="AL645" s="43"/>
      <c r="AQ645" s="43"/>
      <c r="AV645" s="43"/>
      <c r="BA645" s="43"/>
      <c r="BF645" s="43"/>
      <c r="BK645" s="43"/>
      <c r="BQ645" s="43"/>
      <c r="BV645" s="43"/>
      <c r="CC645" s="43"/>
    </row>
    <row r="646" spans="2:81" ht="15.75" customHeight="1">
      <c r="B646" s="36"/>
      <c r="D646" s="36"/>
      <c r="F646" s="43"/>
      <c r="L646" s="43"/>
      <c r="Q646" s="43"/>
      <c r="V646" s="43"/>
      <c r="AD646" s="43"/>
      <c r="AG646" s="43"/>
      <c r="AL646" s="43"/>
      <c r="AQ646" s="43"/>
      <c r="AV646" s="43"/>
      <c r="BA646" s="43"/>
      <c r="BF646" s="43"/>
      <c r="BK646" s="43"/>
      <c r="BQ646" s="43"/>
      <c r="BV646" s="43"/>
      <c r="CC646" s="43"/>
    </row>
    <row r="647" spans="2:81" ht="15.75" customHeight="1">
      <c r="B647" s="36"/>
      <c r="D647" s="36"/>
      <c r="F647" s="43"/>
      <c r="L647" s="43"/>
      <c r="Q647" s="43"/>
      <c r="V647" s="43"/>
      <c r="AD647" s="43"/>
      <c r="AG647" s="43"/>
      <c r="AL647" s="43"/>
      <c r="AQ647" s="43"/>
      <c r="AV647" s="43"/>
      <c r="BA647" s="43"/>
      <c r="BF647" s="43"/>
      <c r="BK647" s="43"/>
      <c r="BQ647" s="43"/>
      <c r="BV647" s="43"/>
      <c r="CC647" s="43"/>
    </row>
    <row r="648" spans="2:81" ht="15.75" customHeight="1">
      <c r="B648" s="36"/>
      <c r="D648" s="36"/>
      <c r="F648" s="43"/>
      <c r="L648" s="43"/>
      <c r="Q648" s="43"/>
      <c r="V648" s="43"/>
      <c r="AD648" s="43"/>
      <c r="AG648" s="43"/>
      <c r="AL648" s="43"/>
      <c r="AQ648" s="43"/>
      <c r="AV648" s="43"/>
      <c r="BA648" s="43"/>
      <c r="BF648" s="43"/>
      <c r="BK648" s="43"/>
      <c r="BQ648" s="43"/>
      <c r="BV648" s="43"/>
      <c r="CC648" s="43"/>
    </row>
    <row r="649" spans="2:81" ht="15.75" customHeight="1">
      <c r="B649" s="36"/>
      <c r="D649" s="36"/>
      <c r="F649" s="43"/>
      <c r="L649" s="43"/>
      <c r="Q649" s="43"/>
      <c r="V649" s="43"/>
      <c r="AD649" s="43"/>
      <c r="AG649" s="43"/>
      <c r="AL649" s="43"/>
      <c r="AQ649" s="43"/>
      <c r="AV649" s="43"/>
      <c r="BA649" s="43"/>
      <c r="BF649" s="43"/>
      <c r="BK649" s="43"/>
      <c r="BQ649" s="43"/>
      <c r="BV649" s="43"/>
      <c r="CC649" s="43"/>
    </row>
    <row r="650" spans="2:81" ht="15.75" customHeight="1">
      <c r="B650" s="36"/>
      <c r="D650" s="36"/>
      <c r="F650" s="43"/>
      <c r="L650" s="43"/>
      <c r="Q650" s="43"/>
      <c r="V650" s="43"/>
      <c r="AD650" s="43"/>
      <c r="AG650" s="43"/>
      <c r="AL650" s="43"/>
      <c r="AQ650" s="43"/>
      <c r="AV650" s="43"/>
      <c r="BA650" s="43"/>
      <c r="BF650" s="43"/>
      <c r="BK650" s="43"/>
      <c r="BQ650" s="43"/>
      <c r="BV650" s="43"/>
      <c r="CC650" s="43"/>
    </row>
    <row r="651" spans="2:81" ht="15.75" customHeight="1">
      <c r="B651" s="36"/>
      <c r="D651" s="36"/>
      <c r="F651" s="43"/>
      <c r="L651" s="43"/>
      <c r="Q651" s="43"/>
      <c r="V651" s="43"/>
      <c r="AD651" s="43"/>
      <c r="AG651" s="43"/>
      <c r="AL651" s="43"/>
      <c r="AQ651" s="43"/>
      <c r="AV651" s="43"/>
      <c r="BA651" s="43"/>
      <c r="BF651" s="43"/>
      <c r="BK651" s="43"/>
      <c r="BQ651" s="43"/>
      <c r="BV651" s="43"/>
      <c r="CC651" s="43"/>
    </row>
    <row r="652" spans="2:81" ht="15.75" customHeight="1">
      <c r="B652" s="36"/>
      <c r="D652" s="36"/>
      <c r="F652" s="43"/>
      <c r="L652" s="43"/>
      <c r="Q652" s="43"/>
      <c r="V652" s="43"/>
      <c r="AD652" s="43"/>
      <c r="AG652" s="43"/>
      <c r="AL652" s="43"/>
      <c r="AQ652" s="43"/>
      <c r="AV652" s="43"/>
      <c r="BA652" s="43"/>
      <c r="BF652" s="43"/>
      <c r="BK652" s="43"/>
      <c r="BQ652" s="43"/>
      <c r="BV652" s="43"/>
      <c r="CC652" s="43"/>
    </row>
    <row r="653" spans="2:81" ht="15.75" customHeight="1">
      <c r="B653" s="36"/>
      <c r="D653" s="36"/>
      <c r="F653" s="43"/>
      <c r="L653" s="43"/>
      <c r="Q653" s="43"/>
      <c r="V653" s="43"/>
      <c r="AD653" s="43"/>
      <c r="AG653" s="43"/>
      <c r="AL653" s="43"/>
      <c r="AQ653" s="43"/>
      <c r="AV653" s="43"/>
      <c r="BA653" s="43"/>
      <c r="BF653" s="43"/>
      <c r="BK653" s="43"/>
      <c r="BQ653" s="43"/>
      <c r="BV653" s="43"/>
      <c r="CC653" s="43"/>
    </row>
    <row r="654" spans="2:81" ht="15.75" customHeight="1">
      <c r="B654" s="36"/>
      <c r="D654" s="36"/>
      <c r="F654" s="43"/>
      <c r="L654" s="43"/>
      <c r="Q654" s="43"/>
      <c r="V654" s="43"/>
      <c r="AD654" s="43"/>
      <c r="AG654" s="43"/>
      <c r="AL654" s="43"/>
      <c r="AQ654" s="43"/>
      <c r="AV654" s="43"/>
      <c r="BA654" s="43"/>
      <c r="BF654" s="43"/>
      <c r="BK654" s="43"/>
      <c r="BQ654" s="43"/>
      <c r="BV654" s="43"/>
      <c r="CC654" s="43"/>
    </row>
    <row r="655" spans="2:81" ht="15.75" customHeight="1">
      <c r="B655" s="36"/>
      <c r="D655" s="36"/>
      <c r="F655" s="43"/>
      <c r="L655" s="43"/>
      <c r="Q655" s="43"/>
      <c r="V655" s="43"/>
      <c r="AD655" s="43"/>
      <c r="AG655" s="43"/>
      <c r="AL655" s="43"/>
      <c r="AQ655" s="43"/>
      <c r="AV655" s="43"/>
      <c r="BA655" s="43"/>
      <c r="BF655" s="43"/>
      <c r="BK655" s="43"/>
      <c r="BQ655" s="43"/>
      <c r="BV655" s="43"/>
      <c r="CC655" s="43"/>
    </row>
    <row r="656" spans="2:81" ht="15.75" customHeight="1">
      <c r="B656" s="36"/>
      <c r="D656" s="36"/>
      <c r="F656" s="43"/>
      <c r="L656" s="43"/>
      <c r="Q656" s="43"/>
      <c r="V656" s="43"/>
      <c r="AD656" s="43"/>
      <c r="AG656" s="43"/>
      <c r="AL656" s="43"/>
      <c r="AQ656" s="43"/>
      <c r="AV656" s="43"/>
      <c r="BA656" s="43"/>
      <c r="BF656" s="43"/>
      <c r="BK656" s="43"/>
      <c r="BQ656" s="43"/>
      <c r="BV656" s="43"/>
      <c r="CC656" s="43"/>
    </row>
    <row r="657" spans="2:81" ht="15.75" customHeight="1">
      <c r="B657" s="36"/>
      <c r="D657" s="36"/>
      <c r="F657" s="43"/>
      <c r="L657" s="43"/>
      <c r="Q657" s="43"/>
      <c r="V657" s="43"/>
      <c r="AD657" s="43"/>
      <c r="AG657" s="43"/>
      <c r="AL657" s="43"/>
      <c r="AQ657" s="43"/>
      <c r="AV657" s="43"/>
      <c r="BA657" s="43"/>
      <c r="BF657" s="43"/>
      <c r="BK657" s="43"/>
      <c r="BQ657" s="43"/>
      <c r="BV657" s="43"/>
      <c r="CC657" s="43"/>
    </row>
    <row r="658" spans="2:81" ht="15.75" customHeight="1">
      <c r="B658" s="36"/>
      <c r="D658" s="36"/>
      <c r="F658" s="43"/>
      <c r="L658" s="43"/>
      <c r="Q658" s="43"/>
      <c r="V658" s="43"/>
      <c r="AD658" s="43"/>
      <c r="AG658" s="43"/>
      <c r="AL658" s="43"/>
      <c r="AQ658" s="43"/>
      <c r="AV658" s="43"/>
      <c r="BA658" s="43"/>
      <c r="BF658" s="43"/>
      <c r="BK658" s="43"/>
      <c r="BQ658" s="43"/>
      <c r="BV658" s="43"/>
      <c r="CC658" s="43"/>
    </row>
    <row r="659" spans="2:81" ht="15.75" customHeight="1">
      <c r="B659" s="36"/>
      <c r="D659" s="36"/>
      <c r="F659" s="43"/>
      <c r="L659" s="43"/>
      <c r="Q659" s="43"/>
      <c r="V659" s="43"/>
      <c r="AD659" s="43"/>
      <c r="AG659" s="43"/>
      <c r="AL659" s="43"/>
      <c r="AQ659" s="43"/>
      <c r="AV659" s="43"/>
      <c r="BA659" s="43"/>
      <c r="BF659" s="43"/>
      <c r="BK659" s="43"/>
      <c r="BQ659" s="43"/>
      <c r="BV659" s="43"/>
      <c r="CC659" s="43"/>
    </row>
    <row r="660" spans="2:81" ht="15.75" customHeight="1">
      <c r="B660" s="36"/>
      <c r="D660" s="36"/>
      <c r="F660" s="43"/>
      <c r="L660" s="43"/>
      <c r="Q660" s="43"/>
      <c r="V660" s="43"/>
      <c r="AD660" s="43"/>
      <c r="AG660" s="43"/>
      <c r="AL660" s="43"/>
      <c r="AQ660" s="43"/>
      <c r="AV660" s="43"/>
      <c r="BA660" s="43"/>
      <c r="BF660" s="43"/>
      <c r="BK660" s="43"/>
      <c r="BQ660" s="43"/>
      <c r="BV660" s="43"/>
      <c r="CC660" s="43"/>
    </row>
    <row r="661" spans="2:81" ht="15.75" customHeight="1">
      <c r="B661" s="36"/>
      <c r="D661" s="36"/>
      <c r="F661" s="43"/>
      <c r="L661" s="43"/>
      <c r="Q661" s="43"/>
      <c r="V661" s="43"/>
      <c r="AD661" s="43"/>
      <c r="AG661" s="43"/>
      <c r="AL661" s="43"/>
      <c r="AQ661" s="43"/>
      <c r="AV661" s="43"/>
      <c r="BA661" s="43"/>
      <c r="BF661" s="43"/>
      <c r="BK661" s="43"/>
      <c r="BQ661" s="43"/>
      <c r="BV661" s="43"/>
      <c r="CC661" s="43"/>
    </row>
    <row r="662" spans="2:81" ht="15.75" customHeight="1">
      <c r="B662" s="36"/>
      <c r="D662" s="36"/>
      <c r="F662" s="43"/>
      <c r="L662" s="43"/>
      <c r="Q662" s="43"/>
      <c r="V662" s="43"/>
      <c r="AD662" s="43"/>
      <c r="AG662" s="43"/>
      <c r="AL662" s="43"/>
      <c r="AQ662" s="43"/>
      <c r="AV662" s="43"/>
      <c r="BA662" s="43"/>
      <c r="BF662" s="43"/>
      <c r="BK662" s="43"/>
      <c r="BQ662" s="43"/>
      <c r="BV662" s="43"/>
      <c r="CC662" s="43"/>
    </row>
    <row r="663" spans="2:81" ht="15.75" customHeight="1">
      <c r="B663" s="36"/>
      <c r="D663" s="36"/>
      <c r="F663" s="43"/>
      <c r="L663" s="43"/>
      <c r="Q663" s="43"/>
      <c r="V663" s="43"/>
      <c r="AD663" s="43"/>
      <c r="AG663" s="43"/>
      <c r="AL663" s="43"/>
      <c r="AQ663" s="43"/>
      <c r="AV663" s="43"/>
      <c r="BA663" s="43"/>
      <c r="BF663" s="43"/>
      <c r="BK663" s="43"/>
      <c r="BQ663" s="43"/>
      <c r="BV663" s="43"/>
      <c r="CC663" s="43"/>
    </row>
    <row r="664" spans="2:81" ht="15.75" customHeight="1">
      <c r="B664" s="36"/>
      <c r="D664" s="36"/>
      <c r="F664" s="43"/>
      <c r="L664" s="43"/>
      <c r="Q664" s="43"/>
      <c r="V664" s="43"/>
      <c r="AD664" s="43"/>
      <c r="AG664" s="43"/>
      <c r="AL664" s="43"/>
      <c r="AQ664" s="43"/>
      <c r="AV664" s="43"/>
      <c r="BA664" s="43"/>
      <c r="BF664" s="43"/>
      <c r="BK664" s="43"/>
      <c r="BQ664" s="43"/>
      <c r="BV664" s="43"/>
      <c r="CC664" s="43"/>
    </row>
    <row r="665" spans="2:81" ht="15.75" customHeight="1">
      <c r="B665" s="36"/>
      <c r="D665" s="36"/>
      <c r="F665" s="43"/>
      <c r="L665" s="43"/>
      <c r="Q665" s="43"/>
      <c r="V665" s="43"/>
      <c r="AD665" s="43"/>
      <c r="AG665" s="43"/>
      <c r="AL665" s="43"/>
      <c r="AQ665" s="43"/>
      <c r="AV665" s="43"/>
      <c r="BA665" s="43"/>
      <c r="BF665" s="43"/>
      <c r="BK665" s="43"/>
      <c r="BQ665" s="43"/>
      <c r="BV665" s="43"/>
      <c r="CC665" s="43"/>
    </row>
    <row r="666" spans="2:81" ht="15.75" customHeight="1">
      <c r="B666" s="36"/>
      <c r="D666" s="36"/>
      <c r="F666" s="43"/>
      <c r="L666" s="43"/>
      <c r="Q666" s="43"/>
      <c r="V666" s="43"/>
      <c r="AD666" s="43"/>
      <c r="AG666" s="43"/>
      <c r="AL666" s="43"/>
      <c r="AQ666" s="43"/>
      <c r="AV666" s="43"/>
      <c r="BA666" s="43"/>
      <c r="BF666" s="43"/>
      <c r="BK666" s="43"/>
      <c r="BQ666" s="43"/>
      <c r="BV666" s="43"/>
      <c r="CC666" s="43"/>
    </row>
    <row r="667" spans="2:81" ht="15.75" customHeight="1">
      <c r="B667" s="36"/>
      <c r="D667" s="36"/>
      <c r="F667" s="43"/>
      <c r="L667" s="43"/>
      <c r="Q667" s="43"/>
      <c r="V667" s="43"/>
      <c r="AD667" s="43"/>
      <c r="AG667" s="43"/>
      <c r="AL667" s="43"/>
      <c r="AQ667" s="43"/>
      <c r="AV667" s="43"/>
      <c r="BA667" s="43"/>
      <c r="BF667" s="43"/>
      <c r="BK667" s="43"/>
      <c r="BQ667" s="43"/>
      <c r="BV667" s="43"/>
      <c r="CC667" s="43"/>
    </row>
    <row r="668" spans="2:81" ht="15.75" customHeight="1">
      <c r="B668" s="36"/>
      <c r="D668" s="36"/>
      <c r="F668" s="43"/>
      <c r="L668" s="43"/>
      <c r="Q668" s="43"/>
      <c r="V668" s="43"/>
      <c r="AD668" s="43"/>
      <c r="AG668" s="43"/>
      <c r="AL668" s="43"/>
      <c r="AQ668" s="43"/>
      <c r="AV668" s="43"/>
      <c r="BA668" s="43"/>
      <c r="BF668" s="43"/>
      <c r="BK668" s="43"/>
      <c r="BQ668" s="43"/>
      <c r="BV668" s="43"/>
      <c r="CC668" s="43"/>
    </row>
    <row r="669" spans="2:81" ht="15.75" customHeight="1">
      <c r="B669" s="36"/>
      <c r="D669" s="36"/>
      <c r="F669" s="43"/>
      <c r="L669" s="43"/>
      <c r="Q669" s="43"/>
      <c r="V669" s="43"/>
      <c r="AD669" s="43"/>
      <c r="AG669" s="43"/>
      <c r="AL669" s="43"/>
      <c r="AQ669" s="43"/>
      <c r="AV669" s="43"/>
      <c r="BA669" s="43"/>
      <c r="BF669" s="43"/>
      <c r="BK669" s="43"/>
      <c r="BQ669" s="43"/>
      <c r="BV669" s="43"/>
      <c r="CC669" s="43"/>
    </row>
    <row r="670" spans="2:81" ht="15.75" customHeight="1">
      <c r="B670" s="36"/>
      <c r="D670" s="36"/>
      <c r="F670" s="43"/>
      <c r="L670" s="43"/>
      <c r="Q670" s="43"/>
      <c r="V670" s="43"/>
      <c r="AD670" s="43"/>
      <c r="AG670" s="43"/>
      <c r="AL670" s="43"/>
      <c r="AQ670" s="43"/>
      <c r="AV670" s="43"/>
      <c r="BA670" s="43"/>
      <c r="BF670" s="43"/>
      <c r="BK670" s="43"/>
      <c r="BQ670" s="43"/>
      <c r="BV670" s="43"/>
      <c r="CC670" s="43"/>
    </row>
    <row r="671" spans="2:81" ht="15.75" customHeight="1">
      <c r="B671" s="36"/>
      <c r="D671" s="36"/>
      <c r="F671" s="43"/>
      <c r="L671" s="43"/>
      <c r="Q671" s="43"/>
      <c r="V671" s="43"/>
      <c r="AD671" s="43"/>
      <c r="AG671" s="43"/>
      <c r="AL671" s="43"/>
      <c r="AQ671" s="43"/>
      <c r="AV671" s="43"/>
      <c r="BA671" s="43"/>
      <c r="BF671" s="43"/>
      <c r="BK671" s="43"/>
      <c r="BQ671" s="43"/>
      <c r="BV671" s="43"/>
      <c r="CC671" s="43"/>
    </row>
    <row r="672" spans="2:81" ht="15.75" customHeight="1">
      <c r="B672" s="36"/>
      <c r="D672" s="36"/>
      <c r="F672" s="43"/>
      <c r="L672" s="43"/>
      <c r="Q672" s="43"/>
      <c r="V672" s="43"/>
      <c r="AD672" s="43"/>
      <c r="AG672" s="43"/>
      <c r="AL672" s="43"/>
      <c r="AQ672" s="43"/>
      <c r="AV672" s="43"/>
      <c r="BA672" s="43"/>
      <c r="BF672" s="43"/>
      <c r="BK672" s="43"/>
      <c r="BQ672" s="43"/>
      <c r="BV672" s="43"/>
      <c r="CC672" s="43"/>
    </row>
    <row r="673" spans="2:81" ht="15.75" customHeight="1">
      <c r="B673" s="36"/>
      <c r="D673" s="36"/>
      <c r="F673" s="43"/>
      <c r="L673" s="43"/>
      <c r="Q673" s="43"/>
      <c r="V673" s="43"/>
      <c r="AD673" s="43"/>
      <c r="AG673" s="43"/>
      <c r="AL673" s="43"/>
      <c r="AQ673" s="43"/>
      <c r="AV673" s="43"/>
      <c r="BA673" s="43"/>
      <c r="BF673" s="43"/>
      <c r="BK673" s="43"/>
      <c r="BQ673" s="43"/>
      <c r="BV673" s="43"/>
      <c r="CC673" s="43"/>
    </row>
    <row r="674" spans="2:81" ht="15.75" customHeight="1">
      <c r="B674" s="36"/>
      <c r="D674" s="36"/>
      <c r="F674" s="43"/>
      <c r="L674" s="43"/>
      <c r="Q674" s="43"/>
      <c r="V674" s="43"/>
      <c r="AD674" s="43"/>
      <c r="AG674" s="43"/>
      <c r="AL674" s="43"/>
      <c r="AQ674" s="43"/>
      <c r="AV674" s="43"/>
      <c r="BA674" s="43"/>
      <c r="BF674" s="43"/>
      <c r="BK674" s="43"/>
      <c r="BQ674" s="43"/>
      <c r="BV674" s="43"/>
      <c r="CC674" s="43"/>
    </row>
    <row r="675" spans="2:81" ht="15.75" customHeight="1">
      <c r="B675" s="36"/>
      <c r="D675" s="36"/>
      <c r="F675" s="43"/>
      <c r="L675" s="43"/>
      <c r="Q675" s="43"/>
      <c r="V675" s="43"/>
      <c r="AD675" s="43"/>
      <c r="AG675" s="43"/>
      <c r="AL675" s="43"/>
      <c r="AQ675" s="43"/>
      <c r="AV675" s="43"/>
      <c r="BA675" s="43"/>
      <c r="BF675" s="43"/>
      <c r="BK675" s="43"/>
      <c r="BQ675" s="43"/>
      <c r="BV675" s="43"/>
      <c r="CC675" s="43"/>
    </row>
    <row r="676" spans="2:81" ht="15.75" customHeight="1">
      <c r="B676" s="36"/>
      <c r="D676" s="36"/>
      <c r="F676" s="43"/>
      <c r="L676" s="43"/>
      <c r="Q676" s="43"/>
      <c r="V676" s="43"/>
      <c r="AD676" s="43"/>
      <c r="AG676" s="43"/>
      <c r="AL676" s="43"/>
      <c r="AQ676" s="43"/>
      <c r="AV676" s="43"/>
      <c r="BA676" s="43"/>
      <c r="BF676" s="43"/>
      <c r="BK676" s="43"/>
      <c r="BQ676" s="43"/>
      <c r="BV676" s="43"/>
      <c r="CC676" s="43"/>
    </row>
    <row r="677" spans="2:81" ht="15.75" customHeight="1">
      <c r="B677" s="36"/>
      <c r="D677" s="36"/>
      <c r="F677" s="43"/>
      <c r="L677" s="43"/>
      <c r="Q677" s="43"/>
      <c r="V677" s="43"/>
      <c r="AD677" s="43"/>
      <c r="AG677" s="43"/>
      <c r="AL677" s="43"/>
      <c r="AQ677" s="43"/>
      <c r="AV677" s="43"/>
      <c r="BA677" s="43"/>
      <c r="BF677" s="43"/>
      <c r="BK677" s="43"/>
      <c r="BQ677" s="43"/>
      <c r="BV677" s="43"/>
      <c r="CC677" s="43"/>
    </row>
    <row r="678" spans="2:81" ht="15.75" customHeight="1">
      <c r="B678" s="36"/>
      <c r="D678" s="36"/>
      <c r="F678" s="43"/>
      <c r="L678" s="43"/>
      <c r="Q678" s="43"/>
      <c r="V678" s="43"/>
      <c r="AD678" s="43"/>
      <c r="AG678" s="43"/>
      <c r="AL678" s="43"/>
      <c r="AQ678" s="43"/>
      <c r="AV678" s="43"/>
      <c r="BA678" s="43"/>
      <c r="BF678" s="43"/>
      <c r="BK678" s="43"/>
      <c r="BQ678" s="43"/>
      <c r="BV678" s="43"/>
      <c r="CC678" s="43"/>
    </row>
    <row r="679" spans="2:81" ht="15.75" customHeight="1">
      <c r="B679" s="36"/>
      <c r="D679" s="36"/>
      <c r="F679" s="43"/>
      <c r="L679" s="43"/>
      <c r="Q679" s="43"/>
      <c r="V679" s="43"/>
      <c r="AD679" s="43"/>
      <c r="AG679" s="43"/>
      <c r="AL679" s="43"/>
      <c r="AQ679" s="43"/>
      <c r="AV679" s="43"/>
      <c r="BA679" s="43"/>
      <c r="BF679" s="43"/>
      <c r="BK679" s="43"/>
      <c r="BQ679" s="43"/>
      <c r="BV679" s="43"/>
      <c r="CC679" s="43"/>
    </row>
    <row r="680" spans="2:81" ht="15.75" customHeight="1">
      <c r="B680" s="36"/>
      <c r="D680" s="36"/>
      <c r="F680" s="43"/>
      <c r="L680" s="43"/>
      <c r="Q680" s="43"/>
      <c r="V680" s="43"/>
      <c r="AD680" s="43"/>
      <c r="AG680" s="43"/>
      <c r="AL680" s="43"/>
      <c r="AQ680" s="43"/>
      <c r="AV680" s="43"/>
      <c r="BA680" s="43"/>
      <c r="BF680" s="43"/>
      <c r="BK680" s="43"/>
      <c r="BQ680" s="43"/>
      <c r="BV680" s="43"/>
      <c r="CC680" s="43"/>
    </row>
    <row r="681" spans="2:81" ht="15.75" customHeight="1">
      <c r="B681" s="36"/>
      <c r="D681" s="36"/>
      <c r="F681" s="43"/>
      <c r="L681" s="43"/>
      <c r="Q681" s="43"/>
      <c r="V681" s="43"/>
      <c r="AD681" s="43"/>
      <c r="AG681" s="43"/>
      <c r="AL681" s="43"/>
      <c r="AQ681" s="43"/>
      <c r="AV681" s="43"/>
      <c r="BA681" s="43"/>
      <c r="BF681" s="43"/>
      <c r="BK681" s="43"/>
      <c r="BQ681" s="43"/>
      <c r="BV681" s="43"/>
      <c r="CC681" s="43"/>
    </row>
    <row r="682" spans="2:81" ht="15.75" customHeight="1">
      <c r="B682" s="36"/>
      <c r="D682" s="36"/>
      <c r="F682" s="43"/>
      <c r="L682" s="43"/>
      <c r="Q682" s="43"/>
      <c r="V682" s="43"/>
      <c r="AD682" s="43"/>
      <c r="AG682" s="43"/>
      <c r="AL682" s="43"/>
      <c r="AQ682" s="43"/>
      <c r="AV682" s="43"/>
      <c r="BA682" s="43"/>
      <c r="BF682" s="43"/>
      <c r="BK682" s="43"/>
      <c r="BQ682" s="43"/>
      <c r="BV682" s="43"/>
      <c r="CC682" s="43"/>
    </row>
    <row r="683" spans="2:81" ht="15.75" customHeight="1">
      <c r="B683" s="36"/>
      <c r="D683" s="36"/>
      <c r="F683" s="43"/>
      <c r="L683" s="43"/>
      <c r="Q683" s="43"/>
      <c r="V683" s="43"/>
      <c r="AD683" s="43"/>
      <c r="AG683" s="43"/>
      <c r="AL683" s="43"/>
      <c r="AQ683" s="43"/>
      <c r="AV683" s="43"/>
      <c r="BA683" s="43"/>
      <c r="BF683" s="43"/>
      <c r="BK683" s="43"/>
      <c r="BQ683" s="43"/>
      <c r="BV683" s="43"/>
      <c r="CC683" s="43"/>
    </row>
    <row r="684" spans="2:81" ht="15.75" customHeight="1">
      <c r="B684" s="36"/>
      <c r="D684" s="36"/>
      <c r="F684" s="43"/>
      <c r="L684" s="43"/>
      <c r="Q684" s="43"/>
      <c r="V684" s="43"/>
      <c r="AD684" s="43"/>
      <c r="AG684" s="43"/>
      <c r="AL684" s="43"/>
      <c r="AQ684" s="43"/>
      <c r="AV684" s="43"/>
      <c r="BA684" s="43"/>
      <c r="BF684" s="43"/>
      <c r="BK684" s="43"/>
      <c r="BQ684" s="43"/>
      <c r="BV684" s="43"/>
      <c r="CC684" s="43"/>
    </row>
    <row r="685" spans="2:81" ht="15.75" customHeight="1">
      <c r="B685" s="36"/>
      <c r="D685" s="36"/>
      <c r="F685" s="43"/>
      <c r="L685" s="43"/>
      <c r="Q685" s="43"/>
      <c r="V685" s="43"/>
      <c r="AD685" s="43"/>
      <c r="AG685" s="43"/>
      <c r="AL685" s="43"/>
      <c r="AQ685" s="43"/>
      <c r="AV685" s="43"/>
      <c r="BA685" s="43"/>
      <c r="BF685" s="43"/>
      <c r="BK685" s="43"/>
      <c r="BQ685" s="43"/>
      <c r="BV685" s="43"/>
      <c r="CC685" s="43"/>
    </row>
    <row r="686" spans="2:81" ht="15.75" customHeight="1">
      <c r="B686" s="36"/>
      <c r="D686" s="36"/>
      <c r="F686" s="43"/>
      <c r="L686" s="43"/>
      <c r="Q686" s="43"/>
      <c r="V686" s="43"/>
      <c r="AD686" s="43"/>
      <c r="AG686" s="43"/>
      <c r="AL686" s="43"/>
      <c r="AQ686" s="43"/>
      <c r="AV686" s="43"/>
      <c r="BA686" s="43"/>
      <c r="BF686" s="43"/>
      <c r="BK686" s="43"/>
      <c r="BQ686" s="43"/>
      <c r="BV686" s="43"/>
      <c r="CC686" s="43"/>
    </row>
    <row r="687" spans="2:81" ht="15.75" customHeight="1">
      <c r="B687" s="36"/>
      <c r="D687" s="36"/>
      <c r="F687" s="43"/>
      <c r="L687" s="43"/>
      <c r="Q687" s="43"/>
      <c r="V687" s="43"/>
      <c r="AD687" s="43"/>
      <c r="AG687" s="43"/>
      <c r="AL687" s="43"/>
      <c r="AQ687" s="43"/>
      <c r="AV687" s="43"/>
      <c r="BA687" s="43"/>
      <c r="BF687" s="43"/>
      <c r="BK687" s="43"/>
      <c r="BQ687" s="43"/>
      <c r="BV687" s="43"/>
      <c r="CC687" s="43"/>
    </row>
    <row r="688" spans="2:81" ht="15.75" customHeight="1">
      <c r="B688" s="36"/>
      <c r="D688" s="36"/>
      <c r="F688" s="43"/>
      <c r="L688" s="43"/>
      <c r="Q688" s="43"/>
      <c r="V688" s="43"/>
      <c r="AD688" s="43"/>
      <c r="AG688" s="43"/>
      <c r="AL688" s="43"/>
      <c r="AQ688" s="43"/>
      <c r="AV688" s="43"/>
      <c r="BA688" s="43"/>
      <c r="BF688" s="43"/>
      <c r="BK688" s="43"/>
      <c r="BQ688" s="43"/>
      <c r="BV688" s="43"/>
      <c r="CC688" s="43"/>
    </row>
    <row r="689" spans="2:81" ht="15.75" customHeight="1">
      <c r="B689" s="36"/>
      <c r="D689" s="36"/>
      <c r="F689" s="43"/>
      <c r="L689" s="43"/>
      <c r="Q689" s="43"/>
      <c r="V689" s="43"/>
      <c r="AD689" s="43"/>
      <c r="AG689" s="43"/>
      <c r="AL689" s="43"/>
      <c r="AQ689" s="43"/>
      <c r="AV689" s="43"/>
      <c r="BA689" s="43"/>
      <c r="BF689" s="43"/>
      <c r="BK689" s="43"/>
      <c r="BQ689" s="43"/>
      <c r="BV689" s="43"/>
      <c r="CC689" s="43"/>
    </row>
    <row r="690" spans="2:81" ht="15.75" customHeight="1">
      <c r="B690" s="36"/>
      <c r="D690" s="36"/>
      <c r="F690" s="43"/>
      <c r="L690" s="43"/>
      <c r="Q690" s="43"/>
      <c r="V690" s="43"/>
      <c r="AD690" s="43"/>
      <c r="AG690" s="43"/>
      <c r="AL690" s="43"/>
      <c r="AQ690" s="43"/>
      <c r="AV690" s="43"/>
      <c r="BA690" s="43"/>
      <c r="BF690" s="43"/>
      <c r="BK690" s="43"/>
      <c r="BQ690" s="43"/>
      <c r="BV690" s="43"/>
      <c r="CC690" s="43"/>
    </row>
    <row r="691" spans="2:81" ht="15.75" customHeight="1">
      <c r="B691" s="36"/>
      <c r="D691" s="36"/>
      <c r="F691" s="43"/>
      <c r="L691" s="43"/>
      <c r="Q691" s="43"/>
      <c r="V691" s="43"/>
      <c r="AD691" s="43"/>
      <c r="AG691" s="43"/>
      <c r="AL691" s="43"/>
      <c r="AQ691" s="43"/>
      <c r="AV691" s="43"/>
      <c r="BA691" s="43"/>
      <c r="BF691" s="43"/>
      <c r="BK691" s="43"/>
      <c r="BQ691" s="43"/>
      <c r="BV691" s="43"/>
      <c r="CC691" s="43"/>
    </row>
    <row r="692" spans="2:81" ht="15.75" customHeight="1">
      <c r="B692" s="36"/>
      <c r="D692" s="36"/>
      <c r="F692" s="43"/>
      <c r="L692" s="43"/>
      <c r="Q692" s="43"/>
      <c r="V692" s="43"/>
      <c r="AD692" s="43"/>
      <c r="AG692" s="43"/>
      <c r="AL692" s="43"/>
      <c r="AQ692" s="43"/>
      <c r="AV692" s="43"/>
      <c r="BA692" s="43"/>
      <c r="BF692" s="43"/>
      <c r="BK692" s="43"/>
      <c r="BQ692" s="43"/>
      <c r="BV692" s="43"/>
      <c r="CC692" s="43"/>
    </row>
    <row r="693" spans="2:81" ht="15.75" customHeight="1">
      <c r="B693" s="36"/>
      <c r="D693" s="36"/>
      <c r="F693" s="43"/>
      <c r="L693" s="43"/>
      <c r="Q693" s="43"/>
      <c r="V693" s="43"/>
      <c r="AD693" s="43"/>
      <c r="AG693" s="43"/>
      <c r="AL693" s="43"/>
      <c r="AQ693" s="43"/>
      <c r="AV693" s="43"/>
      <c r="BA693" s="43"/>
      <c r="BF693" s="43"/>
      <c r="BK693" s="43"/>
      <c r="BQ693" s="43"/>
      <c r="BV693" s="43"/>
      <c r="CC693" s="43"/>
    </row>
    <row r="694" spans="2:81" ht="15.75" customHeight="1">
      <c r="B694" s="36"/>
      <c r="D694" s="36"/>
      <c r="F694" s="43"/>
      <c r="L694" s="43"/>
      <c r="Q694" s="43"/>
      <c r="V694" s="43"/>
      <c r="AD694" s="43"/>
      <c r="AG694" s="43"/>
      <c r="AL694" s="43"/>
      <c r="AQ694" s="43"/>
      <c r="AV694" s="43"/>
      <c r="BA694" s="43"/>
      <c r="BF694" s="43"/>
      <c r="BK694" s="43"/>
      <c r="BQ694" s="43"/>
      <c r="BV694" s="43"/>
      <c r="CC694" s="43"/>
    </row>
    <row r="695" spans="2:81" ht="15.75" customHeight="1">
      <c r="B695" s="36"/>
      <c r="D695" s="36"/>
      <c r="F695" s="43"/>
      <c r="L695" s="43"/>
      <c r="Q695" s="43"/>
      <c r="V695" s="43"/>
      <c r="AD695" s="43"/>
      <c r="AG695" s="43"/>
      <c r="AL695" s="43"/>
      <c r="AQ695" s="43"/>
      <c r="AV695" s="43"/>
      <c r="BA695" s="43"/>
      <c r="BF695" s="43"/>
      <c r="BK695" s="43"/>
      <c r="BQ695" s="43"/>
      <c r="BV695" s="43"/>
      <c r="CC695" s="43"/>
    </row>
    <row r="696" spans="2:81" ht="15.75" customHeight="1">
      <c r="B696" s="36"/>
      <c r="D696" s="36"/>
      <c r="F696" s="43"/>
      <c r="L696" s="43"/>
      <c r="Q696" s="43"/>
      <c r="V696" s="43"/>
      <c r="AD696" s="43"/>
      <c r="AG696" s="43"/>
      <c r="AL696" s="43"/>
      <c r="AQ696" s="43"/>
      <c r="AV696" s="43"/>
      <c r="BA696" s="43"/>
      <c r="BF696" s="43"/>
      <c r="BK696" s="43"/>
      <c r="BQ696" s="43"/>
      <c r="BV696" s="43"/>
      <c r="CC696" s="43"/>
    </row>
    <row r="697" spans="2:81" ht="15.75" customHeight="1">
      <c r="B697" s="36"/>
      <c r="D697" s="36"/>
      <c r="F697" s="43"/>
      <c r="L697" s="43"/>
      <c r="Q697" s="43"/>
      <c r="V697" s="43"/>
      <c r="AD697" s="43"/>
      <c r="AG697" s="43"/>
      <c r="AL697" s="43"/>
      <c r="AQ697" s="43"/>
      <c r="AV697" s="43"/>
      <c r="BA697" s="43"/>
      <c r="BF697" s="43"/>
      <c r="BK697" s="43"/>
      <c r="BQ697" s="43"/>
      <c r="BV697" s="43"/>
      <c r="CC697" s="43"/>
    </row>
    <row r="698" spans="2:81" ht="15.75" customHeight="1">
      <c r="B698" s="36"/>
      <c r="D698" s="36"/>
      <c r="F698" s="43"/>
      <c r="L698" s="43"/>
      <c r="Q698" s="43"/>
      <c r="V698" s="43"/>
      <c r="AD698" s="43"/>
      <c r="AG698" s="43"/>
      <c r="AL698" s="43"/>
      <c r="AQ698" s="43"/>
      <c r="AV698" s="43"/>
      <c r="BA698" s="43"/>
      <c r="BF698" s="43"/>
      <c r="BK698" s="43"/>
      <c r="BQ698" s="43"/>
      <c r="BV698" s="43"/>
      <c r="CC698" s="43"/>
    </row>
    <row r="699" spans="2:81" ht="15.75" customHeight="1">
      <c r="B699" s="36"/>
      <c r="D699" s="36"/>
      <c r="F699" s="43"/>
      <c r="L699" s="43"/>
      <c r="Q699" s="43"/>
      <c r="V699" s="43"/>
      <c r="AD699" s="43"/>
      <c r="AG699" s="43"/>
      <c r="AL699" s="43"/>
      <c r="AQ699" s="43"/>
      <c r="AV699" s="43"/>
      <c r="BA699" s="43"/>
      <c r="BF699" s="43"/>
      <c r="BK699" s="43"/>
      <c r="BQ699" s="43"/>
      <c r="BV699" s="43"/>
      <c r="CC699" s="43"/>
    </row>
    <row r="700" spans="2:81" ht="15.75" customHeight="1">
      <c r="B700" s="36"/>
      <c r="D700" s="36"/>
      <c r="F700" s="43"/>
      <c r="L700" s="43"/>
      <c r="Q700" s="43"/>
      <c r="V700" s="43"/>
      <c r="AD700" s="43"/>
      <c r="AG700" s="43"/>
      <c r="AL700" s="43"/>
      <c r="AQ700" s="43"/>
      <c r="AV700" s="43"/>
      <c r="BA700" s="43"/>
      <c r="BF700" s="43"/>
      <c r="BK700" s="43"/>
      <c r="BQ700" s="43"/>
      <c r="BV700" s="43"/>
      <c r="CC700" s="43"/>
    </row>
    <row r="701" spans="2:81" ht="15.75" customHeight="1">
      <c r="B701" s="36"/>
      <c r="D701" s="36"/>
      <c r="F701" s="43"/>
      <c r="L701" s="43"/>
      <c r="Q701" s="43"/>
      <c r="V701" s="43"/>
      <c r="AD701" s="43"/>
      <c r="AG701" s="43"/>
      <c r="AL701" s="43"/>
      <c r="AQ701" s="43"/>
      <c r="AV701" s="43"/>
      <c r="BA701" s="43"/>
      <c r="BF701" s="43"/>
      <c r="BK701" s="43"/>
      <c r="BQ701" s="43"/>
      <c r="BV701" s="43"/>
      <c r="CC701" s="43"/>
    </row>
    <row r="702" spans="2:81" ht="15.75" customHeight="1">
      <c r="B702" s="36"/>
      <c r="D702" s="36"/>
      <c r="F702" s="43"/>
      <c r="L702" s="43"/>
      <c r="Q702" s="43"/>
      <c r="V702" s="43"/>
      <c r="AD702" s="43"/>
      <c r="AG702" s="43"/>
      <c r="AL702" s="43"/>
      <c r="AQ702" s="43"/>
      <c r="AV702" s="43"/>
      <c r="BA702" s="43"/>
      <c r="BF702" s="43"/>
      <c r="BK702" s="43"/>
      <c r="BQ702" s="43"/>
      <c r="BV702" s="43"/>
      <c r="CC702" s="43"/>
    </row>
    <row r="703" spans="2:81" ht="15.75" customHeight="1">
      <c r="B703" s="36"/>
      <c r="D703" s="36"/>
      <c r="F703" s="43"/>
      <c r="L703" s="43"/>
      <c r="Q703" s="43"/>
      <c r="V703" s="43"/>
      <c r="AD703" s="43"/>
      <c r="AG703" s="43"/>
      <c r="AL703" s="43"/>
      <c r="AQ703" s="43"/>
      <c r="AV703" s="43"/>
      <c r="BA703" s="43"/>
      <c r="BF703" s="43"/>
      <c r="BK703" s="43"/>
      <c r="BQ703" s="43"/>
      <c r="BV703" s="43"/>
      <c r="CC703" s="43"/>
    </row>
    <row r="704" spans="2:81" ht="15.75" customHeight="1">
      <c r="B704" s="36"/>
      <c r="D704" s="36"/>
      <c r="F704" s="43"/>
      <c r="L704" s="43"/>
      <c r="Q704" s="43"/>
      <c r="V704" s="43"/>
      <c r="AD704" s="43"/>
      <c r="AG704" s="43"/>
      <c r="AL704" s="43"/>
      <c r="AQ704" s="43"/>
      <c r="AV704" s="43"/>
      <c r="BA704" s="43"/>
      <c r="BF704" s="43"/>
      <c r="BK704" s="43"/>
      <c r="BQ704" s="43"/>
      <c r="BV704" s="43"/>
      <c r="CC704" s="43"/>
    </row>
    <row r="705" spans="2:81" ht="15.75" customHeight="1">
      <c r="B705" s="36"/>
      <c r="D705" s="36"/>
      <c r="F705" s="43"/>
      <c r="L705" s="43"/>
      <c r="Q705" s="43"/>
      <c r="V705" s="43"/>
      <c r="AD705" s="43"/>
      <c r="AG705" s="43"/>
      <c r="AL705" s="43"/>
      <c r="AQ705" s="43"/>
      <c r="AV705" s="43"/>
      <c r="BA705" s="43"/>
      <c r="BF705" s="43"/>
      <c r="BK705" s="43"/>
      <c r="BQ705" s="43"/>
      <c r="BV705" s="43"/>
      <c r="CC705" s="43"/>
    </row>
    <row r="706" spans="2:81" ht="15.75" customHeight="1">
      <c r="B706" s="36"/>
      <c r="D706" s="36"/>
      <c r="F706" s="43"/>
      <c r="L706" s="43"/>
      <c r="Q706" s="43"/>
      <c r="V706" s="43"/>
      <c r="AD706" s="43"/>
      <c r="AG706" s="43"/>
      <c r="AL706" s="43"/>
      <c r="AQ706" s="43"/>
      <c r="AV706" s="43"/>
      <c r="BA706" s="43"/>
      <c r="BF706" s="43"/>
      <c r="BK706" s="43"/>
      <c r="BQ706" s="43"/>
      <c r="BV706" s="43"/>
      <c r="CC706" s="43"/>
    </row>
    <row r="707" spans="2:81" ht="15.75" customHeight="1">
      <c r="B707" s="36"/>
      <c r="D707" s="36"/>
      <c r="F707" s="43"/>
      <c r="L707" s="43"/>
      <c r="Q707" s="43"/>
      <c r="V707" s="43"/>
      <c r="AD707" s="43"/>
      <c r="AG707" s="43"/>
      <c r="AL707" s="43"/>
      <c r="AQ707" s="43"/>
      <c r="AV707" s="43"/>
      <c r="BA707" s="43"/>
      <c r="BF707" s="43"/>
      <c r="BK707" s="43"/>
      <c r="BQ707" s="43"/>
      <c r="BV707" s="43"/>
      <c r="CC707" s="43"/>
    </row>
    <row r="708" spans="2:81" ht="15.75" customHeight="1">
      <c r="B708" s="36"/>
      <c r="D708" s="36"/>
      <c r="F708" s="43"/>
      <c r="L708" s="43"/>
      <c r="Q708" s="43"/>
      <c r="V708" s="43"/>
      <c r="AD708" s="43"/>
      <c r="AG708" s="43"/>
      <c r="AL708" s="43"/>
      <c r="AQ708" s="43"/>
      <c r="AV708" s="43"/>
      <c r="BA708" s="43"/>
      <c r="BF708" s="43"/>
      <c r="BK708" s="43"/>
      <c r="BQ708" s="43"/>
      <c r="BV708" s="43"/>
      <c r="CC708" s="43"/>
    </row>
    <row r="709" spans="2:81" ht="15.75" customHeight="1">
      <c r="B709" s="36"/>
      <c r="D709" s="36"/>
      <c r="F709" s="43"/>
      <c r="L709" s="43"/>
      <c r="Q709" s="43"/>
      <c r="V709" s="43"/>
      <c r="AD709" s="43"/>
      <c r="AG709" s="43"/>
      <c r="AL709" s="43"/>
      <c r="AQ709" s="43"/>
      <c r="AV709" s="43"/>
      <c r="BA709" s="43"/>
      <c r="BF709" s="43"/>
      <c r="BK709" s="43"/>
      <c r="BQ709" s="43"/>
      <c r="BV709" s="43"/>
      <c r="CC709" s="43"/>
    </row>
    <row r="710" spans="2:81" ht="15.75" customHeight="1">
      <c r="B710" s="36"/>
      <c r="D710" s="36"/>
      <c r="F710" s="43"/>
      <c r="L710" s="43"/>
      <c r="Q710" s="43"/>
      <c r="V710" s="43"/>
      <c r="AD710" s="43"/>
      <c r="AG710" s="43"/>
      <c r="AL710" s="43"/>
      <c r="AQ710" s="43"/>
      <c r="AV710" s="43"/>
      <c r="BA710" s="43"/>
      <c r="BF710" s="43"/>
      <c r="BK710" s="43"/>
      <c r="BQ710" s="43"/>
      <c r="BV710" s="43"/>
      <c r="CC710" s="43"/>
    </row>
    <row r="711" spans="2:81" ht="15.75" customHeight="1">
      <c r="B711" s="36"/>
      <c r="D711" s="36"/>
      <c r="F711" s="43"/>
      <c r="L711" s="43"/>
      <c r="Q711" s="43"/>
      <c r="V711" s="43"/>
      <c r="AD711" s="43"/>
      <c r="AG711" s="43"/>
      <c r="AL711" s="43"/>
      <c r="AQ711" s="43"/>
      <c r="AV711" s="43"/>
      <c r="BA711" s="43"/>
      <c r="BF711" s="43"/>
      <c r="BK711" s="43"/>
      <c r="BQ711" s="43"/>
      <c r="BV711" s="43"/>
      <c r="CC711" s="43"/>
    </row>
    <row r="712" spans="2:81" ht="15.75" customHeight="1">
      <c r="B712" s="36"/>
      <c r="D712" s="36"/>
      <c r="F712" s="43"/>
      <c r="L712" s="43"/>
      <c r="Q712" s="43"/>
      <c r="V712" s="43"/>
      <c r="AD712" s="43"/>
      <c r="AG712" s="43"/>
      <c r="AL712" s="43"/>
      <c r="AQ712" s="43"/>
      <c r="AV712" s="43"/>
      <c r="BA712" s="43"/>
      <c r="BF712" s="43"/>
      <c r="BK712" s="43"/>
      <c r="BQ712" s="43"/>
      <c r="BV712" s="43"/>
      <c r="CC712" s="43"/>
    </row>
    <row r="713" spans="2:81" ht="15.75" customHeight="1">
      <c r="B713" s="36"/>
      <c r="D713" s="36"/>
      <c r="F713" s="43"/>
      <c r="L713" s="43"/>
      <c r="Q713" s="43"/>
      <c r="V713" s="43"/>
      <c r="AD713" s="43"/>
      <c r="AG713" s="43"/>
      <c r="AL713" s="43"/>
      <c r="AQ713" s="43"/>
      <c r="AV713" s="43"/>
      <c r="BA713" s="43"/>
      <c r="BF713" s="43"/>
      <c r="BK713" s="43"/>
      <c r="BQ713" s="43"/>
      <c r="BV713" s="43"/>
      <c r="CC713" s="43"/>
    </row>
    <row r="714" spans="2:81" ht="15.75" customHeight="1">
      <c r="B714" s="36"/>
      <c r="D714" s="36"/>
      <c r="F714" s="43"/>
      <c r="L714" s="43"/>
      <c r="Q714" s="43"/>
      <c r="V714" s="43"/>
      <c r="AD714" s="43"/>
      <c r="AG714" s="43"/>
      <c r="AL714" s="43"/>
      <c r="AQ714" s="43"/>
      <c r="AV714" s="43"/>
      <c r="BA714" s="43"/>
      <c r="BF714" s="43"/>
      <c r="BK714" s="43"/>
      <c r="BQ714" s="43"/>
      <c r="BV714" s="43"/>
      <c r="CC714" s="43"/>
    </row>
    <row r="715" spans="2:81" ht="15.75" customHeight="1">
      <c r="B715" s="36"/>
      <c r="D715" s="36"/>
      <c r="F715" s="43"/>
      <c r="L715" s="43"/>
      <c r="Q715" s="43"/>
      <c r="V715" s="43"/>
      <c r="AD715" s="43"/>
      <c r="AG715" s="43"/>
      <c r="AL715" s="43"/>
      <c r="AQ715" s="43"/>
      <c r="AV715" s="43"/>
      <c r="BA715" s="43"/>
      <c r="BF715" s="43"/>
      <c r="BK715" s="43"/>
      <c r="BQ715" s="43"/>
      <c r="BV715" s="43"/>
      <c r="CC715" s="43"/>
    </row>
    <row r="716" spans="2:81" ht="15.75" customHeight="1">
      <c r="B716" s="36"/>
      <c r="D716" s="36"/>
      <c r="F716" s="43"/>
      <c r="L716" s="43"/>
      <c r="Q716" s="43"/>
      <c r="V716" s="43"/>
      <c r="AD716" s="43"/>
      <c r="AG716" s="43"/>
      <c r="AL716" s="43"/>
      <c r="AQ716" s="43"/>
      <c r="AV716" s="43"/>
      <c r="BA716" s="43"/>
      <c r="BF716" s="43"/>
      <c r="BK716" s="43"/>
      <c r="BQ716" s="43"/>
      <c r="BV716" s="43"/>
      <c r="CC716" s="43"/>
    </row>
    <row r="717" spans="2:81" ht="15.75" customHeight="1">
      <c r="B717" s="36"/>
      <c r="D717" s="36"/>
      <c r="F717" s="43"/>
      <c r="L717" s="43"/>
      <c r="Q717" s="43"/>
      <c r="V717" s="43"/>
      <c r="AD717" s="43"/>
      <c r="AG717" s="43"/>
      <c r="AL717" s="43"/>
      <c r="AQ717" s="43"/>
      <c r="AV717" s="43"/>
      <c r="BA717" s="43"/>
      <c r="BF717" s="43"/>
      <c r="BK717" s="43"/>
      <c r="BQ717" s="43"/>
      <c r="BV717" s="43"/>
      <c r="CC717" s="43"/>
    </row>
    <row r="718" spans="2:81" ht="15.75" customHeight="1">
      <c r="B718" s="36"/>
      <c r="D718" s="36"/>
      <c r="F718" s="43"/>
      <c r="L718" s="43"/>
      <c r="Q718" s="43"/>
      <c r="V718" s="43"/>
      <c r="AD718" s="43"/>
      <c r="AG718" s="43"/>
      <c r="AL718" s="43"/>
      <c r="AQ718" s="43"/>
      <c r="AV718" s="43"/>
      <c r="BA718" s="43"/>
      <c r="BF718" s="43"/>
      <c r="BK718" s="43"/>
      <c r="BQ718" s="43"/>
      <c r="BV718" s="43"/>
      <c r="CC718" s="43"/>
    </row>
    <row r="719" spans="2:81" ht="15.75" customHeight="1">
      <c r="B719" s="36"/>
      <c r="D719" s="36"/>
      <c r="F719" s="43"/>
      <c r="L719" s="43"/>
      <c r="Q719" s="43"/>
      <c r="V719" s="43"/>
      <c r="AD719" s="43"/>
      <c r="AG719" s="43"/>
      <c r="AL719" s="43"/>
      <c r="AQ719" s="43"/>
      <c r="AV719" s="43"/>
      <c r="BA719" s="43"/>
      <c r="BF719" s="43"/>
      <c r="BK719" s="43"/>
      <c r="BQ719" s="43"/>
      <c r="BV719" s="43"/>
      <c r="CC719" s="43"/>
    </row>
    <row r="720" spans="2:81" ht="15.75" customHeight="1">
      <c r="B720" s="36"/>
      <c r="D720" s="36"/>
      <c r="F720" s="43"/>
      <c r="L720" s="43"/>
      <c r="Q720" s="43"/>
      <c r="V720" s="43"/>
      <c r="AD720" s="43"/>
      <c r="AG720" s="43"/>
      <c r="AL720" s="43"/>
      <c r="AQ720" s="43"/>
      <c r="AV720" s="43"/>
      <c r="BA720" s="43"/>
      <c r="BF720" s="43"/>
      <c r="BK720" s="43"/>
      <c r="BQ720" s="43"/>
      <c r="BV720" s="43"/>
      <c r="CC720" s="43"/>
    </row>
    <row r="721" spans="2:81" ht="15.75" customHeight="1">
      <c r="B721" s="36"/>
      <c r="D721" s="36"/>
      <c r="F721" s="43"/>
      <c r="L721" s="43"/>
      <c r="Q721" s="43"/>
      <c r="V721" s="43"/>
      <c r="AD721" s="43"/>
      <c r="AG721" s="43"/>
      <c r="AL721" s="43"/>
      <c r="AQ721" s="43"/>
      <c r="AV721" s="43"/>
      <c r="BA721" s="43"/>
      <c r="BF721" s="43"/>
      <c r="BK721" s="43"/>
      <c r="BQ721" s="43"/>
      <c r="BV721" s="43"/>
      <c r="CC721" s="43"/>
    </row>
    <row r="722" spans="2:81" ht="15.75" customHeight="1">
      <c r="B722" s="36"/>
      <c r="D722" s="36"/>
      <c r="F722" s="43"/>
      <c r="L722" s="43"/>
      <c r="Q722" s="43"/>
      <c r="V722" s="43"/>
      <c r="AD722" s="43"/>
      <c r="AG722" s="43"/>
      <c r="AL722" s="43"/>
      <c r="AQ722" s="43"/>
      <c r="AV722" s="43"/>
      <c r="BA722" s="43"/>
      <c r="BF722" s="43"/>
      <c r="BK722" s="43"/>
      <c r="BQ722" s="43"/>
      <c r="BV722" s="43"/>
      <c r="CC722" s="43"/>
    </row>
    <row r="723" spans="2:81" ht="15.75" customHeight="1">
      <c r="B723" s="36"/>
      <c r="D723" s="36"/>
      <c r="F723" s="43"/>
      <c r="L723" s="43"/>
      <c r="Q723" s="43"/>
      <c r="V723" s="43"/>
      <c r="AD723" s="43"/>
      <c r="AG723" s="43"/>
      <c r="AL723" s="43"/>
      <c r="AQ723" s="43"/>
      <c r="AV723" s="43"/>
      <c r="BA723" s="43"/>
      <c r="BF723" s="43"/>
      <c r="BK723" s="43"/>
      <c r="BQ723" s="43"/>
      <c r="BV723" s="43"/>
      <c r="CC723" s="43"/>
    </row>
    <row r="724" spans="2:81" ht="15.75" customHeight="1">
      <c r="B724" s="36"/>
      <c r="D724" s="36"/>
      <c r="F724" s="43"/>
      <c r="L724" s="43"/>
      <c r="Q724" s="43"/>
      <c r="V724" s="43"/>
      <c r="AD724" s="43"/>
      <c r="AG724" s="43"/>
      <c r="AL724" s="43"/>
      <c r="AQ724" s="43"/>
      <c r="AV724" s="43"/>
      <c r="BA724" s="43"/>
      <c r="BF724" s="43"/>
      <c r="BK724" s="43"/>
      <c r="BQ724" s="43"/>
      <c r="BV724" s="43"/>
      <c r="CC724" s="43"/>
    </row>
    <row r="725" spans="2:81" ht="15.75" customHeight="1">
      <c r="B725" s="36"/>
      <c r="D725" s="36"/>
      <c r="F725" s="43"/>
      <c r="L725" s="43"/>
      <c r="Q725" s="43"/>
      <c r="V725" s="43"/>
      <c r="AD725" s="43"/>
      <c r="AG725" s="43"/>
      <c r="AL725" s="43"/>
      <c r="AQ725" s="43"/>
      <c r="AV725" s="43"/>
      <c r="BA725" s="43"/>
      <c r="BF725" s="43"/>
      <c r="BK725" s="43"/>
      <c r="BQ725" s="43"/>
      <c r="BV725" s="43"/>
      <c r="CC725" s="43"/>
    </row>
    <row r="726" spans="2:81" ht="15.75" customHeight="1">
      <c r="B726" s="36"/>
      <c r="D726" s="36"/>
      <c r="F726" s="43"/>
      <c r="L726" s="43"/>
      <c r="Q726" s="43"/>
      <c r="V726" s="43"/>
      <c r="AD726" s="43"/>
      <c r="AG726" s="43"/>
      <c r="AL726" s="43"/>
      <c r="AQ726" s="43"/>
      <c r="AV726" s="43"/>
      <c r="BA726" s="43"/>
      <c r="BF726" s="43"/>
      <c r="BK726" s="43"/>
      <c r="BQ726" s="43"/>
      <c r="BV726" s="43"/>
      <c r="CC726" s="43"/>
    </row>
    <row r="727" spans="2:81" ht="15.75" customHeight="1">
      <c r="B727" s="36"/>
      <c r="D727" s="36"/>
      <c r="F727" s="43"/>
      <c r="L727" s="43"/>
      <c r="Q727" s="43"/>
      <c r="V727" s="43"/>
      <c r="AD727" s="43"/>
      <c r="AG727" s="43"/>
      <c r="AL727" s="43"/>
      <c r="AQ727" s="43"/>
      <c r="AV727" s="43"/>
      <c r="BA727" s="43"/>
      <c r="BF727" s="43"/>
      <c r="BK727" s="43"/>
      <c r="BQ727" s="43"/>
      <c r="BV727" s="43"/>
      <c r="CC727" s="43"/>
    </row>
    <row r="728" spans="2:81" ht="15.75" customHeight="1">
      <c r="B728" s="36"/>
      <c r="D728" s="36"/>
      <c r="F728" s="43"/>
      <c r="L728" s="43"/>
      <c r="Q728" s="43"/>
      <c r="V728" s="43"/>
      <c r="AD728" s="43"/>
      <c r="AG728" s="43"/>
      <c r="AL728" s="43"/>
      <c r="AQ728" s="43"/>
      <c r="AV728" s="43"/>
      <c r="BA728" s="43"/>
      <c r="BF728" s="43"/>
      <c r="BK728" s="43"/>
      <c r="BQ728" s="43"/>
      <c r="BV728" s="43"/>
      <c r="CC728" s="43"/>
    </row>
    <row r="729" spans="2:81" ht="15.75" customHeight="1">
      <c r="B729" s="36"/>
      <c r="D729" s="36"/>
      <c r="F729" s="43"/>
      <c r="L729" s="43"/>
      <c r="Q729" s="43"/>
      <c r="V729" s="43"/>
      <c r="AD729" s="43"/>
      <c r="AG729" s="43"/>
      <c r="AL729" s="43"/>
      <c r="AQ729" s="43"/>
      <c r="AV729" s="43"/>
      <c r="BA729" s="43"/>
      <c r="BF729" s="43"/>
      <c r="BK729" s="43"/>
      <c r="BQ729" s="43"/>
      <c r="BV729" s="43"/>
      <c r="CC729" s="43"/>
    </row>
    <row r="730" spans="2:81" ht="15.75" customHeight="1">
      <c r="B730" s="36"/>
      <c r="D730" s="36"/>
      <c r="F730" s="43"/>
      <c r="L730" s="43"/>
      <c r="Q730" s="43"/>
      <c r="V730" s="43"/>
      <c r="AD730" s="43"/>
      <c r="AG730" s="43"/>
      <c r="AL730" s="43"/>
      <c r="AQ730" s="43"/>
      <c r="AV730" s="43"/>
      <c r="BA730" s="43"/>
      <c r="BF730" s="43"/>
      <c r="BK730" s="43"/>
      <c r="BQ730" s="43"/>
      <c r="BV730" s="43"/>
      <c r="CC730" s="43"/>
    </row>
    <row r="731" spans="2:81" ht="15.75" customHeight="1">
      <c r="B731" s="36"/>
      <c r="D731" s="36"/>
      <c r="F731" s="43"/>
      <c r="L731" s="43"/>
      <c r="Q731" s="43"/>
      <c r="V731" s="43"/>
      <c r="AD731" s="43"/>
      <c r="AG731" s="43"/>
      <c r="AL731" s="43"/>
      <c r="AQ731" s="43"/>
      <c r="AV731" s="43"/>
      <c r="BA731" s="43"/>
      <c r="BF731" s="43"/>
      <c r="BK731" s="43"/>
      <c r="BQ731" s="43"/>
      <c r="BV731" s="43"/>
      <c r="CC731" s="43"/>
    </row>
    <row r="732" spans="2:81" ht="15.75" customHeight="1">
      <c r="B732" s="36"/>
      <c r="D732" s="36"/>
      <c r="F732" s="43"/>
      <c r="L732" s="43"/>
      <c r="Q732" s="43"/>
      <c r="V732" s="43"/>
      <c r="AD732" s="43"/>
      <c r="AG732" s="43"/>
      <c r="AL732" s="43"/>
      <c r="AQ732" s="43"/>
      <c r="AV732" s="43"/>
      <c r="BA732" s="43"/>
      <c r="BF732" s="43"/>
      <c r="BK732" s="43"/>
      <c r="BQ732" s="43"/>
      <c r="BV732" s="43"/>
      <c r="CC732" s="43"/>
    </row>
    <row r="733" spans="2:81" ht="15.75" customHeight="1">
      <c r="B733" s="36"/>
      <c r="D733" s="36"/>
      <c r="F733" s="43"/>
      <c r="L733" s="43"/>
      <c r="Q733" s="43"/>
      <c r="V733" s="43"/>
      <c r="AD733" s="43"/>
      <c r="AG733" s="43"/>
      <c r="AL733" s="43"/>
      <c r="AQ733" s="43"/>
      <c r="AV733" s="43"/>
      <c r="BA733" s="43"/>
      <c r="BF733" s="43"/>
      <c r="BK733" s="43"/>
      <c r="BQ733" s="43"/>
      <c r="BV733" s="43"/>
      <c r="CC733" s="43"/>
    </row>
    <row r="734" spans="2:81" ht="15.75" customHeight="1">
      <c r="B734" s="36"/>
      <c r="D734" s="36"/>
      <c r="F734" s="43"/>
      <c r="L734" s="43"/>
      <c r="Q734" s="43"/>
      <c r="V734" s="43"/>
      <c r="AD734" s="43"/>
      <c r="AG734" s="43"/>
      <c r="AL734" s="43"/>
      <c r="AQ734" s="43"/>
      <c r="AV734" s="43"/>
      <c r="BA734" s="43"/>
      <c r="BF734" s="43"/>
      <c r="BK734" s="43"/>
      <c r="BQ734" s="43"/>
      <c r="BV734" s="43"/>
      <c r="CC734" s="43"/>
    </row>
    <row r="735" spans="2:81" ht="15.75" customHeight="1">
      <c r="B735" s="36"/>
      <c r="D735" s="36"/>
      <c r="F735" s="43"/>
      <c r="L735" s="43"/>
      <c r="Q735" s="43"/>
      <c r="V735" s="43"/>
      <c r="AD735" s="43"/>
      <c r="AG735" s="43"/>
      <c r="AL735" s="43"/>
      <c r="AQ735" s="43"/>
      <c r="AV735" s="43"/>
      <c r="BA735" s="43"/>
      <c r="BF735" s="43"/>
      <c r="BK735" s="43"/>
      <c r="BQ735" s="43"/>
      <c r="BV735" s="43"/>
      <c r="CC735" s="43"/>
    </row>
    <row r="736" spans="2:81" ht="15.75" customHeight="1">
      <c r="B736" s="36"/>
      <c r="D736" s="36"/>
      <c r="F736" s="43"/>
      <c r="L736" s="43"/>
      <c r="Q736" s="43"/>
      <c r="V736" s="43"/>
      <c r="AD736" s="43"/>
      <c r="AG736" s="43"/>
      <c r="AL736" s="43"/>
      <c r="AQ736" s="43"/>
      <c r="AV736" s="43"/>
      <c r="BA736" s="43"/>
      <c r="BF736" s="43"/>
      <c r="BK736" s="43"/>
      <c r="BQ736" s="43"/>
      <c r="BV736" s="43"/>
      <c r="CC736" s="43"/>
    </row>
    <row r="737" spans="2:81" ht="15.75" customHeight="1">
      <c r="B737" s="36"/>
      <c r="D737" s="36"/>
      <c r="F737" s="43"/>
      <c r="L737" s="43"/>
      <c r="Q737" s="43"/>
      <c r="V737" s="43"/>
      <c r="AD737" s="43"/>
      <c r="AG737" s="43"/>
      <c r="AL737" s="43"/>
      <c r="AQ737" s="43"/>
      <c r="AV737" s="43"/>
      <c r="BA737" s="43"/>
      <c r="BF737" s="43"/>
      <c r="BK737" s="43"/>
      <c r="BQ737" s="43"/>
      <c r="BV737" s="43"/>
      <c r="CC737" s="43"/>
    </row>
    <row r="738" spans="2:81" ht="15.75" customHeight="1">
      <c r="B738" s="36"/>
      <c r="D738" s="36"/>
      <c r="F738" s="43"/>
      <c r="L738" s="43"/>
      <c r="Q738" s="43"/>
      <c r="V738" s="43"/>
      <c r="AD738" s="43"/>
      <c r="AG738" s="43"/>
      <c r="AL738" s="43"/>
      <c r="AQ738" s="43"/>
      <c r="AV738" s="43"/>
      <c r="BA738" s="43"/>
      <c r="BF738" s="43"/>
      <c r="BK738" s="43"/>
      <c r="BQ738" s="43"/>
      <c r="BV738" s="43"/>
      <c r="CC738" s="43"/>
    </row>
    <row r="739" spans="2:81" ht="15.75" customHeight="1">
      <c r="B739" s="36"/>
      <c r="D739" s="36"/>
      <c r="F739" s="43"/>
      <c r="L739" s="43"/>
      <c r="Q739" s="43"/>
      <c r="V739" s="43"/>
      <c r="AD739" s="43"/>
      <c r="AG739" s="43"/>
      <c r="AL739" s="43"/>
      <c r="AQ739" s="43"/>
      <c r="AV739" s="43"/>
      <c r="BA739" s="43"/>
      <c r="BF739" s="43"/>
      <c r="BK739" s="43"/>
      <c r="BQ739" s="43"/>
      <c r="BV739" s="43"/>
      <c r="CC739" s="43"/>
    </row>
    <row r="740" spans="2:81" ht="15.75" customHeight="1">
      <c r="B740" s="36"/>
      <c r="D740" s="36"/>
      <c r="F740" s="43"/>
      <c r="L740" s="43"/>
      <c r="Q740" s="43"/>
      <c r="V740" s="43"/>
      <c r="AD740" s="43"/>
      <c r="AG740" s="43"/>
      <c r="AL740" s="43"/>
      <c r="AQ740" s="43"/>
      <c r="AV740" s="43"/>
      <c r="BA740" s="43"/>
      <c r="BF740" s="43"/>
      <c r="BK740" s="43"/>
      <c r="BQ740" s="43"/>
      <c r="BV740" s="43"/>
      <c r="CC740" s="43"/>
    </row>
    <row r="741" spans="2:81" ht="15.75" customHeight="1">
      <c r="B741" s="36"/>
      <c r="D741" s="36"/>
      <c r="F741" s="43"/>
      <c r="L741" s="43"/>
      <c r="Q741" s="43"/>
      <c r="V741" s="43"/>
      <c r="AD741" s="43"/>
      <c r="AG741" s="43"/>
      <c r="AL741" s="43"/>
      <c r="AQ741" s="43"/>
      <c r="AV741" s="43"/>
      <c r="BA741" s="43"/>
      <c r="BF741" s="43"/>
      <c r="BK741" s="43"/>
      <c r="BQ741" s="43"/>
      <c r="BV741" s="43"/>
      <c r="CC741" s="43"/>
    </row>
    <row r="742" spans="2:81" ht="15.75" customHeight="1">
      <c r="B742" s="36"/>
      <c r="D742" s="36"/>
      <c r="F742" s="43"/>
      <c r="L742" s="43"/>
      <c r="Q742" s="43"/>
      <c r="V742" s="43"/>
      <c r="AD742" s="43"/>
      <c r="AG742" s="43"/>
      <c r="AL742" s="43"/>
      <c r="AQ742" s="43"/>
      <c r="AV742" s="43"/>
      <c r="BA742" s="43"/>
      <c r="BF742" s="43"/>
      <c r="BK742" s="43"/>
      <c r="BQ742" s="43"/>
      <c r="BV742" s="43"/>
      <c r="CC742" s="43"/>
    </row>
    <row r="743" spans="2:81" ht="15.75" customHeight="1">
      <c r="B743" s="36"/>
      <c r="D743" s="36"/>
      <c r="F743" s="43"/>
      <c r="L743" s="43"/>
      <c r="Q743" s="43"/>
      <c r="V743" s="43"/>
      <c r="AD743" s="43"/>
      <c r="AG743" s="43"/>
      <c r="AL743" s="43"/>
      <c r="AQ743" s="43"/>
      <c r="AV743" s="43"/>
      <c r="BA743" s="43"/>
      <c r="BF743" s="43"/>
      <c r="BK743" s="43"/>
      <c r="BQ743" s="43"/>
      <c r="BV743" s="43"/>
      <c r="CC743" s="43"/>
    </row>
    <row r="744" spans="2:81" ht="15.75" customHeight="1">
      <c r="B744" s="36"/>
      <c r="D744" s="36"/>
      <c r="F744" s="43"/>
      <c r="L744" s="43"/>
      <c r="Q744" s="43"/>
      <c r="V744" s="43"/>
      <c r="AD744" s="43"/>
      <c r="AG744" s="43"/>
      <c r="AL744" s="43"/>
      <c r="AQ744" s="43"/>
      <c r="AV744" s="43"/>
      <c r="BA744" s="43"/>
      <c r="BF744" s="43"/>
      <c r="BK744" s="43"/>
      <c r="BQ744" s="43"/>
      <c r="BV744" s="43"/>
      <c r="CC744" s="43"/>
    </row>
    <row r="745" spans="2:81" ht="15.75" customHeight="1">
      <c r="B745" s="36"/>
      <c r="D745" s="36"/>
      <c r="F745" s="43"/>
      <c r="L745" s="43"/>
      <c r="Q745" s="43"/>
      <c r="V745" s="43"/>
      <c r="AD745" s="43"/>
      <c r="AG745" s="43"/>
      <c r="AL745" s="43"/>
      <c r="AQ745" s="43"/>
      <c r="AV745" s="43"/>
      <c r="BA745" s="43"/>
      <c r="BF745" s="43"/>
      <c r="BK745" s="43"/>
      <c r="BQ745" s="43"/>
      <c r="BV745" s="43"/>
      <c r="CC745" s="43"/>
    </row>
    <row r="746" spans="2:81" ht="15.75" customHeight="1">
      <c r="B746" s="36"/>
      <c r="D746" s="36"/>
      <c r="F746" s="43"/>
      <c r="L746" s="43"/>
      <c r="Q746" s="43"/>
      <c r="V746" s="43"/>
      <c r="AD746" s="43"/>
      <c r="AG746" s="43"/>
      <c r="AL746" s="43"/>
      <c r="AQ746" s="43"/>
      <c r="AV746" s="43"/>
      <c r="BA746" s="43"/>
      <c r="BF746" s="43"/>
      <c r="BK746" s="43"/>
      <c r="BQ746" s="43"/>
      <c r="BV746" s="43"/>
      <c r="CC746" s="43"/>
    </row>
    <row r="747" spans="2:81" ht="15.75" customHeight="1">
      <c r="B747" s="36"/>
      <c r="D747" s="36"/>
      <c r="F747" s="43"/>
      <c r="L747" s="43"/>
      <c r="Q747" s="43"/>
      <c r="V747" s="43"/>
      <c r="AD747" s="43"/>
      <c r="AG747" s="43"/>
      <c r="AL747" s="43"/>
      <c r="AQ747" s="43"/>
      <c r="AV747" s="43"/>
      <c r="BA747" s="43"/>
      <c r="BF747" s="43"/>
      <c r="BK747" s="43"/>
      <c r="BQ747" s="43"/>
      <c r="BV747" s="43"/>
      <c r="CC747" s="43"/>
    </row>
    <row r="748" spans="2:81" ht="15.75" customHeight="1">
      <c r="B748" s="36"/>
      <c r="D748" s="36"/>
      <c r="F748" s="43"/>
      <c r="L748" s="43"/>
      <c r="Q748" s="43"/>
      <c r="V748" s="43"/>
      <c r="AD748" s="43"/>
      <c r="AG748" s="43"/>
      <c r="AL748" s="43"/>
      <c r="AQ748" s="43"/>
      <c r="AV748" s="43"/>
      <c r="BA748" s="43"/>
      <c r="BF748" s="43"/>
      <c r="BK748" s="43"/>
      <c r="BQ748" s="43"/>
      <c r="BV748" s="43"/>
      <c r="CC748" s="43"/>
    </row>
    <row r="749" spans="2:81" ht="15.75" customHeight="1">
      <c r="B749" s="36"/>
      <c r="D749" s="36"/>
      <c r="F749" s="43"/>
      <c r="L749" s="43"/>
      <c r="Q749" s="43"/>
      <c r="V749" s="43"/>
      <c r="AD749" s="43"/>
      <c r="AG749" s="43"/>
      <c r="AL749" s="43"/>
      <c r="AQ749" s="43"/>
      <c r="AV749" s="43"/>
      <c r="BA749" s="43"/>
      <c r="BF749" s="43"/>
      <c r="BK749" s="43"/>
      <c r="BQ749" s="43"/>
      <c r="BV749" s="43"/>
      <c r="CC749" s="43"/>
    </row>
    <row r="750" spans="2:81" ht="15.75" customHeight="1">
      <c r="B750" s="36"/>
      <c r="D750" s="36"/>
      <c r="F750" s="43"/>
      <c r="L750" s="43"/>
      <c r="Q750" s="43"/>
      <c r="V750" s="43"/>
      <c r="AD750" s="43"/>
      <c r="AG750" s="43"/>
      <c r="AL750" s="43"/>
      <c r="AQ750" s="43"/>
      <c r="AV750" s="43"/>
      <c r="BA750" s="43"/>
      <c r="BF750" s="43"/>
      <c r="BK750" s="43"/>
      <c r="BQ750" s="43"/>
      <c r="BV750" s="43"/>
      <c r="CC750" s="43"/>
    </row>
    <row r="751" spans="2:81" ht="15.75" customHeight="1">
      <c r="B751" s="36"/>
      <c r="D751" s="36"/>
      <c r="F751" s="43"/>
      <c r="L751" s="43"/>
      <c r="Q751" s="43"/>
      <c r="V751" s="43"/>
      <c r="AD751" s="43"/>
      <c r="AG751" s="43"/>
      <c r="AL751" s="43"/>
      <c r="AQ751" s="43"/>
      <c r="AV751" s="43"/>
      <c r="BA751" s="43"/>
      <c r="BF751" s="43"/>
      <c r="BK751" s="43"/>
      <c r="BQ751" s="43"/>
      <c r="BV751" s="43"/>
      <c r="CC751" s="43"/>
    </row>
    <row r="752" spans="2:81" ht="15.75" customHeight="1">
      <c r="B752" s="36"/>
      <c r="D752" s="36"/>
      <c r="F752" s="43"/>
      <c r="L752" s="43"/>
      <c r="Q752" s="43"/>
      <c r="V752" s="43"/>
      <c r="AD752" s="43"/>
      <c r="AG752" s="43"/>
      <c r="AL752" s="43"/>
      <c r="AQ752" s="43"/>
      <c r="AV752" s="43"/>
      <c r="BA752" s="43"/>
      <c r="BF752" s="43"/>
      <c r="BK752" s="43"/>
      <c r="BQ752" s="43"/>
      <c r="BV752" s="43"/>
      <c r="CC752" s="43"/>
    </row>
    <row r="753" spans="2:81" ht="15.75" customHeight="1">
      <c r="B753" s="36"/>
      <c r="D753" s="36"/>
      <c r="F753" s="43"/>
      <c r="L753" s="43"/>
      <c r="Q753" s="43"/>
      <c r="V753" s="43"/>
      <c r="AD753" s="43"/>
      <c r="AG753" s="43"/>
      <c r="AL753" s="43"/>
      <c r="AQ753" s="43"/>
      <c r="AV753" s="43"/>
      <c r="BA753" s="43"/>
      <c r="BF753" s="43"/>
      <c r="BK753" s="43"/>
      <c r="BQ753" s="43"/>
      <c r="BV753" s="43"/>
      <c r="CC753" s="43"/>
    </row>
    <row r="754" spans="2:81" ht="15.75" customHeight="1">
      <c r="B754" s="36"/>
      <c r="D754" s="36"/>
      <c r="F754" s="43"/>
      <c r="L754" s="43"/>
      <c r="Q754" s="43"/>
      <c r="V754" s="43"/>
      <c r="AD754" s="43"/>
      <c r="AG754" s="43"/>
      <c r="AL754" s="43"/>
      <c r="AQ754" s="43"/>
      <c r="AV754" s="43"/>
      <c r="BA754" s="43"/>
      <c r="BF754" s="43"/>
      <c r="BK754" s="43"/>
      <c r="BQ754" s="43"/>
      <c r="BV754" s="43"/>
      <c r="CC754" s="43"/>
    </row>
    <row r="755" spans="2:81" ht="15.75" customHeight="1">
      <c r="B755" s="36"/>
      <c r="D755" s="36"/>
      <c r="F755" s="43"/>
      <c r="L755" s="43"/>
      <c r="Q755" s="43"/>
      <c r="V755" s="43"/>
      <c r="AD755" s="43"/>
      <c r="AG755" s="43"/>
      <c r="AL755" s="43"/>
      <c r="AQ755" s="43"/>
      <c r="AV755" s="43"/>
      <c r="BA755" s="43"/>
      <c r="BF755" s="43"/>
      <c r="BK755" s="43"/>
      <c r="BQ755" s="43"/>
      <c r="BV755" s="43"/>
      <c r="CC755" s="43"/>
    </row>
    <row r="756" spans="2:81" ht="15.75" customHeight="1">
      <c r="B756" s="36"/>
      <c r="D756" s="36"/>
      <c r="F756" s="43"/>
      <c r="L756" s="43"/>
      <c r="Q756" s="43"/>
      <c r="V756" s="43"/>
      <c r="AD756" s="43"/>
      <c r="AG756" s="43"/>
      <c r="AL756" s="43"/>
      <c r="AQ756" s="43"/>
      <c r="AV756" s="43"/>
      <c r="BA756" s="43"/>
      <c r="BF756" s="43"/>
      <c r="BK756" s="43"/>
      <c r="BQ756" s="43"/>
      <c r="BV756" s="43"/>
      <c r="CC756" s="43"/>
    </row>
    <row r="757" spans="2:81" ht="15.75" customHeight="1">
      <c r="B757" s="36"/>
      <c r="D757" s="36"/>
      <c r="F757" s="43"/>
      <c r="L757" s="43"/>
      <c r="Q757" s="43"/>
      <c r="V757" s="43"/>
      <c r="AD757" s="43"/>
      <c r="AG757" s="43"/>
      <c r="AL757" s="43"/>
      <c r="AQ757" s="43"/>
      <c r="AV757" s="43"/>
      <c r="BA757" s="43"/>
      <c r="BF757" s="43"/>
      <c r="BK757" s="43"/>
      <c r="BQ757" s="43"/>
      <c r="BV757" s="43"/>
      <c r="CC757" s="43"/>
    </row>
    <row r="758" spans="2:81" ht="15.75" customHeight="1">
      <c r="B758" s="36"/>
      <c r="D758" s="36"/>
      <c r="F758" s="43"/>
      <c r="L758" s="43"/>
      <c r="Q758" s="43"/>
      <c r="V758" s="43"/>
      <c r="AD758" s="43"/>
      <c r="AG758" s="43"/>
      <c r="AL758" s="43"/>
      <c r="AQ758" s="43"/>
      <c r="AV758" s="43"/>
      <c r="BA758" s="43"/>
      <c r="BF758" s="43"/>
      <c r="BK758" s="43"/>
      <c r="BQ758" s="43"/>
      <c r="BV758" s="43"/>
      <c r="CC758" s="43"/>
    </row>
    <row r="759" spans="2:81" ht="15.75" customHeight="1">
      <c r="B759" s="36"/>
      <c r="D759" s="36"/>
      <c r="F759" s="43"/>
      <c r="L759" s="43"/>
      <c r="Q759" s="43"/>
      <c r="V759" s="43"/>
      <c r="AD759" s="43"/>
      <c r="AG759" s="43"/>
      <c r="AL759" s="43"/>
      <c r="AQ759" s="43"/>
      <c r="AV759" s="43"/>
      <c r="BA759" s="43"/>
      <c r="BF759" s="43"/>
      <c r="BK759" s="43"/>
      <c r="BQ759" s="43"/>
      <c r="BV759" s="43"/>
      <c r="CC759" s="43"/>
    </row>
    <row r="760" spans="2:81" ht="15.75" customHeight="1">
      <c r="B760" s="36"/>
      <c r="D760" s="36"/>
      <c r="F760" s="43"/>
      <c r="L760" s="43"/>
      <c r="Q760" s="43"/>
      <c r="V760" s="43"/>
      <c r="AD760" s="43"/>
      <c r="AG760" s="43"/>
      <c r="AL760" s="43"/>
      <c r="AQ760" s="43"/>
      <c r="AV760" s="43"/>
      <c r="BA760" s="43"/>
      <c r="BF760" s="43"/>
      <c r="BK760" s="43"/>
      <c r="BQ760" s="43"/>
      <c r="BV760" s="43"/>
      <c r="CC760" s="43"/>
    </row>
    <row r="761" spans="2:81" ht="15.75" customHeight="1">
      <c r="B761" s="36"/>
      <c r="D761" s="36"/>
      <c r="F761" s="43"/>
      <c r="L761" s="43"/>
      <c r="Q761" s="43"/>
      <c r="V761" s="43"/>
      <c r="AD761" s="43"/>
      <c r="AG761" s="43"/>
      <c r="AL761" s="43"/>
      <c r="AQ761" s="43"/>
      <c r="AV761" s="43"/>
      <c r="BA761" s="43"/>
      <c r="BF761" s="43"/>
      <c r="BK761" s="43"/>
      <c r="BQ761" s="43"/>
      <c r="BV761" s="43"/>
      <c r="CC761" s="43"/>
    </row>
    <row r="762" spans="2:81" ht="15.75" customHeight="1">
      <c r="B762" s="36"/>
      <c r="D762" s="36"/>
      <c r="F762" s="43"/>
      <c r="L762" s="43"/>
      <c r="Q762" s="43"/>
      <c r="V762" s="43"/>
      <c r="AD762" s="43"/>
      <c r="AG762" s="43"/>
      <c r="AL762" s="43"/>
      <c r="AQ762" s="43"/>
      <c r="AV762" s="43"/>
      <c r="BA762" s="43"/>
      <c r="BF762" s="43"/>
      <c r="BK762" s="43"/>
      <c r="BQ762" s="43"/>
      <c r="BV762" s="43"/>
      <c r="CC762" s="43"/>
    </row>
    <row r="763" spans="2:81" ht="15.75" customHeight="1">
      <c r="B763" s="36"/>
      <c r="D763" s="36"/>
      <c r="F763" s="43"/>
      <c r="L763" s="43"/>
      <c r="Q763" s="43"/>
      <c r="V763" s="43"/>
      <c r="AD763" s="43"/>
      <c r="AG763" s="43"/>
      <c r="AL763" s="43"/>
      <c r="AQ763" s="43"/>
      <c r="AV763" s="43"/>
      <c r="BA763" s="43"/>
      <c r="BF763" s="43"/>
      <c r="BK763" s="43"/>
      <c r="BQ763" s="43"/>
      <c r="BV763" s="43"/>
      <c r="CC763" s="43"/>
    </row>
    <row r="764" spans="2:81" ht="15.75" customHeight="1">
      <c r="B764" s="36"/>
      <c r="D764" s="36"/>
      <c r="F764" s="43"/>
      <c r="L764" s="43"/>
      <c r="Q764" s="43"/>
      <c r="V764" s="43"/>
      <c r="AD764" s="43"/>
      <c r="AG764" s="43"/>
      <c r="AL764" s="43"/>
      <c r="AQ764" s="43"/>
      <c r="AV764" s="43"/>
      <c r="BA764" s="43"/>
      <c r="BF764" s="43"/>
      <c r="BK764" s="43"/>
      <c r="BQ764" s="43"/>
      <c r="BV764" s="43"/>
      <c r="CC764" s="43"/>
    </row>
    <row r="765" spans="2:81" ht="15.75" customHeight="1">
      <c r="B765" s="36"/>
      <c r="D765" s="36"/>
      <c r="F765" s="43"/>
      <c r="L765" s="43"/>
      <c r="Q765" s="43"/>
      <c r="V765" s="43"/>
      <c r="AD765" s="43"/>
      <c r="AG765" s="43"/>
      <c r="AL765" s="43"/>
      <c r="AQ765" s="43"/>
      <c r="AV765" s="43"/>
      <c r="BA765" s="43"/>
      <c r="BF765" s="43"/>
      <c r="BK765" s="43"/>
      <c r="BQ765" s="43"/>
      <c r="BV765" s="43"/>
      <c r="CC765" s="43"/>
    </row>
    <row r="766" spans="2:81" ht="15.75" customHeight="1">
      <c r="B766" s="36"/>
      <c r="D766" s="36"/>
      <c r="F766" s="43"/>
      <c r="L766" s="43"/>
      <c r="Q766" s="43"/>
      <c r="V766" s="43"/>
      <c r="AD766" s="43"/>
      <c r="AG766" s="43"/>
      <c r="AL766" s="43"/>
      <c r="AQ766" s="43"/>
      <c r="AV766" s="43"/>
      <c r="BA766" s="43"/>
      <c r="BF766" s="43"/>
      <c r="BK766" s="43"/>
      <c r="BQ766" s="43"/>
      <c r="BV766" s="43"/>
      <c r="CC766" s="43"/>
    </row>
    <row r="767" spans="2:81" ht="15.75" customHeight="1">
      <c r="B767" s="36"/>
      <c r="D767" s="36"/>
      <c r="F767" s="43"/>
      <c r="L767" s="43"/>
      <c r="Q767" s="43"/>
      <c r="V767" s="43"/>
      <c r="AD767" s="43"/>
      <c r="AG767" s="43"/>
      <c r="AL767" s="43"/>
      <c r="AQ767" s="43"/>
      <c r="AV767" s="43"/>
      <c r="BA767" s="43"/>
      <c r="BF767" s="43"/>
      <c r="BK767" s="43"/>
      <c r="BQ767" s="43"/>
      <c r="BV767" s="43"/>
      <c r="CC767" s="43"/>
    </row>
    <row r="768" spans="2:81" ht="15.75" customHeight="1">
      <c r="B768" s="36"/>
      <c r="D768" s="36"/>
      <c r="F768" s="43"/>
      <c r="L768" s="43"/>
      <c r="Q768" s="43"/>
      <c r="V768" s="43"/>
      <c r="AD768" s="43"/>
      <c r="AG768" s="43"/>
      <c r="AL768" s="43"/>
      <c r="AQ768" s="43"/>
      <c r="AV768" s="43"/>
      <c r="BA768" s="43"/>
      <c r="BF768" s="43"/>
      <c r="BK768" s="43"/>
      <c r="BQ768" s="43"/>
      <c r="BV768" s="43"/>
      <c r="CC768" s="43"/>
    </row>
    <row r="769" spans="2:81" ht="15.75" customHeight="1">
      <c r="B769" s="36"/>
      <c r="D769" s="36"/>
      <c r="F769" s="43"/>
      <c r="L769" s="43"/>
      <c r="Q769" s="43"/>
      <c r="V769" s="43"/>
      <c r="AD769" s="43"/>
      <c r="AG769" s="43"/>
      <c r="AL769" s="43"/>
      <c r="AQ769" s="43"/>
      <c r="AV769" s="43"/>
      <c r="BA769" s="43"/>
      <c r="BF769" s="43"/>
      <c r="BK769" s="43"/>
      <c r="BQ769" s="43"/>
      <c r="BV769" s="43"/>
      <c r="CC769" s="43"/>
    </row>
    <row r="770" spans="2:81" ht="15.75" customHeight="1">
      <c r="B770" s="36"/>
      <c r="D770" s="36"/>
      <c r="F770" s="43"/>
      <c r="L770" s="43"/>
      <c r="Q770" s="43"/>
      <c r="V770" s="43"/>
      <c r="AD770" s="43"/>
      <c r="AG770" s="43"/>
      <c r="AL770" s="43"/>
      <c r="AQ770" s="43"/>
      <c r="AV770" s="43"/>
      <c r="BA770" s="43"/>
      <c r="BF770" s="43"/>
      <c r="BK770" s="43"/>
      <c r="BQ770" s="43"/>
      <c r="BV770" s="43"/>
      <c r="CC770" s="43"/>
    </row>
    <row r="771" spans="2:81" ht="15.75" customHeight="1">
      <c r="B771" s="36"/>
      <c r="D771" s="36"/>
      <c r="F771" s="43"/>
      <c r="L771" s="43"/>
      <c r="Q771" s="43"/>
      <c r="V771" s="43"/>
      <c r="AD771" s="43"/>
      <c r="AG771" s="43"/>
      <c r="AL771" s="43"/>
      <c r="AQ771" s="43"/>
      <c r="AV771" s="43"/>
      <c r="BA771" s="43"/>
      <c r="BF771" s="43"/>
      <c r="BK771" s="43"/>
      <c r="BQ771" s="43"/>
      <c r="BV771" s="43"/>
      <c r="CC771" s="43"/>
    </row>
    <row r="772" spans="2:81" ht="15.75" customHeight="1">
      <c r="B772" s="36"/>
      <c r="D772" s="36"/>
      <c r="F772" s="43"/>
      <c r="L772" s="43"/>
      <c r="Q772" s="43"/>
      <c r="V772" s="43"/>
      <c r="AD772" s="43"/>
      <c r="AG772" s="43"/>
      <c r="AL772" s="43"/>
      <c r="AQ772" s="43"/>
      <c r="AV772" s="43"/>
      <c r="BA772" s="43"/>
      <c r="BF772" s="43"/>
      <c r="BK772" s="43"/>
      <c r="BQ772" s="43"/>
      <c r="BV772" s="43"/>
      <c r="CC772" s="43"/>
    </row>
    <row r="773" spans="2:81" ht="15.75" customHeight="1">
      <c r="B773" s="36"/>
      <c r="D773" s="36"/>
      <c r="F773" s="43"/>
      <c r="L773" s="43"/>
      <c r="Q773" s="43"/>
      <c r="V773" s="43"/>
      <c r="AD773" s="43"/>
      <c r="AG773" s="43"/>
      <c r="AL773" s="43"/>
      <c r="AQ773" s="43"/>
      <c r="AV773" s="43"/>
      <c r="BA773" s="43"/>
      <c r="BF773" s="43"/>
      <c r="BK773" s="43"/>
      <c r="BQ773" s="43"/>
      <c r="BV773" s="43"/>
      <c r="CC773" s="43"/>
    </row>
    <row r="774" spans="2:81" ht="15.75" customHeight="1">
      <c r="B774" s="36"/>
      <c r="D774" s="36"/>
      <c r="F774" s="43"/>
      <c r="L774" s="43"/>
      <c r="Q774" s="43"/>
      <c r="V774" s="43"/>
      <c r="AD774" s="43"/>
      <c r="AG774" s="43"/>
      <c r="AL774" s="43"/>
      <c r="AQ774" s="43"/>
      <c r="AV774" s="43"/>
      <c r="BA774" s="43"/>
      <c r="BF774" s="43"/>
      <c r="BK774" s="43"/>
      <c r="BQ774" s="43"/>
      <c r="BV774" s="43"/>
      <c r="CC774" s="43"/>
    </row>
    <row r="775" spans="2:81" ht="15.75" customHeight="1">
      <c r="B775" s="36"/>
      <c r="D775" s="36"/>
      <c r="F775" s="43"/>
      <c r="L775" s="43"/>
      <c r="Q775" s="43"/>
      <c r="V775" s="43"/>
      <c r="AD775" s="43"/>
      <c r="AG775" s="43"/>
      <c r="AL775" s="43"/>
      <c r="AQ775" s="43"/>
      <c r="AV775" s="43"/>
      <c r="BA775" s="43"/>
      <c r="BF775" s="43"/>
      <c r="BK775" s="43"/>
      <c r="BQ775" s="43"/>
      <c r="BV775" s="43"/>
      <c r="CC775" s="43"/>
    </row>
    <row r="776" spans="2:81" ht="15.75" customHeight="1">
      <c r="B776" s="36"/>
      <c r="D776" s="36"/>
      <c r="F776" s="43"/>
      <c r="L776" s="43"/>
      <c r="Q776" s="43"/>
      <c r="V776" s="43"/>
      <c r="AD776" s="43"/>
      <c r="AG776" s="43"/>
      <c r="AL776" s="43"/>
      <c r="AQ776" s="43"/>
      <c r="AV776" s="43"/>
      <c r="BA776" s="43"/>
      <c r="BF776" s="43"/>
      <c r="BK776" s="43"/>
      <c r="BQ776" s="43"/>
      <c r="BV776" s="43"/>
      <c r="CC776" s="43"/>
    </row>
    <row r="777" spans="2:81" ht="15.75" customHeight="1">
      <c r="B777" s="36"/>
      <c r="D777" s="36"/>
      <c r="F777" s="43"/>
      <c r="L777" s="43"/>
      <c r="Q777" s="43"/>
      <c r="V777" s="43"/>
      <c r="AD777" s="43"/>
      <c r="AG777" s="43"/>
      <c r="AL777" s="43"/>
      <c r="AQ777" s="43"/>
      <c r="AV777" s="43"/>
      <c r="BA777" s="43"/>
      <c r="BF777" s="43"/>
      <c r="BK777" s="43"/>
      <c r="BQ777" s="43"/>
      <c r="BV777" s="43"/>
      <c r="CC777" s="43"/>
    </row>
    <row r="778" spans="2:81" ht="15.75" customHeight="1">
      <c r="B778" s="36"/>
      <c r="D778" s="36"/>
      <c r="F778" s="43"/>
      <c r="L778" s="43"/>
      <c r="Q778" s="43"/>
      <c r="V778" s="43"/>
      <c r="AD778" s="43"/>
      <c r="AG778" s="43"/>
      <c r="AL778" s="43"/>
      <c r="AQ778" s="43"/>
      <c r="AV778" s="43"/>
      <c r="BA778" s="43"/>
      <c r="BF778" s="43"/>
      <c r="BK778" s="43"/>
      <c r="BQ778" s="43"/>
      <c r="BV778" s="43"/>
      <c r="CC778" s="43"/>
    </row>
    <row r="779" spans="2:81" ht="15.75" customHeight="1">
      <c r="B779" s="36"/>
      <c r="D779" s="36"/>
      <c r="F779" s="43"/>
      <c r="L779" s="43"/>
      <c r="Q779" s="43"/>
      <c r="V779" s="43"/>
      <c r="AD779" s="43"/>
      <c r="AG779" s="43"/>
      <c r="AL779" s="43"/>
      <c r="AQ779" s="43"/>
      <c r="AV779" s="43"/>
      <c r="BA779" s="43"/>
      <c r="BF779" s="43"/>
      <c r="BK779" s="43"/>
      <c r="BQ779" s="43"/>
      <c r="BV779" s="43"/>
      <c r="CC779" s="43"/>
    </row>
    <row r="780" spans="2:81" ht="15.75" customHeight="1">
      <c r="B780" s="36"/>
      <c r="D780" s="36"/>
      <c r="F780" s="43"/>
      <c r="L780" s="43"/>
      <c r="Q780" s="43"/>
      <c r="V780" s="43"/>
      <c r="AD780" s="43"/>
      <c r="AG780" s="43"/>
      <c r="AL780" s="43"/>
      <c r="AQ780" s="43"/>
      <c r="AV780" s="43"/>
      <c r="BA780" s="43"/>
      <c r="BF780" s="43"/>
      <c r="BK780" s="43"/>
      <c r="BQ780" s="43"/>
      <c r="BV780" s="43"/>
      <c r="CC780" s="43"/>
    </row>
    <row r="781" spans="2:81" ht="15.75" customHeight="1">
      <c r="B781" s="36"/>
      <c r="D781" s="36"/>
      <c r="F781" s="43"/>
      <c r="L781" s="43"/>
      <c r="Q781" s="43"/>
      <c r="V781" s="43"/>
      <c r="AD781" s="43"/>
      <c r="AG781" s="43"/>
      <c r="AL781" s="43"/>
      <c r="AQ781" s="43"/>
      <c r="AV781" s="43"/>
      <c r="BA781" s="43"/>
      <c r="BF781" s="43"/>
      <c r="BK781" s="43"/>
      <c r="BQ781" s="43"/>
      <c r="BV781" s="43"/>
      <c r="CC781" s="43"/>
    </row>
    <row r="782" spans="2:81" ht="15.75" customHeight="1">
      <c r="B782" s="36"/>
      <c r="D782" s="36"/>
      <c r="F782" s="43"/>
      <c r="L782" s="43"/>
      <c r="Q782" s="43"/>
      <c r="V782" s="43"/>
      <c r="AD782" s="43"/>
      <c r="AG782" s="43"/>
      <c r="AL782" s="43"/>
      <c r="AQ782" s="43"/>
      <c r="AV782" s="43"/>
      <c r="BA782" s="43"/>
      <c r="BF782" s="43"/>
      <c r="BK782" s="43"/>
      <c r="BQ782" s="43"/>
      <c r="BV782" s="43"/>
      <c r="CC782" s="43"/>
    </row>
    <row r="783" spans="2:81" ht="15.75" customHeight="1">
      <c r="B783" s="36"/>
      <c r="D783" s="36"/>
      <c r="F783" s="43"/>
      <c r="L783" s="43"/>
      <c r="Q783" s="43"/>
      <c r="V783" s="43"/>
      <c r="AD783" s="43"/>
      <c r="AG783" s="43"/>
      <c r="AL783" s="43"/>
      <c r="AQ783" s="43"/>
      <c r="AV783" s="43"/>
      <c r="BA783" s="43"/>
      <c r="BF783" s="43"/>
      <c r="BK783" s="43"/>
      <c r="BQ783" s="43"/>
      <c r="BV783" s="43"/>
      <c r="CC783" s="43"/>
    </row>
    <row r="784" spans="2:81" ht="15.75" customHeight="1">
      <c r="B784" s="36"/>
      <c r="D784" s="36"/>
      <c r="F784" s="43"/>
      <c r="L784" s="43"/>
      <c r="Q784" s="43"/>
      <c r="V784" s="43"/>
      <c r="AD784" s="43"/>
      <c r="AG784" s="43"/>
      <c r="AL784" s="43"/>
      <c r="AQ784" s="43"/>
      <c r="AV784" s="43"/>
      <c r="BA784" s="43"/>
      <c r="BF784" s="43"/>
      <c r="BK784" s="43"/>
      <c r="BQ784" s="43"/>
      <c r="BV784" s="43"/>
      <c r="CC784" s="43"/>
    </row>
    <row r="785" spans="2:81" ht="15.75" customHeight="1">
      <c r="B785" s="36"/>
      <c r="D785" s="36"/>
      <c r="F785" s="43"/>
      <c r="L785" s="43"/>
      <c r="Q785" s="43"/>
      <c r="V785" s="43"/>
      <c r="AD785" s="43"/>
      <c r="AG785" s="43"/>
      <c r="AL785" s="43"/>
      <c r="AQ785" s="43"/>
      <c r="AV785" s="43"/>
      <c r="BA785" s="43"/>
      <c r="BF785" s="43"/>
      <c r="BK785" s="43"/>
      <c r="BQ785" s="43"/>
      <c r="BV785" s="43"/>
      <c r="CC785" s="43"/>
    </row>
    <row r="786" spans="2:81" ht="15.75" customHeight="1">
      <c r="B786" s="36"/>
      <c r="D786" s="36"/>
      <c r="F786" s="43"/>
      <c r="L786" s="43"/>
      <c r="Q786" s="43"/>
      <c r="V786" s="43"/>
      <c r="AD786" s="43"/>
      <c r="AG786" s="43"/>
      <c r="AL786" s="43"/>
      <c r="AQ786" s="43"/>
      <c r="AV786" s="43"/>
      <c r="BA786" s="43"/>
      <c r="BF786" s="43"/>
      <c r="BK786" s="43"/>
      <c r="BQ786" s="43"/>
      <c r="BV786" s="43"/>
      <c r="CC786" s="43"/>
    </row>
    <row r="787" spans="2:81" ht="15.75" customHeight="1">
      <c r="B787" s="36"/>
      <c r="D787" s="36"/>
      <c r="F787" s="43"/>
      <c r="L787" s="43"/>
      <c r="Q787" s="43"/>
      <c r="V787" s="43"/>
      <c r="AD787" s="43"/>
      <c r="AG787" s="43"/>
      <c r="AL787" s="43"/>
      <c r="AQ787" s="43"/>
      <c r="AV787" s="43"/>
      <c r="BA787" s="43"/>
      <c r="BF787" s="43"/>
      <c r="BK787" s="43"/>
      <c r="BQ787" s="43"/>
      <c r="BV787" s="43"/>
      <c r="CC787" s="43"/>
    </row>
    <row r="788" spans="2:81" ht="15.75" customHeight="1">
      <c r="B788" s="36"/>
      <c r="D788" s="36"/>
      <c r="F788" s="43"/>
      <c r="L788" s="43"/>
      <c r="Q788" s="43"/>
      <c r="V788" s="43"/>
      <c r="AD788" s="43"/>
      <c r="AG788" s="43"/>
      <c r="AL788" s="43"/>
      <c r="AQ788" s="43"/>
      <c r="AV788" s="43"/>
      <c r="BA788" s="43"/>
      <c r="BF788" s="43"/>
      <c r="BK788" s="43"/>
      <c r="BQ788" s="43"/>
      <c r="BV788" s="43"/>
      <c r="CC788" s="43"/>
    </row>
    <row r="789" spans="2:81" ht="15.75" customHeight="1">
      <c r="B789" s="36"/>
      <c r="D789" s="36"/>
      <c r="F789" s="43"/>
      <c r="L789" s="43"/>
      <c r="Q789" s="43"/>
      <c r="V789" s="43"/>
      <c r="AD789" s="43"/>
      <c r="AG789" s="43"/>
      <c r="AL789" s="43"/>
      <c r="AQ789" s="43"/>
      <c r="AV789" s="43"/>
      <c r="BA789" s="43"/>
      <c r="BF789" s="43"/>
      <c r="BK789" s="43"/>
      <c r="BQ789" s="43"/>
      <c r="BV789" s="43"/>
      <c r="CC789" s="43"/>
    </row>
    <row r="790" spans="2:81" ht="15.75" customHeight="1">
      <c r="B790" s="36"/>
      <c r="D790" s="36"/>
      <c r="F790" s="43"/>
      <c r="L790" s="43"/>
      <c r="Q790" s="43"/>
      <c r="V790" s="43"/>
      <c r="AD790" s="43"/>
      <c r="AG790" s="43"/>
      <c r="AL790" s="43"/>
      <c r="AQ790" s="43"/>
      <c r="AV790" s="43"/>
      <c r="BA790" s="43"/>
      <c r="BF790" s="43"/>
      <c r="BK790" s="43"/>
      <c r="BQ790" s="43"/>
      <c r="BV790" s="43"/>
      <c r="CC790" s="43"/>
    </row>
    <row r="791" spans="2:81" ht="15.75" customHeight="1">
      <c r="B791" s="36"/>
      <c r="D791" s="36"/>
      <c r="F791" s="43"/>
      <c r="L791" s="43"/>
      <c r="Q791" s="43"/>
      <c r="V791" s="43"/>
      <c r="AD791" s="43"/>
      <c r="AG791" s="43"/>
      <c r="AL791" s="43"/>
      <c r="AQ791" s="43"/>
      <c r="AV791" s="43"/>
      <c r="BA791" s="43"/>
      <c r="BF791" s="43"/>
      <c r="BK791" s="43"/>
      <c r="BQ791" s="43"/>
      <c r="BV791" s="43"/>
      <c r="CC791" s="43"/>
    </row>
    <row r="792" spans="2:81" ht="15.75" customHeight="1">
      <c r="B792" s="36"/>
      <c r="D792" s="36"/>
      <c r="F792" s="43"/>
      <c r="L792" s="43"/>
      <c r="Q792" s="43"/>
      <c r="V792" s="43"/>
      <c r="AD792" s="43"/>
      <c r="AG792" s="43"/>
      <c r="AL792" s="43"/>
      <c r="AQ792" s="43"/>
      <c r="AV792" s="43"/>
      <c r="BA792" s="43"/>
      <c r="BF792" s="43"/>
      <c r="BK792" s="43"/>
      <c r="BQ792" s="43"/>
      <c r="BV792" s="43"/>
      <c r="CC792" s="43"/>
    </row>
    <row r="793" spans="2:81" ht="15.75" customHeight="1">
      <c r="B793" s="36"/>
      <c r="D793" s="36"/>
      <c r="F793" s="43"/>
      <c r="L793" s="43"/>
      <c r="Q793" s="43"/>
      <c r="V793" s="43"/>
      <c r="AD793" s="43"/>
      <c r="AG793" s="43"/>
      <c r="AL793" s="43"/>
      <c r="AQ793" s="43"/>
      <c r="AV793" s="43"/>
      <c r="BA793" s="43"/>
      <c r="BF793" s="43"/>
      <c r="BK793" s="43"/>
      <c r="BQ793" s="43"/>
      <c r="BV793" s="43"/>
      <c r="CC793" s="43"/>
    </row>
    <row r="794" spans="2:81" ht="15.75" customHeight="1">
      <c r="B794" s="36"/>
      <c r="D794" s="36"/>
      <c r="F794" s="43"/>
      <c r="L794" s="43"/>
      <c r="Q794" s="43"/>
      <c r="V794" s="43"/>
      <c r="AD794" s="43"/>
      <c r="AG794" s="43"/>
      <c r="AL794" s="43"/>
      <c r="AQ794" s="43"/>
      <c r="AV794" s="43"/>
      <c r="BA794" s="43"/>
      <c r="BF794" s="43"/>
      <c r="BK794" s="43"/>
      <c r="BQ794" s="43"/>
      <c r="BV794" s="43"/>
      <c r="CC794" s="43"/>
    </row>
    <row r="795" spans="2:81" ht="15.75" customHeight="1">
      <c r="B795" s="36"/>
      <c r="D795" s="36"/>
      <c r="F795" s="43"/>
      <c r="L795" s="43"/>
      <c r="Q795" s="43"/>
      <c r="V795" s="43"/>
      <c r="AD795" s="43"/>
      <c r="AG795" s="43"/>
      <c r="AL795" s="43"/>
      <c r="AQ795" s="43"/>
      <c r="AV795" s="43"/>
      <c r="BA795" s="43"/>
      <c r="BF795" s="43"/>
      <c r="BK795" s="43"/>
      <c r="BQ795" s="43"/>
      <c r="BV795" s="43"/>
      <c r="CC795" s="43"/>
    </row>
    <row r="796" spans="2:81" ht="15.75" customHeight="1">
      <c r="B796" s="36"/>
      <c r="D796" s="36"/>
      <c r="F796" s="43"/>
      <c r="L796" s="43"/>
      <c r="Q796" s="43"/>
      <c r="V796" s="43"/>
      <c r="AD796" s="43"/>
      <c r="AG796" s="43"/>
      <c r="AL796" s="43"/>
      <c r="AQ796" s="43"/>
      <c r="AV796" s="43"/>
      <c r="BA796" s="43"/>
      <c r="BF796" s="43"/>
      <c r="BK796" s="43"/>
      <c r="BQ796" s="43"/>
      <c r="BV796" s="43"/>
      <c r="CC796" s="43"/>
    </row>
    <row r="797" spans="2:81" ht="15.75" customHeight="1">
      <c r="B797" s="36"/>
      <c r="D797" s="36"/>
      <c r="F797" s="43"/>
      <c r="L797" s="43"/>
      <c r="Q797" s="43"/>
      <c r="V797" s="43"/>
      <c r="AD797" s="43"/>
      <c r="AG797" s="43"/>
      <c r="AL797" s="43"/>
      <c r="AQ797" s="43"/>
      <c r="AV797" s="43"/>
      <c r="BA797" s="43"/>
      <c r="BF797" s="43"/>
      <c r="BK797" s="43"/>
      <c r="BQ797" s="43"/>
      <c r="BV797" s="43"/>
      <c r="CC797" s="43"/>
    </row>
    <row r="798" spans="2:81" ht="15.75" customHeight="1">
      <c r="B798" s="36"/>
      <c r="D798" s="36"/>
      <c r="F798" s="43"/>
      <c r="L798" s="43"/>
      <c r="Q798" s="43"/>
      <c r="V798" s="43"/>
      <c r="AD798" s="43"/>
      <c r="AG798" s="43"/>
      <c r="AL798" s="43"/>
      <c r="AQ798" s="43"/>
      <c r="AV798" s="43"/>
      <c r="BA798" s="43"/>
      <c r="BF798" s="43"/>
      <c r="BK798" s="43"/>
      <c r="BQ798" s="43"/>
      <c r="BV798" s="43"/>
      <c r="CC798" s="43"/>
    </row>
    <row r="799" spans="2:81" ht="15.75" customHeight="1">
      <c r="B799" s="36"/>
      <c r="D799" s="36"/>
      <c r="F799" s="43"/>
      <c r="L799" s="43"/>
      <c r="Q799" s="43"/>
      <c r="V799" s="43"/>
      <c r="AD799" s="43"/>
      <c r="AG799" s="43"/>
      <c r="AL799" s="43"/>
      <c r="AQ799" s="43"/>
      <c r="AV799" s="43"/>
      <c r="BA799" s="43"/>
      <c r="BF799" s="43"/>
      <c r="BK799" s="43"/>
      <c r="BQ799" s="43"/>
      <c r="BV799" s="43"/>
      <c r="CC799" s="43"/>
    </row>
    <row r="800" spans="2:81" ht="15.75" customHeight="1">
      <c r="B800" s="36"/>
      <c r="D800" s="36"/>
      <c r="F800" s="43"/>
      <c r="L800" s="43"/>
      <c r="Q800" s="43"/>
      <c r="V800" s="43"/>
      <c r="AD800" s="43"/>
      <c r="AG800" s="43"/>
      <c r="AL800" s="43"/>
      <c r="AQ800" s="43"/>
      <c r="AV800" s="43"/>
      <c r="BA800" s="43"/>
      <c r="BF800" s="43"/>
      <c r="BK800" s="43"/>
      <c r="BQ800" s="43"/>
      <c r="BV800" s="43"/>
      <c r="CC800" s="43"/>
    </row>
    <row r="801" spans="2:81" ht="15.75" customHeight="1">
      <c r="B801" s="36"/>
      <c r="D801" s="36"/>
      <c r="F801" s="43"/>
      <c r="L801" s="43"/>
      <c r="Q801" s="43"/>
      <c r="V801" s="43"/>
      <c r="AD801" s="43"/>
      <c r="AG801" s="43"/>
      <c r="AL801" s="43"/>
      <c r="AQ801" s="43"/>
      <c r="AV801" s="43"/>
      <c r="BA801" s="43"/>
      <c r="BF801" s="43"/>
      <c r="BK801" s="43"/>
      <c r="BQ801" s="43"/>
      <c r="BV801" s="43"/>
      <c r="CC801" s="43"/>
    </row>
    <row r="802" spans="2:81" ht="15.75" customHeight="1">
      <c r="B802" s="36"/>
      <c r="D802" s="36"/>
      <c r="F802" s="43"/>
      <c r="L802" s="43"/>
      <c r="Q802" s="43"/>
      <c r="V802" s="43"/>
      <c r="AD802" s="43"/>
      <c r="AG802" s="43"/>
      <c r="AL802" s="43"/>
      <c r="AQ802" s="43"/>
      <c r="AV802" s="43"/>
      <c r="BA802" s="43"/>
      <c r="BF802" s="43"/>
      <c r="BK802" s="43"/>
      <c r="BQ802" s="43"/>
      <c r="BV802" s="43"/>
      <c r="CC802" s="43"/>
    </row>
    <row r="803" spans="2:81" ht="15.75" customHeight="1">
      <c r="B803" s="36"/>
      <c r="D803" s="36"/>
      <c r="F803" s="43"/>
      <c r="L803" s="43"/>
      <c r="Q803" s="43"/>
      <c r="V803" s="43"/>
      <c r="AD803" s="43"/>
      <c r="AG803" s="43"/>
      <c r="AL803" s="43"/>
      <c r="AQ803" s="43"/>
      <c r="AV803" s="43"/>
      <c r="BA803" s="43"/>
      <c r="BF803" s="43"/>
      <c r="BK803" s="43"/>
      <c r="BQ803" s="43"/>
      <c r="BV803" s="43"/>
      <c r="CC803" s="43"/>
    </row>
    <row r="804" spans="2:81" ht="15.75" customHeight="1">
      <c r="B804" s="36"/>
      <c r="D804" s="36"/>
      <c r="F804" s="43"/>
      <c r="L804" s="43"/>
      <c r="Q804" s="43"/>
      <c r="V804" s="43"/>
      <c r="AD804" s="43"/>
      <c r="AG804" s="43"/>
      <c r="AL804" s="43"/>
      <c r="AQ804" s="43"/>
      <c r="AV804" s="43"/>
      <c r="BA804" s="43"/>
      <c r="BF804" s="43"/>
      <c r="BK804" s="43"/>
      <c r="BQ804" s="43"/>
      <c r="BV804" s="43"/>
      <c r="CC804" s="43"/>
    </row>
    <row r="805" spans="2:81" ht="15.75" customHeight="1">
      <c r="B805" s="36"/>
      <c r="D805" s="36"/>
      <c r="F805" s="43"/>
      <c r="L805" s="43"/>
      <c r="Q805" s="43"/>
      <c r="V805" s="43"/>
      <c r="AD805" s="43"/>
      <c r="AG805" s="43"/>
      <c r="AL805" s="43"/>
      <c r="AQ805" s="43"/>
      <c r="AV805" s="43"/>
      <c r="BA805" s="43"/>
      <c r="BF805" s="43"/>
      <c r="BK805" s="43"/>
      <c r="BQ805" s="43"/>
      <c r="BV805" s="43"/>
      <c r="CC805" s="43"/>
    </row>
    <row r="806" spans="2:81" ht="15.75" customHeight="1">
      <c r="B806" s="36"/>
      <c r="D806" s="36"/>
      <c r="F806" s="43"/>
      <c r="L806" s="43"/>
      <c r="Q806" s="43"/>
      <c r="V806" s="43"/>
      <c r="AD806" s="43"/>
      <c r="AG806" s="43"/>
      <c r="AL806" s="43"/>
      <c r="AQ806" s="43"/>
      <c r="AV806" s="43"/>
      <c r="BA806" s="43"/>
      <c r="BF806" s="43"/>
      <c r="BK806" s="43"/>
      <c r="BQ806" s="43"/>
      <c r="BV806" s="43"/>
      <c r="CC806" s="43"/>
    </row>
    <row r="807" spans="2:81" ht="15.75" customHeight="1">
      <c r="B807" s="36"/>
      <c r="D807" s="36"/>
      <c r="F807" s="43"/>
      <c r="L807" s="43"/>
      <c r="Q807" s="43"/>
      <c r="V807" s="43"/>
      <c r="AD807" s="43"/>
      <c r="AG807" s="43"/>
      <c r="AL807" s="43"/>
      <c r="AQ807" s="43"/>
      <c r="AV807" s="43"/>
      <c r="BA807" s="43"/>
      <c r="BF807" s="43"/>
      <c r="BK807" s="43"/>
      <c r="BQ807" s="43"/>
      <c r="BV807" s="43"/>
      <c r="CC807" s="43"/>
    </row>
    <row r="808" spans="2:81" ht="15.75" customHeight="1">
      <c r="B808" s="36"/>
      <c r="D808" s="36"/>
      <c r="F808" s="43"/>
      <c r="L808" s="43"/>
      <c r="Q808" s="43"/>
      <c r="V808" s="43"/>
      <c r="AD808" s="43"/>
      <c r="AG808" s="43"/>
      <c r="AL808" s="43"/>
      <c r="AQ808" s="43"/>
      <c r="AV808" s="43"/>
      <c r="BA808" s="43"/>
      <c r="BF808" s="43"/>
      <c r="BK808" s="43"/>
      <c r="BQ808" s="43"/>
      <c r="BV808" s="43"/>
      <c r="CC808" s="43"/>
    </row>
    <row r="809" spans="2:81" ht="15.75" customHeight="1">
      <c r="B809" s="36"/>
      <c r="D809" s="36"/>
      <c r="F809" s="43"/>
      <c r="L809" s="43"/>
      <c r="Q809" s="43"/>
      <c r="V809" s="43"/>
      <c r="AD809" s="43"/>
      <c r="AG809" s="43"/>
      <c r="AL809" s="43"/>
      <c r="AQ809" s="43"/>
      <c r="AV809" s="43"/>
      <c r="BA809" s="43"/>
      <c r="BF809" s="43"/>
      <c r="BK809" s="43"/>
      <c r="BQ809" s="43"/>
      <c r="BV809" s="43"/>
      <c r="CC809" s="43"/>
    </row>
    <row r="810" spans="2:81" ht="15.75" customHeight="1">
      <c r="B810" s="36"/>
      <c r="D810" s="36"/>
      <c r="F810" s="43"/>
      <c r="L810" s="43"/>
      <c r="Q810" s="43"/>
      <c r="V810" s="43"/>
      <c r="AD810" s="43"/>
      <c r="AG810" s="43"/>
      <c r="AL810" s="43"/>
      <c r="AQ810" s="43"/>
      <c r="AV810" s="43"/>
      <c r="BA810" s="43"/>
      <c r="BF810" s="43"/>
      <c r="BK810" s="43"/>
      <c r="BQ810" s="43"/>
      <c r="BV810" s="43"/>
      <c r="CC810" s="43"/>
    </row>
    <row r="811" spans="2:81" ht="15.75" customHeight="1">
      <c r="B811" s="36"/>
      <c r="D811" s="36"/>
      <c r="F811" s="43"/>
      <c r="L811" s="43"/>
      <c r="Q811" s="43"/>
      <c r="V811" s="43"/>
      <c r="AD811" s="43"/>
      <c r="AG811" s="43"/>
      <c r="AL811" s="43"/>
      <c r="AQ811" s="43"/>
      <c r="AV811" s="43"/>
      <c r="BA811" s="43"/>
      <c r="BF811" s="43"/>
      <c r="BK811" s="43"/>
      <c r="BQ811" s="43"/>
      <c r="BV811" s="43"/>
      <c r="CC811" s="43"/>
    </row>
    <row r="812" spans="2:81" ht="15.75" customHeight="1">
      <c r="B812" s="36"/>
      <c r="D812" s="36"/>
      <c r="F812" s="43"/>
      <c r="L812" s="43"/>
      <c r="Q812" s="43"/>
      <c r="V812" s="43"/>
      <c r="AD812" s="43"/>
      <c r="AG812" s="43"/>
      <c r="AL812" s="43"/>
      <c r="AQ812" s="43"/>
      <c r="AV812" s="43"/>
      <c r="BA812" s="43"/>
      <c r="BF812" s="43"/>
      <c r="BK812" s="43"/>
      <c r="BQ812" s="43"/>
      <c r="BV812" s="43"/>
      <c r="CC812" s="43"/>
    </row>
    <row r="813" spans="2:81" ht="15.75" customHeight="1">
      <c r="B813" s="36"/>
      <c r="D813" s="36"/>
      <c r="F813" s="43"/>
      <c r="L813" s="43"/>
      <c r="Q813" s="43"/>
      <c r="V813" s="43"/>
      <c r="AD813" s="43"/>
      <c r="AG813" s="43"/>
      <c r="AL813" s="43"/>
      <c r="AQ813" s="43"/>
      <c r="AV813" s="43"/>
      <c r="BA813" s="43"/>
      <c r="BF813" s="43"/>
      <c r="BK813" s="43"/>
      <c r="BQ813" s="43"/>
      <c r="BV813" s="43"/>
      <c r="CC813" s="43"/>
    </row>
    <row r="814" spans="2:81" ht="15.75" customHeight="1">
      <c r="B814" s="36"/>
      <c r="D814" s="36"/>
      <c r="F814" s="43"/>
      <c r="L814" s="43"/>
      <c r="Q814" s="43"/>
      <c r="V814" s="43"/>
      <c r="AD814" s="43"/>
      <c r="AG814" s="43"/>
      <c r="AL814" s="43"/>
      <c r="AQ814" s="43"/>
      <c r="AV814" s="43"/>
      <c r="BA814" s="43"/>
      <c r="BF814" s="43"/>
      <c r="BK814" s="43"/>
      <c r="BQ814" s="43"/>
      <c r="BV814" s="43"/>
      <c r="CC814" s="43"/>
    </row>
    <row r="815" spans="2:81" ht="15.75" customHeight="1">
      <c r="B815" s="36"/>
      <c r="D815" s="36"/>
      <c r="F815" s="43"/>
      <c r="L815" s="43"/>
      <c r="Q815" s="43"/>
      <c r="V815" s="43"/>
      <c r="AD815" s="43"/>
      <c r="AG815" s="43"/>
      <c r="AL815" s="43"/>
      <c r="AQ815" s="43"/>
      <c r="AV815" s="43"/>
      <c r="BA815" s="43"/>
      <c r="BF815" s="43"/>
      <c r="BK815" s="43"/>
      <c r="BQ815" s="43"/>
      <c r="BV815" s="43"/>
      <c r="CC815" s="43"/>
    </row>
    <row r="816" spans="2:81" ht="15.75" customHeight="1">
      <c r="B816" s="36"/>
      <c r="D816" s="36"/>
      <c r="F816" s="43"/>
      <c r="L816" s="43"/>
      <c r="Q816" s="43"/>
      <c r="V816" s="43"/>
      <c r="AD816" s="43"/>
      <c r="AG816" s="43"/>
      <c r="AL816" s="43"/>
      <c r="AQ816" s="43"/>
      <c r="AV816" s="43"/>
      <c r="BA816" s="43"/>
      <c r="BF816" s="43"/>
      <c r="BK816" s="43"/>
      <c r="BQ816" s="43"/>
      <c r="BV816" s="43"/>
      <c r="CC816" s="43"/>
    </row>
    <row r="817" spans="2:81" ht="15.75" customHeight="1">
      <c r="B817" s="36"/>
      <c r="D817" s="36"/>
      <c r="F817" s="43"/>
      <c r="L817" s="43"/>
      <c r="Q817" s="43"/>
      <c r="V817" s="43"/>
      <c r="AD817" s="43"/>
      <c r="AG817" s="43"/>
      <c r="AL817" s="43"/>
      <c r="AQ817" s="43"/>
      <c r="AV817" s="43"/>
      <c r="BA817" s="43"/>
      <c r="BF817" s="43"/>
      <c r="BK817" s="43"/>
      <c r="BQ817" s="43"/>
      <c r="BV817" s="43"/>
      <c r="CC817" s="43"/>
    </row>
    <row r="818" spans="2:81" ht="15.75" customHeight="1">
      <c r="B818" s="36"/>
      <c r="D818" s="36"/>
      <c r="F818" s="43"/>
      <c r="L818" s="43"/>
      <c r="Q818" s="43"/>
      <c r="V818" s="43"/>
      <c r="AD818" s="43"/>
      <c r="AG818" s="43"/>
      <c r="AL818" s="43"/>
      <c r="AQ818" s="43"/>
      <c r="AV818" s="43"/>
      <c r="BA818" s="43"/>
      <c r="BF818" s="43"/>
      <c r="BK818" s="43"/>
      <c r="BQ818" s="43"/>
      <c r="BV818" s="43"/>
      <c r="CC818" s="43"/>
    </row>
    <row r="819" spans="2:81" ht="15.75" customHeight="1">
      <c r="B819" s="36"/>
      <c r="D819" s="36"/>
      <c r="F819" s="43"/>
      <c r="L819" s="43"/>
      <c r="Q819" s="43"/>
      <c r="V819" s="43"/>
      <c r="AD819" s="43"/>
      <c r="AG819" s="43"/>
      <c r="AL819" s="43"/>
      <c r="AQ819" s="43"/>
      <c r="AV819" s="43"/>
      <c r="BA819" s="43"/>
      <c r="BF819" s="43"/>
      <c r="BK819" s="43"/>
      <c r="BQ819" s="43"/>
      <c r="BV819" s="43"/>
      <c r="CC819" s="43"/>
    </row>
    <row r="820" spans="2:81" ht="15.75" customHeight="1">
      <c r="B820" s="36"/>
      <c r="D820" s="36"/>
      <c r="F820" s="43"/>
      <c r="L820" s="43"/>
      <c r="Q820" s="43"/>
      <c r="V820" s="43"/>
      <c r="AD820" s="43"/>
      <c r="AG820" s="43"/>
      <c r="AL820" s="43"/>
      <c r="AQ820" s="43"/>
      <c r="AV820" s="43"/>
      <c r="BA820" s="43"/>
      <c r="BF820" s="43"/>
      <c r="BK820" s="43"/>
      <c r="BQ820" s="43"/>
      <c r="BV820" s="43"/>
      <c r="CC820" s="43"/>
    </row>
    <row r="821" spans="2:81" ht="15.75" customHeight="1">
      <c r="B821" s="36"/>
      <c r="D821" s="36"/>
      <c r="F821" s="43"/>
      <c r="L821" s="43"/>
      <c r="Q821" s="43"/>
      <c r="V821" s="43"/>
      <c r="AD821" s="43"/>
      <c r="AG821" s="43"/>
      <c r="AL821" s="43"/>
      <c r="AQ821" s="43"/>
      <c r="AV821" s="43"/>
      <c r="BA821" s="43"/>
      <c r="BF821" s="43"/>
      <c r="BK821" s="43"/>
      <c r="BQ821" s="43"/>
      <c r="BV821" s="43"/>
      <c r="CC821" s="43"/>
    </row>
    <row r="822" spans="2:81" ht="15.75" customHeight="1">
      <c r="B822" s="36"/>
      <c r="D822" s="36"/>
      <c r="F822" s="43"/>
      <c r="L822" s="43"/>
      <c r="Q822" s="43"/>
      <c r="V822" s="43"/>
      <c r="AD822" s="43"/>
      <c r="AG822" s="43"/>
      <c r="AL822" s="43"/>
      <c r="AQ822" s="43"/>
      <c r="AV822" s="43"/>
      <c r="BA822" s="43"/>
      <c r="BF822" s="43"/>
      <c r="BK822" s="43"/>
      <c r="BQ822" s="43"/>
      <c r="BV822" s="43"/>
      <c r="CC822" s="43"/>
    </row>
    <row r="823" spans="2:81" ht="15.75" customHeight="1">
      <c r="B823" s="36"/>
      <c r="D823" s="36"/>
      <c r="F823" s="43"/>
      <c r="L823" s="43"/>
      <c r="Q823" s="43"/>
      <c r="V823" s="43"/>
      <c r="AD823" s="43"/>
      <c r="AG823" s="43"/>
      <c r="AL823" s="43"/>
      <c r="AQ823" s="43"/>
      <c r="AV823" s="43"/>
      <c r="BA823" s="43"/>
      <c r="BF823" s="43"/>
      <c r="BK823" s="43"/>
      <c r="BQ823" s="43"/>
      <c r="BV823" s="43"/>
      <c r="CC823" s="43"/>
    </row>
    <row r="824" spans="2:81" ht="15.75" customHeight="1">
      <c r="B824" s="36"/>
      <c r="D824" s="36"/>
      <c r="F824" s="43"/>
      <c r="L824" s="43"/>
      <c r="Q824" s="43"/>
      <c r="V824" s="43"/>
      <c r="AD824" s="43"/>
      <c r="AG824" s="43"/>
      <c r="AL824" s="43"/>
      <c r="AQ824" s="43"/>
      <c r="AV824" s="43"/>
      <c r="BA824" s="43"/>
      <c r="BF824" s="43"/>
      <c r="BK824" s="43"/>
      <c r="BQ824" s="43"/>
      <c r="BV824" s="43"/>
      <c r="CC824" s="43"/>
    </row>
    <row r="825" spans="2:81" ht="15.75" customHeight="1">
      <c r="B825" s="36"/>
      <c r="D825" s="36"/>
      <c r="F825" s="43"/>
      <c r="L825" s="43"/>
      <c r="Q825" s="43"/>
      <c r="V825" s="43"/>
      <c r="AD825" s="43"/>
      <c r="AG825" s="43"/>
      <c r="AL825" s="43"/>
      <c r="AQ825" s="43"/>
      <c r="AV825" s="43"/>
      <c r="BA825" s="43"/>
      <c r="BF825" s="43"/>
      <c r="BK825" s="43"/>
      <c r="BQ825" s="43"/>
      <c r="BV825" s="43"/>
      <c r="CC825" s="43"/>
    </row>
    <row r="826" spans="2:81" ht="15.75" customHeight="1">
      <c r="B826" s="36"/>
      <c r="D826" s="36"/>
      <c r="F826" s="43"/>
      <c r="L826" s="43"/>
      <c r="Q826" s="43"/>
      <c r="V826" s="43"/>
      <c r="AD826" s="43"/>
      <c r="AG826" s="43"/>
      <c r="AL826" s="43"/>
      <c r="AQ826" s="43"/>
      <c r="AV826" s="43"/>
      <c r="BA826" s="43"/>
      <c r="BF826" s="43"/>
      <c r="BK826" s="43"/>
      <c r="BQ826" s="43"/>
      <c r="BV826" s="43"/>
      <c r="CC826" s="43"/>
    </row>
    <row r="827" spans="2:81" ht="15.75" customHeight="1">
      <c r="B827" s="36"/>
      <c r="D827" s="36"/>
      <c r="F827" s="43"/>
      <c r="L827" s="43"/>
      <c r="Q827" s="43"/>
      <c r="V827" s="43"/>
      <c r="AD827" s="43"/>
      <c r="AG827" s="43"/>
      <c r="AL827" s="43"/>
      <c r="AQ827" s="43"/>
      <c r="AV827" s="43"/>
      <c r="BA827" s="43"/>
      <c r="BF827" s="43"/>
      <c r="BK827" s="43"/>
      <c r="BQ827" s="43"/>
      <c r="BV827" s="43"/>
      <c r="CC827" s="43"/>
    </row>
    <row r="828" spans="2:81" ht="15.75" customHeight="1">
      <c r="B828" s="36"/>
      <c r="D828" s="36"/>
      <c r="F828" s="43"/>
      <c r="L828" s="43"/>
      <c r="Q828" s="43"/>
      <c r="V828" s="43"/>
      <c r="AD828" s="43"/>
      <c r="AG828" s="43"/>
      <c r="AL828" s="43"/>
      <c r="AQ828" s="43"/>
      <c r="AV828" s="43"/>
      <c r="BA828" s="43"/>
      <c r="BF828" s="43"/>
      <c r="BK828" s="43"/>
      <c r="BQ828" s="43"/>
      <c r="BV828" s="43"/>
      <c r="CC828" s="43"/>
    </row>
    <row r="829" spans="2:81" ht="15.75" customHeight="1">
      <c r="B829" s="36"/>
      <c r="D829" s="36"/>
      <c r="F829" s="43"/>
      <c r="L829" s="43"/>
      <c r="Q829" s="43"/>
      <c r="V829" s="43"/>
      <c r="AD829" s="43"/>
      <c r="AG829" s="43"/>
      <c r="AL829" s="43"/>
      <c r="AQ829" s="43"/>
      <c r="AV829" s="43"/>
      <c r="BA829" s="43"/>
      <c r="BF829" s="43"/>
      <c r="BK829" s="43"/>
      <c r="BQ829" s="43"/>
      <c r="BV829" s="43"/>
      <c r="CC829" s="43"/>
    </row>
    <row r="830" spans="2:81" ht="15.75" customHeight="1">
      <c r="B830" s="36"/>
      <c r="D830" s="36"/>
      <c r="F830" s="43"/>
      <c r="L830" s="43"/>
      <c r="Q830" s="43"/>
      <c r="V830" s="43"/>
      <c r="AD830" s="43"/>
      <c r="AG830" s="43"/>
      <c r="AL830" s="43"/>
      <c r="AQ830" s="43"/>
      <c r="AV830" s="43"/>
      <c r="BA830" s="43"/>
      <c r="BF830" s="43"/>
      <c r="BK830" s="43"/>
      <c r="BQ830" s="43"/>
      <c r="BV830" s="43"/>
      <c r="CC830" s="43"/>
    </row>
    <row r="831" spans="2:81" ht="15.75" customHeight="1">
      <c r="B831" s="36"/>
      <c r="D831" s="36"/>
      <c r="F831" s="43"/>
      <c r="L831" s="43"/>
      <c r="Q831" s="43"/>
      <c r="V831" s="43"/>
      <c r="AD831" s="43"/>
      <c r="AG831" s="43"/>
      <c r="AL831" s="43"/>
      <c r="AQ831" s="43"/>
      <c r="AV831" s="43"/>
      <c r="BA831" s="43"/>
      <c r="BF831" s="43"/>
      <c r="BK831" s="43"/>
      <c r="BQ831" s="43"/>
      <c r="BV831" s="43"/>
      <c r="CC831" s="43"/>
    </row>
    <row r="832" spans="2:81" ht="15.75" customHeight="1">
      <c r="B832" s="36"/>
      <c r="D832" s="36"/>
      <c r="F832" s="43"/>
      <c r="L832" s="43"/>
      <c r="Q832" s="43"/>
      <c r="V832" s="43"/>
      <c r="AD832" s="43"/>
      <c r="AG832" s="43"/>
      <c r="AL832" s="43"/>
      <c r="AQ832" s="43"/>
      <c r="AV832" s="43"/>
      <c r="BA832" s="43"/>
      <c r="BF832" s="43"/>
      <c r="BK832" s="43"/>
      <c r="BQ832" s="43"/>
      <c r="BV832" s="43"/>
      <c r="CC832" s="43"/>
    </row>
    <row r="833" spans="2:81" ht="15.75" customHeight="1">
      <c r="B833" s="36"/>
      <c r="D833" s="36"/>
      <c r="F833" s="43"/>
      <c r="L833" s="43"/>
      <c r="Q833" s="43"/>
      <c r="V833" s="43"/>
      <c r="AD833" s="43"/>
      <c r="AG833" s="43"/>
      <c r="AL833" s="43"/>
      <c r="AQ833" s="43"/>
      <c r="AV833" s="43"/>
      <c r="BA833" s="43"/>
      <c r="BF833" s="43"/>
      <c r="BK833" s="43"/>
      <c r="BQ833" s="43"/>
      <c r="BV833" s="43"/>
      <c r="CC833" s="43"/>
    </row>
    <row r="834" spans="2:81" ht="15.75" customHeight="1">
      <c r="B834" s="36"/>
      <c r="D834" s="36"/>
      <c r="F834" s="43"/>
      <c r="L834" s="43"/>
      <c r="Q834" s="43"/>
      <c r="V834" s="43"/>
      <c r="AD834" s="43"/>
      <c r="AG834" s="43"/>
      <c r="AL834" s="43"/>
      <c r="AQ834" s="43"/>
      <c r="AV834" s="43"/>
      <c r="BA834" s="43"/>
      <c r="BF834" s="43"/>
      <c r="BK834" s="43"/>
      <c r="BQ834" s="43"/>
      <c r="BV834" s="43"/>
      <c r="CC834" s="43"/>
    </row>
    <row r="835" spans="2:81" ht="15.75" customHeight="1">
      <c r="B835" s="36"/>
      <c r="D835" s="36"/>
      <c r="F835" s="43"/>
      <c r="L835" s="43"/>
      <c r="Q835" s="43"/>
      <c r="V835" s="43"/>
      <c r="AD835" s="43"/>
      <c r="AG835" s="43"/>
      <c r="AL835" s="43"/>
      <c r="AQ835" s="43"/>
      <c r="AV835" s="43"/>
      <c r="BA835" s="43"/>
      <c r="BF835" s="43"/>
      <c r="BK835" s="43"/>
      <c r="BQ835" s="43"/>
      <c r="BV835" s="43"/>
      <c r="CC835" s="43"/>
    </row>
    <row r="836" spans="2:81" ht="15.75" customHeight="1">
      <c r="B836" s="36"/>
      <c r="D836" s="36"/>
      <c r="F836" s="43"/>
      <c r="L836" s="43"/>
      <c r="Q836" s="43"/>
      <c r="V836" s="43"/>
      <c r="AD836" s="43"/>
      <c r="AG836" s="43"/>
      <c r="AL836" s="43"/>
      <c r="AQ836" s="43"/>
      <c r="AV836" s="43"/>
      <c r="BA836" s="43"/>
      <c r="BF836" s="43"/>
      <c r="BK836" s="43"/>
      <c r="BQ836" s="43"/>
      <c r="BV836" s="43"/>
      <c r="CC836" s="43"/>
    </row>
    <row r="837" spans="2:81" ht="15.75" customHeight="1">
      <c r="B837" s="36"/>
      <c r="D837" s="36"/>
      <c r="F837" s="43"/>
      <c r="L837" s="43"/>
      <c r="Q837" s="43"/>
      <c r="V837" s="43"/>
      <c r="AD837" s="43"/>
      <c r="AG837" s="43"/>
      <c r="AL837" s="43"/>
      <c r="AQ837" s="43"/>
      <c r="AV837" s="43"/>
      <c r="BA837" s="43"/>
      <c r="BF837" s="43"/>
      <c r="BK837" s="43"/>
      <c r="BQ837" s="43"/>
      <c r="BV837" s="43"/>
      <c r="CC837" s="43"/>
    </row>
    <row r="838" spans="2:81" ht="15.75" customHeight="1">
      <c r="B838" s="36"/>
      <c r="D838" s="36"/>
      <c r="F838" s="43"/>
      <c r="L838" s="43"/>
      <c r="Q838" s="43"/>
      <c r="V838" s="43"/>
      <c r="AD838" s="43"/>
      <c r="AG838" s="43"/>
      <c r="AL838" s="43"/>
      <c r="AQ838" s="43"/>
      <c r="AV838" s="43"/>
      <c r="BA838" s="43"/>
      <c r="BF838" s="43"/>
      <c r="BK838" s="43"/>
      <c r="BQ838" s="43"/>
      <c r="BV838" s="43"/>
      <c r="CC838" s="43"/>
    </row>
    <row r="839" spans="2:81" ht="15.75" customHeight="1">
      <c r="B839" s="36"/>
      <c r="D839" s="36"/>
      <c r="F839" s="43"/>
      <c r="L839" s="43"/>
      <c r="Q839" s="43"/>
      <c r="V839" s="43"/>
      <c r="AD839" s="43"/>
      <c r="AG839" s="43"/>
      <c r="AL839" s="43"/>
      <c r="AQ839" s="43"/>
      <c r="AV839" s="43"/>
      <c r="BA839" s="43"/>
      <c r="BF839" s="43"/>
      <c r="BK839" s="43"/>
      <c r="BQ839" s="43"/>
      <c r="BV839" s="43"/>
      <c r="CC839" s="43"/>
    </row>
    <row r="840" spans="2:81" ht="15.75" customHeight="1">
      <c r="B840" s="36"/>
      <c r="D840" s="36"/>
      <c r="F840" s="43"/>
      <c r="L840" s="43"/>
      <c r="Q840" s="43"/>
      <c r="V840" s="43"/>
      <c r="AD840" s="43"/>
      <c r="AG840" s="43"/>
      <c r="AL840" s="43"/>
      <c r="AQ840" s="43"/>
      <c r="AV840" s="43"/>
      <c r="BA840" s="43"/>
      <c r="BF840" s="43"/>
      <c r="BK840" s="43"/>
      <c r="BQ840" s="43"/>
      <c r="BV840" s="43"/>
      <c r="CC840" s="43"/>
    </row>
    <row r="841" spans="2:81" ht="15.75" customHeight="1">
      <c r="B841" s="36"/>
      <c r="D841" s="36"/>
      <c r="F841" s="43"/>
      <c r="L841" s="43"/>
      <c r="Q841" s="43"/>
      <c r="V841" s="43"/>
      <c r="AD841" s="43"/>
      <c r="AG841" s="43"/>
      <c r="AL841" s="43"/>
      <c r="AQ841" s="43"/>
      <c r="AV841" s="43"/>
      <c r="BA841" s="43"/>
      <c r="BF841" s="43"/>
      <c r="BK841" s="43"/>
      <c r="BQ841" s="43"/>
      <c r="BV841" s="43"/>
      <c r="CC841" s="43"/>
    </row>
    <row r="842" spans="2:81" ht="15.75" customHeight="1">
      <c r="B842" s="36"/>
      <c r="D842" s="36"/>
      <c r="F842" s="43"/>
      <c r="L842" s="43"/>
      <c r="Q842" s="43"/>
      <c r="V842" s="43"/>
      <c r="AD842" s="43"/>
      <c r="AG842" s="43"/>
      <c r="AL842" s="43"/>
      <c r="AQ842" s="43"/>
      <c r="AV842" s="43"/>
      <c r="BA842" s="43"/>
      <c r="BF842" s="43"/>
      <c r="BK842" s="43"/>
      <c r="BQ842" s="43"/>
      <c r="BV842" s="43"/>
      <c r="CC842" s="43"/>
    </row>
    <row r="843" spans="2:81" ht="15.75" customHeight="1">
      <c r="B843" s="36"/>
      <c r="D843" s="36"/>
      <c r="F843" s="43"/>
      <c r="L843" s="43"/>
      <c r="Q843" s="43"/>
      <c r="V843" s="43"/>
      <c r="AD843" s="43"/>
      <c r="AG843" s="43"/>
      <c r="AL843" s="43"/>
      <c r="AQ843" s="43"/>
      <c r="AV843" s="43"/>
      <c r="BA843" s="43"/>
      <c r="BF843" s="43"/>
      <c r="BK843" s="43"/>
      <c r="BQ843" s="43"/>
      <c r="BV843" s="43"/>
      <c r="CC843" s="43"/>
    </row>
    <row r="844" spans="2:81" ht="15.75" customHeight="1">
      <c r="B844" s="36"/>
      <c r="D844" s="36"/>
      <c r="F844" s="43"/>
      <c r="L844" s="43"/>
      <c r="Q844" s="43"/>
      <c r="V844" s="43"/>
      <c r="AD844" s="43"/>
      <c r="AG844" s="43"/>
      <c r="AL844" s="43"/>
      <c r="AQ844" s="43"/>
      <c r="AV844" s="43"/>
      <c r="BA844" s="43"/>
      <c r="BF844" s="43"/>
      <c r="BK844" s="43"/>
      <c r="BQ844" s="43"/>
      <c r="BV844" s="43"/>
      <c r="CC844" s="43"/>
    </row>
    <row r="845" spans="2:81" ht="15.75" customHeight="1">
      <c r="B845" s="36"/>
      <c r="D845" s="36"/>
      <c r="F845" s="43"/>
      <c r="L845" s="43"/>
      <c r="Q845" s="43"/>
      <c r="V845" s="43"/>
      <c r="AD845" s="43"/>
      <c r="AG845" s="43"/>
      <c r="AL845" s="43"/>
      <c r="AQ845" s="43"/>
      <c r="AV845" s="43"/>
      <c r="BA845" s="43"/>
      <c r="BF845" s="43"/>
      <c r="BK845" s="43"/>
      <c r="BQ845" s="43"/>
      <c r="BV845" s="43"/>
      <c r="CC845" s="43"/>
    </row>
    <row r="846" spans="2:81" ht="15.75" customHeight="1">
      <c r="B846" s="36"/>
      <c r="D846" s="36"/>
      <c r="F846" s="43"/>
      <c r="L846" s="43"/>
      <c r="Q846" s="43"/>
      <c r="V846" s="43"/>
      <c r="AD846" s="43"/>
      <c r="AG846" s="43"/>
      <c r="AL846" s="43"/>
      <c r="AQ846" s="43"/>
      <c r="AV846" s="43"/>
      <c r="BA846" s="43"/>
      <c r="BF846" s="43"/>
      <c r="BK846" s="43"/>
      <c r="BQ846" s="43"/>
      <c r="BV846" s="43"/>
      <c r="CC846" s="43"/>
    </row>
    <row r="847" spans="2:81" ht="15.75" customHeight="1">
      <c r="B847" s="36"/>
      <c r="D847" s="36"/>
      <c r="F847" s="43"/>
      <c r="L847" s="43"/>
      <c r="Q847" s="43"/>
      <c r="V847" s="43"/>
      <c r="AD847" s="43"/>
      <c r="AG847" s="43"/>
      <c r="AL847" s="43"/>
      <c r="AQ847" s="43"/>
      <c r="AV847" s="43"/>
      <c r="BA847" s="43"/>
      <c r="BF847" s="43"/>
      <c r="BK847" s="43"/>
      <c r="BQ847" s="43"/>
      <c r="BV847" s="43"/>
      <c r="CC847" s="43"/>
    </row>
    <row r="848" spans="2:81" ht="15.75" customHeight="1">
      <c r="B848" s="36"/>
      <c r="D848" s="36"/>
      <c r="F848" s="43"/>
      <c r="L848" s="43"/>
      <c r="Q848" s="43"/>
      <c r="V848" s="43"/>
      <c r="AD848" s="43"/>
      <c r="AG848" s="43"/>
      <c r="AL848" s="43"/>
      <c r="AQ848" s="43"/>
      <c r="AV848" s="43"/>
      <c r="BA848" s="43"/>
      <c r="BF848" s="43"/>
      <c r="BK848" s="43"/>
      <c r="BQ848" s="43"/>
      <c r="BV848" s="43"/>
      <c r="CC848" s="43"/>
    </row>
    <row r="849" spans="2:81" ht="15.75" customHeight="1">
      <c r="B849" s="36"/>
      <c r="D849" s="36"/>
      <c r="F849" s="43"/>
      <c r="L849" s="43"/>
      <c r="Q849" s="43"/>
      <c r="V849" s="43"/>
      <c r="AD849" s="43"/>
      <c r="AG849" s="43"/>
      <c r="AL849" s="43"/>
      <c r="AQ849" s="43"/>
      <c r="AV849" s="43"/>
      <c r="BA849" s="43"/>
      <c r="BF849" s="43"/>
      <c r="BK849" s="43"/>
      <c r="BQ849" s="43"/>
      <c r="BV849" s="43"/>
      <c r="CC849" s="43"/>
    </row>
    <row r="850" spans="2:81" ht="15.75" customHeight="1">
      <c r="B850" s="36"/>
      <c r="D850" s="36"/>
      <c r="F850" s="43"/>
      <c r="L850" s="43"/>
      <c r="Q850" s="43"/>
      <c r="V850" s="43"/>
      <c r="AD850" s="43"/>
      <c r="AG850" s="43"/>
      <c r="AL850" s="43"/>
      <c r="AQ850" s="43"/>
      <c r="AV850" s="43"/>
      <c r="BA850" s="43"/>
      <c r="BF850" s="43"/>
      <c r="BK850" s="43"/>
      <c r="BQ850" s="43"/>
      <c r="BV850" s="43"/>
      <c r="CC850" s="43"/>
    </row>
    <row r="851" spans="2:81" ht="15.75" customHeight="1">
      <c r="B851" s="36"/>
      <c r="D851" s="36"/>
      <c r="F851" s="43"/>
      <c r="L851" s="43"/>
      <c r="Q851" s="43"/>
      <c r="V851" s="43"/>
      <c r="AD851" s="43"/>
      <c r="AG851" s="43"/>
      <c r="AL851" s="43"/>
      <c r="AQ851" s="43"/>
      <c r="AV851" s="43"/>
      <c r="BA851" s="43"/>
      <c r="BF851" s="43"/>
      <c r="BK851" s="43"/>
      <c r="BQ851" s="43"/>
      <c r="BV851" s="43"/>
      <c r="CC851" s="43"/>
    </row>
    <row r="852" spans="2:81" ht="15.75" customHeight="1">
      <c r="B852" s="36"/>
      <c r="D852" s="36"/>
      <c r="F852" s="43"/>
      <c r="L852" s="43"/>
      <c r="Q852" s="43"/>
      <c r="V852" s="43"/>
      <c r="AD852" s="43"/>
      <c r="AG852" s="43"/>
      <c r="AL852" s="43"/>
      <c r="AQ852" s="43"/>
      <c r="AV852" s="43"/>
      <c r="BA852" s="43"/>
      <c r="BF852" s="43"/>
      <c r="BK852" s="43"/>
      <c r="BQ852" s="43"/>
      <c r="BV852" s="43"/>
      <c r="CC852" s="43"/>
    </row>
    <row r="853" spans="2:81" ht="15.75" customHeight="1">
      <c r="B853" s="36"/>
      <c r="D853" s="36"/>
      <c r="F853" s="43"/>
      <c r="L853" s="43"/>
      <c r="Q853" s="43"/>
      <c r="V853" s="43"/>
      <c r="AD853" s="43"/>
      <c r="AG853" s="43"/>
      <c r="AL853" s="43"/>
      <c r="AQ853" s="43"/>
      <c r="AV853" s="43"/>
      <c r="BA853" s="43"/>
      <c r="BF853" s="43"/>
      <c r="BK853" s="43"/>
      <c r="BQ853" s="43"/>
      <c r="BV853" s="43"/>
      <c r="CC853" s="43"/>
    </row>
    <row r="854" spans="2:81" ht="15.75" customHeight="1">
      <c r="B854" s="36"/>
      <c r="D854" s="36"/>
      <c r="F854" s="43"/>
      <c r="L854" s="43"/>
      <c r="Q854" s="43"/>
      <c r="V854" s="43"/>
      <c r="AD854" s="43"/>
      <c r="AG854" s="43"/>
      <c r="AL854" s="43"/>
      <c r="AQ854" s="43"/>
      <c r="AV854" s="43"/>
      <c r="BA854" s="43"/>
      <c r="BF854" s="43"/>
      <c r="BK854" s="43"/>
      <c r="BQ854" s="43"/>
      <c r="BV854" s="43"/>
      <c r="CC854" s="43"/>
    </row>
    <row r="855" spans="2:81" ht="15.75" customHeight="1">
      <c r="B855" s="36"/>
      <c r="D855" s="36"/>
      <c r="F855" s="43"/>
      <c r="L855" s="43"/>
      <c r="Q855" s="43"/>
      <c r="V855" s="43"/>
      <c r="AD855" s="43"/>
      <c r="AG855" s="43"/>
      <c r="AL855" s="43"/>
      <c r="AQ855" s="43"/>
      <c r="AV855" s="43"/>
      <c r="BA855" s="43"/>
      <c r="BF855" s="43"/>
      <c r="BK855" s="43"/>
      <c r="BQ855" s="43"/>
      <c r="BV855" s="43"/>
      <c r="CC855" s="43"/>
    </row>
    <row r="856" spans="2:81" ht="15.75" customHeight="1">
      <c r="B856" s="36"/>
      <c r="D856" s="36"/>
      <c r="F856" s="43"/>
      <c r="L856" s="43"/>
      <c r="Q856" s="43"/>
      <c r="V856" s="43"/>
      <c r="AD856" s="43"/>
      <c r="AG856" s="43"/>
      <c r="AL856" s="43"/>
      <c r="AQ856" s="43"/>
      <c r="AV856" s="43"/>
      <c r="BA856" s="43"/>
      <c r="BF856" s="43"/>
      <c r="BK856" s="43"/>
      <c r="BQ856" s="43"/>
      <c r="BV856" s="43"/>
      <c r="CC856" s="43"/>
    </row>
    <row r="857" spans="2:81" ht="15.75" customHeight="1">
      <c r="B857" s="36"/>
      <c r="D857" s="36"/>
      <c r="F857" s="43"/>
      <c r="L857" s="43"/>
      <c r="Q857" s="43"/>
      <c r="V857" s="43"/>
      <c r="AD857" s="43"/>
      <c r="AG857" s="43"/>
      <c r="AL857" s="43"/>
      <c r="AQ857" s="43"/>
      <c r="AV857" s="43"/>
      <c r="BA857" s="43"/>
      <c r="BF857" s="43"/>
      <c r="BK857" s="43"/>
      <c r="BQ857" s="43"/>
      <c r="BV857" s="43"/>
      <c r="CC857" s="43"/>
    </row>
    <row r="858" spans="2:81" ht="15.75" customHeight="1">
      <c r="B858" s="36"/>
      <c r="D858" s="36"/>
      <c r="F858" s="43"/>
      <c r="L858" s="43"/>
      <c r="Q858" s="43"/>
      <c r="V858" s="43"/>
      <c r="AD858" s="43"/>
      <c r="AG858" s="43"/>
      <c r="AL858" s="43"/>
      <c r="AQ858" s="43"/>
      <c r="AV858" s="43"/>
      <c r="BA858" s="43"/>
      <c r="BF858" s="43"/>
      <c r="BK858" s="43"/>
      <c r="BQ858" s="43"/>
      <c r="BV858" s="43"/>
      <c r="CC858" s="43"/>
    </row>
    <row r="859" spans="2:81" ht="15.75" customHeight="1">
      <c r="B859" s="36"/>
      <c r="D859" s="36"/>
      <c r="F859" s="43"/>
      <c r="L859" s="43"/>
      <c r="Q859" s="43"/>
      <c r="V859" s="43"/>
      <c r="AD859" s="43"/>
      <c r="AG859" s="43"/>
      <c r="AL859" s="43"/>
      <c r="AQ859" s="43"/>
      <c r="AV859" s="43"/>
      <c r="BA859" s="43"/>
      <c r="BF859" s="43"/>
      <c r="BK859" s="43"/>
      <c r="BQ859" s="43"/>
      <c r="BV859" s="43"/>
      <c r="CC859" s="43"/>
    </row>
    <row r="860" spans="2:81" ht="15.75" customHeight="1">
      <c r="B860" s="36"/>
      <c r="D860" s="36"/>
      <c r="F860" s="43"/>
      <c r="L860" s="43"/>
      <c r="Q860" s="43"/>
      <c r="V860" s="43"/>
      <c r="AD860" s="43"/>
      <c r="AG860" s="43"/>
      <c r="AL860" s="43"/>
      <c r="AQ860" s="43"/>
      <c r="AV860" s="43"/>
      <c r="BA860" s="43"/>
      <c r="BF860" s="43"/>
      <c r="BK860" s="43"/>
      <c r="BQ860" s="43"/>
      <c r="BV860" s="43"/>
      <c r="CC860" s="43"/>
    </row>
    <row r="861" spans="2:81" ht="15.75" customHeight="1">
      <c r="B861" s="36"/>
      <c r="D861" s="36"/>
      <c r="F861" s="43"/>
      <c r="L861" s="43"/>
      <c r="Q861" s="43"/>
      <c r="V861" s="43"/>
      <c r="AD861" s="43"/>
      <c r="AG861" s="43"/>
      <c r="AL861" s="43"/>
      <c r="AQ861" s="43"/>
      <c r="AV861" s="43"/>
      <c r="BA861" s="43"/>
      <c r="BF861" s="43"/>
      <c r="BK861" s="43"/>
      <c r="BQ861" s="43"/>
      <c r="BV861" s="43"/>
      <c r="CC861" s="43"/>
    </row>
    <row r="862" spans="2:81" ht="15.75" customHeight="1">
      <c r="B862" s="36"/>
      <c r="D862" s="36"/>
      <c r="F862" s="43"/>
      <c r="L862" s="43"/>
      <c r="Q862" s="43"/>
      <c r="V862" s="43"/>
      <c r="AD862" s="43"/>
      <c r="AG862" s="43"/>
      <c r="AL862" s="43"/>
      <c r="AQ862" s="43"/>
      <c r="AV862" s="43"/>
      <c r="BA862" s="43"/>
      <c r="BF862" s="43"/>
      <c r="BK862" s="43"/>
      <c r="BQ862" s="43"/>
      <c r="BV862" s="43"/>
      <c r="CC862" s="43"/>
    </row>
    <row r="863" spans="2:81" ht="15.75" customHeight="1">
      <c r="B863" s="36"/>
      <c r="D863" s="36"/>
      <c r="F863" s="43"/>
      <c r="L863" s="43"/>
      <c r="Q863" s="43"/>
      <c r="V863" s="43"/>
      <c r="AD863" s="43"/>
      <c r="AG863" s="43"/>
      <c r="AL863" s="43"/>
      <c r="AQ863" s="43"/>
      <c r="AV863" s="43"/>
      <c r="BA863" s="43"/>
      <c r="BF863" s="43"/>
      <c r="BK863" s="43"/>
      <c r="BQ863" s="43"/>
      <c r="BV863" s="43"/>
      <c r="CC863" s="43"/>
    </row>
    <row r="864" spans="2:81" ht="15.75" customHeight="1">
      <c r="B864" s="36"/>
      <c r="D864" s="36"/>
      <c r="F864" s="43"/>
      <c r="L864" s="43"/>
      <c r="Q864" s="43"/>
      <c r="V864" s="43"/>
      <c r="AD864" s="43"/>
      <c r="AG864" s="43"/>
      <c r="AL864" s="43"/>
      <c r="AQ864" s="43"/>
      <c r="AV864" s="43"/>
      <c r="BA864" s="43"/>
      <c r="BF864" s="43"/>
      <c r="BK864" s="43"/>
      <c r="BQ864" s="43"/>
      <c r="BV864" s="43"/>
      <c r="CC864" s="43"/>
    </row>
    <row r="865" spans="2:81" ht="15.75" customHeight="1">
      <c r="B865" s="36"/>
      <c r="D865" s="36"/>
      <c r="F865" s="43"/>
      <c r="L865" s="43"/>
      <c r="Q865" s="43"/>
      <c r="V865" s="43"/>
      <c r="AD865" s="43"/>
      <c r="AG865" s="43"/>
      <c r="AL865" s="43"/>
      <c r="AQ865" s="43"/>
      <c r="AV865" s="43"/>
      <c r="BA865" s="43"/>
      <c r="BF865" s="43"/>
      <c r="BK865" s="43"/>
      <c r="BQ865" s="43"/>
      <c r="BV865" s="43"/>
      <c r="CC865" s="43"/>
    </row>
    <row r="866" spans="2:81" ht="15.75" customHeight="1">
      <c r="B866" s="36"/>
      <c r="D866" s="36"/>
      <c r="F866" s="43"/>
      <c r="L866" s="43"/>
      <c r="Q866" s="43"/>
      <c r="V866" s="43"/>
      <c r="AD866" s="43"/>
      <c r="AG866" s="43"/>
      <c r="AL866" s="43"/>
      <c r="AQ866" s="43"/>
      <c r="AV866" s="43"/>
      <c r="BA866" s="43"/>
      <c r="BF866" s="43"/>
      <c r="BK866" s="43"/>
      <c r="BQ866" s="43"/>
      <c r="BV866" s="43"/>
      <c r="CC866" s="43"/>
    </row>
    <row r="867" spans="2:81" ht="15.75" customHeight="1">
      <c r="B867" s="36"/>
      <c r="D867" s="36"/>
      <c r="F867" s="43"/>
      <c r="L867" s="43"/>
      <c r="Q867" s="43"/>
      <c r="V867" s="43"/>
      <c r="AD867" s="43"/>
      <c r="AG867" s="43"/>
      <c r="AL867" s="43"/>
      <c r="AQ867" s="43"/>
      <c r="AV867" s="43"/>
      <c r="BA867" s="43"/>
      <c r="BF867" s="43"/>
      <c r="BK867" s="43"/>
      <c r="BQ867" s="43"/>
      <c r="BV867" s="43"/>
      <c r="CC867" s="43"/>
    </row>
    <row r="868" spans="2:81" ht="15.75" customHeight="1">
      <c r="B868" s="36"/>
      <c r="D868" s="36"/>
      <c r="F868" s="43"/>
      <c r="L868" s="43"/>
      <c r="Q868" s="43"/>
      <c r="V868" s="43"/>
      <c r="AD868" s="43"/>
      <c r="AG868" s="43"/>
      <c r="AL868" s="43"/>
      <c r="AQ868" s="43"/>
      <c r="AV868" s="43"/>
      <c r="BA868" s="43"/>
      <c r="BF868" s="43"/>
      <c r="BK868" s="43"/>
      <c r="BQ868" s="43"/>
      <c r="BV868" s="43"/>
      <c r="CC868" s="43"/>
    </row>
    <row r="869" spans="2:81" ht="15.75" customHeight="1">
      <c r="B869" s="36"/>
      <c r="D869" s="36"/>
      <c r="F869" s="43"/>
      <c r="L869" s="43"/>
      <c r="Q869" s="43"/>
      <c r="V869" s="43"/>
      <c r="AD869" s="43"/>
      <c r="AG869" s="43"/>
      <c r="AL869" s="43"/>
      <c r="AQ869" s="43"/>
      <c r="AV869" s="43"/>
      <c r="BA869" s="43"/>
      <c r="BF869" s="43"/>
      <c r="BK869" s="43"/>
      <c r="BQ869" s="43"/>
      <c r="BV869" s="43"/>
      <c r="CC869" s="43"/>
    </row>
    <row r="870" spans="2:81" ht="15.75" customHeight="1">
      <c r="B870" s="36"/>
      <c r="D870" s="36"/>
      <c r="F870" s="43"/>
      <c r="L870" s="43"/>
      <c r="Q870" s="43"/>
      <c r="V870" s="43"/>
      <c r="AD870" s="43"/>
      <c r="AG870" s="43"/>
      <c r="AL870" s="43"/>
      <c r="AQ870" s="43"/>
      <c r="AV870" s="43"/>
      <c r="BA870" s="43"/>
      <c r="BF870" s="43"/>
      <c r="BK870" s="43"/>
      <c r="BQ870" s="43"/>
      <c r="BV870" s="43"/>
      <c r="CC870" s="43"/>
    </row>
    <row r="871" spans="2:81" ht="15.75" customHeight="1">
      <c r="B871" s="36"/>
      <c r="D871" s="36"/>
      <c r="F871" s="43"/>
      <c r="L871" s="43"/>
      <c r="Q871" s="43"/>
      <c r="V871" s="43"/>
      <c r="AD871" s="43"/>
      <c r="AG871" s="43"/>
      <c r="AL871" s="43"/>
      <c r="AQ871" s="43"/>
      <c r="AV871" s="43"/>
      <c r="BA871" s="43"/>
      <c r="BF871" s="43"/>
      <c r="BK871" s="43"/>
      <c r="BQ871" s="43"/>
      <c r="BV871" s="43"/>
      <c r="CC871" s="43"/>
    </row>
    <row r="872" spans="2:81" ht="15.75" customHeight="1">
      <c r="B872" s="36"/>
      <c r="D872" s="36"/>
      <c r="F872" s="43"/>
      <c r="L872" s="43"/>
      <c r="Q872" s="43"/>
      <c r="V872" s="43"/>
      <c r="AD872" s="43"/>
      <c r="AG872" s="43"/>
      <c r="AL872" s="43"/>
      <c r="AQ872" s="43"/>
      <c r="AV872" s="43"/>
      <c r="BA872" s="43"/>
      <c r="BF872" s="43"/>
      <c r="BK872" s="43"/>
      <c r="BQ872" s="43"/>
      <c r="BV872" s="43"/>
      <c r="CC872" s="43"/>
    </row>
    <row r="873" spans="2:81" ht="15.75" customHeight="1">
      <c r="B873" s="36"/>
      <c r="D873" s="36"/>
      <c r="F873" s="43"/>
      <c r="L873" s="43"/>
      <c r="Q873" s="43"/>
      <c r="V873" s="43"/>
      <c r="AD873" s="43"/>
      <c r="AG873" s="43"/>
      <c r="AL873" s="43"/>
      <c r="AQ873" s="43"/>
      <c r="AV873" s="43"/>
      <c r="BA873" s="43"/>
      <c r="BF873" s="43"/>
      <c r="BK873" s="43"/>
      <c r="BQ873" s="43"/>
      <c r="BV873" s="43"/>
      <c r="CC873" s="43"/>
    </row>
    <row r="874" spans="2:81" ht="15.75" customHeight="1">
      <c r="B874" s="36"/>
      <c r="D874" s="36"/>
      <c r="F874" s="43"/>
      <c r="L874" s="43"/>
      <c r="Q874" s="43"/>
      <c r="V874" s="43"/>
      <c r="AD874" s="43"/>
      <c r="AG874" s="43"/>
      <c r="AL874" s="43"/>
      <c r="AQ874" s="43"/>
      <c r="AV874" s="43"/>
      <c r="BA874" s="43"/>
      <c r="BF874" s="43"/>
      <c r="BK874" s="43"/>
      <c r="BQ874" s="43"/>
      <c r="BV874" s="43"/>
      <c r="CC874" s="43"/>
    </row>
    <row r="875" spans="2:81" ht="15.75" customHeight="1">
      <c r="B875" s="36"/>
      <c r="D875" s="36"/>
      <c r="F875" s="43"/>
      <c r="L875" s="43"/>
      <c r="Q875" s="43"/>
      <c r="V875" s="43"/>
      <c r="AD875" s="43"/>
      <c r="AG875" s="43"/>
      <c r="AL875" s="43"/>
      <c r="AQ875" s="43"/>
      <c r="AV875" s="43"/>
      <c r="BA875" s="43"/>
      <c r="BF875" s="43"/>
      <c r="BK875" s="43"/>
      <c r="BQ875" s="43"/>
      <c r="BV875" s="43"/>
      <c r="CC875" s="43"/>
    </row>
    <row r="876" spans="2:81" ht="15.75" customHeight="1">
      <c r="B876" s="36"/>
      <c r="D876" s="36"/>
      <c r="F876" s="43"/>
      <c r="L876" s="43"/>
      <c r="Q876" s="43"/>
      <c r="V876" s="43"/>
      <c r="AD876" s="43"/>
      <c r="AG876" s="43"/>
      <c r="AL876" s="43"/>
      <c r="AQ876" s="43"/>
      <c r="AV876" s="43"/>
      <c r="BA876" s="43"/>
      <c r="BF876" s="43"/>
      <c r="BK876" s="43"/>
      <c r="BQ876" s="43"/>
      <c r="BV876" s="43"/>
      <c r="CC876" s="43"/>
    </row>
    <row r="877" spans="2:81" ht="15.75" customHeight="1">
      <c r="B877" s="36"/>
      <c r="D877" s="36"/>
      <c r="F877" s="43"/>
      <c r="L877" s="43"/>
      <c r="Q877" s="43"/>
      <c r="V877" s="43"/>
      <c r="AD877" s="43"/>
      <c r="AG877" s="43"/>
      <c r="AL877" s="43"/>
      <c r="AQ877" s="43"/>
      <c r="AV877" s="43"/>
      <c r="BA877" s="43"/>
      <c r="BF877" s="43"/>
      <c r="BK877" s="43"/>
      <c r="BQ877" s="43"/>
      <c r="BV877" s="43"/>
      <c r="CC877" s="43"/>
    </row>
    <row r="878" spans="2:81" ht="15.75" customHeight="1">
      <c r="B878" s="36"/>
      <c r="D878" s="36"/>
      <c r="F878" s="43"/>
      <c r="L878" s="43"/>
      <c r="Q878" s="43"/>
      <c r="V878" s="43"/>
      <c r="AD878" s="43"/>
      <c r="AG878" s="43"/>
      <c r="AL878" s="43"/>
      <c r="AQ878" s="43"/>
      <c r="AV878" s="43"/>
      <c r="BA878" s="43"/>
      <c r="BF878" s="43"/>
      <c r="BK878" s="43"/>
      <c r="BQ878" s="43"/>
      <c r="BV878" s="43"/>
      <c r="CC878" s="43"/>
    </row>
    <row r="879" spans="2:81" ht="15.75" customHeight="1">
      <c r="B879" s="36"/>
      <c r="D879" s="36"/>
      <c r="F879" s="43"/>
      <c r="L879" s="43"/>
      <c r="Q879" s="43"/>
      <c r="V879" s="43"/>
      <c r="AD879" s="43"/>
      <c r="AG879" s="43"/>
      <c r="AL879" s="43"/>
      <c r="AQ879" s="43"/>
      <c r="AV879" s="43"/>
      <c r="BA879" s="43"/>
      <c r="BF879" s="43"/>
      <c r="BK879" s="43"/>
      <c r="BQ879" s="43"/>
      <c r="BV879" s="43"/>
      <c r="CC879" s="43"/>
    </row>
    <row r="880" spans="2:81" ht="15.75" customHeight="1">
      <c r="B880" s="36"/>
      <c r="D880" s="36"/>
      <c r="F880" s="43"/>
      <c r="L880" s="43"/>
      <c r="Q880" s="43"/>
      <c r="V880" s="43"/>
      <c r="AD880" s="43"/>
      <c r="AG880" s="43"/>
      <c r="AL880" s="43"/>
      <c r="AQ880" s="43"/>
      <c r="AV880" s="43"/>
      <c r="BA880" s="43"/>
      <c r="BF880" s="43"/>
      <c r="BK880" s="43"/>
      <c r="BQ880" s="43"/>
      <c r="BV880" s="43"/>
      <c r="CC880" s="43"/>
    </row>
    <row r="881" spans="2:81" ht="15.75" customHeight="1">
      <c r="B881" s="36"/>
      <c r="D881" s="36"/>
      <c r="F881" s="43"/>
      <c r="L881" s="43"/>
      <c r="Q881" s="43"/>
      <c r="V881" s="43"/>
      <c r="AD881" s="43"/>
      <c r="AG881" s="43"/>
      <c r="AL881" s="43"/>
      <c r="AQ881" s="43"/>
      <c r="AV881" s="43"/>
      <c r="BA881" s="43"/>
      <c r="BF881" s="43"/>
      <c r="BK881" s="43"/>
      <c r="BQ881" s="43"/>
      <c r="BV881" s="43"/>
      <c r="CC881" s="43"/>
    </row>
    <row r="882" spans="2:81" ht="15.75" customHeight="1">
      <c r="B882" s="36"/>
      <c r="D882" s="36"/>
      <c r="F882" s="43"/>
      <c r="L882" s="43"/>
      <c r="Q882" s="43"/>
      <c r="V882" s="43"/>
      <c r="AD882" s="43"/>
      <c r="AG882" s="43"/>
      <c r="AL882" s="43"/>
      <c r="AQ882" s="43"/>
      <c r="AV882" s="43"/>
      <c r="BA882" s="43"/>
      <c r="BF882" s="43"/>
      <c r="BK882" s="43"/>
      <c r="BQ882" s="43"/>
      <c r="BV882" s="43"/>
      <c r="CC882" s="43"/>
    </row>
    <row r="883" spans="2:81" ht="15.75" customHeight="1">
      <c r="B883" s="36"/>
      <c r="D883" s="36"/>
      <c r="F883" s="43"/>
      <c r="L883" s="43"/>
      <c r="Q883" s="43"/>
      <c r="V883" s="43"/>
      <c r="AD883" s="43"/>
      <c r="AG883" s="43"/>
      <c r="AL883" s="43"/>
      <c r="AQ883" s="43"/>
      <c r="AV883" s="43"/>
      <c r="BA883" s="43"/>
      <c r="BF883" s="43"/>
      <c r="BK883" s="43"/>
      <c r="BQ883" s="43"/>
      <c r="BV883" s="43"/>
      <c r="CC883" s="43"/>
    </row>
    <row r="884" spans="2:81" ht="15.75" customHeight="1">
      <c r="B884" s="36"/>
      <c r="D884" s="36"/>
      <c r="F884" s="43"/>
      <c r="L884" s="43"/>
      <c r="Q884" s="43"/>
      <c r="V884" s="43"/>
      <c r="AD884" s="43"/>
      <c r="AG884" s="43"/>
      <c r="AL884" s="43"/>
      <c r="AQ884" s="43"/>
      <c r="AV884" s="43"/>
      <c r="BA884" s="43"/>
      <c r="BF884" s="43"/>
      <c r="BK884" s="43"/>
      <c r="BQ884" s="43"/>
      <c r="BV884" s="43"/>
      <c r="CC884" s="43"/>
    </row>
    <row r="885" spans="2:81" ht="15.75" customHeight="1">
      <c r="B885" s="36"/>
      <c r="D885" s="36"/>
      <c r="F885" s="43"/>
      <c r="L885" s="43"/>
      <c r="Q885" s="43"/>
      <c r="V885" s="43"/>
      <c r="AD885" s="43"/>
      <c r="AG885" s="43"/>
      <c r="AL885" s="43"/>
      <c r="AQ885" s="43"/>
      <c r="AV885" s="43"/>
      <c r="BA885" s="43"/>
      <c r="BF885" s="43"/>
      <c r="BK885" s="43"/>
      <c r="BQ885" s="43"/>
      <c r="BV885" s="43"/>
      <c r="CC885" s="43"/>
    </row>
    <row r="886" spans="2:81" ht="15.75" customHeight="1">
      <c r="B886" s="36"/>
      <c r="D886" s="36"/>
      <c r="F886" s="43"/>
      <c r="L886" s="43"/>
      <c r="Q886" s="43"/>
      <c r="V886" s="43"/>
      <c r="AD886" s="43"/>
      <c r="AG886" s="43"/>
      <c r="AL886" s="43"/>
      <c r="AQ886" s="43"/>
      <c r="AV886" s="43"/>
      <c r="BA886" s="43"/>
      <c r="BF886" s="43"/>
      <c r="BK886" s="43"/>
      <c r="BQ886" s="43"/>
      <c r="BV886" s="43"/>
      <c r="CC886" s="43"/>
    </row>
    <row r="887" spans="2:81" ht="15.75" customHeight="1">
      <c r="B887" s="36"/>
      <c r="D887" s="36"/>
      <c r="F887" s="43"/>
      <c r="L887" s="43"/>
      <c r="Q887" s="43"/>
      <c r="V887" s="43"/>
      <c r="AD887" s="43"/>
      <c r="AG887" s="43"/>
      <c r="AL887" s="43"/>
      <c r="AQ887" s="43"/>
      <c r="AV887" s="43"/>
      <c r="BA887" s="43"/>
      <c r="BF887" s="43"/>
      <c r="BK887" s="43"/>
      <c r="BQ887" s="43"/>
      <c r="BV887" s="43"/>
      <c r="CC887" s="43"/>
    </row>
    <row r="888" spans="2:81" ht="15.75" customHeight="1">
      <c r="B888" s="36"/>
      <c r="D888" s="36"/>
      <c r="F888" s="43"/>
      <c r="L888" s="43"/>
      <c r="Q888" s="43"/>
      <c r="V888" s="43"/>
      <c r="AD888" s="43"/>
      <c r="AG888" s="43"/>
      <c r="AL888" s="43"/>
      <c r="AQ888" s="43"/>
      <c r="AV888" s="43"/>
      <c r="BA888" s="43"/>
      <c r="BF888" s="43"/>
      <c r="BK888" s="43"/>
      <c r="BQ888" s="43"/>
      <c r="BV888" s="43"/>
      <c r="CC888" s="43"/>
    </row>
    <row r="889" spans="2:81" ht="15.75" customHeight="1">
      <c r="B889" s="36"/>
      <c r="D889" s="36"/>
      <c r="F889" s="43"/>
      <c r="L889" s="43"/>
      <c r="Q889" s="43"/>
      <c r="V889" s="43"/>
      <c r="AD889" s="43"/>
      <c r="AG889" s="43"/>
      <c r="AL889" s="43"/>
      <c r="AQ889" s="43"/>
      <c r="AV889" s="43"/>
      <c r="BA889" s="43"/>
      <c r="BF889" s="43"/>
      <c r="BK889" s="43"/>
      <c r="BQ889" s="43"/>
      <c r="BV889" s="43"/>
      <c r="CC889" s="43"/>
    </row>
    <row r="890" spans="2:81" ht="15.75" customHeight="1">
      <c r="B890" s="36"/>
      <c r="D890" s="36"/>
      <c r="F890" s="43"/>
      <c r="L890" s="43"/>
      <c r="Q890" s="43"/>
      <c r="V890" s="43"/>
      <c r="AD890" s="43"/>
      <c r="AG890" s="43"/>
      <c r="AL890" s="43"/>
      <c r="AQ890" s="43"/>
      <c r="AV890" s="43"/>
      <c r="BA890" s="43"/>
      <c r="BF890" s="43"/>
      <c r="BK890" s="43"/>
      <c r="BQ890" s="43"/>
      <c r="BV890" s="43"/>
      <c r="CC890" s="43"/>
    </row>
    <row r="891" spans="2:81" ht="15.75" customHeight="1">
      <c r="B891" s="36"/>
      <c r="D891" s="36"/>
      <c r="F891" s="43"/>
      <c r="L891" s="43"/>
      <c r="Q891" s="43"/>
      <c r="V891" s="43"/>
      <c r="AD891" s="43"/>
      <c r="AG891" s="43"/>
      <c r="AL891" s="43"/>
      <c r="AQ891" s="43"/>
      <c r="AV891" s="43"/>
      <c r="BA891" s="43"/>
      <c r="BF891" s="43"/>
      <c r="BK891" s="43"/>
      <c r="BQ891" s="43"/>
      <c r="BV891" s="43"/>
      <c r="CC891" s="43"/>
    </row>
    <row r="892" spans="2:81" ht="15.75" customHeight="1">
      <c r="B892" s="36"/>
      <c r="D892" s="36"/>
      <c r="F892" s="43"/>
      <c r="L892" s="43"/>
      <c r="Q892" s="43"/>
      <c r="V892" s="43"/>
      <c r="AD892" s="43"/>
      <c r="AG892" s="43"/>
      <c r="AL892" s="43"/>
      <c r="AQ892" s="43"/>
      <c r="AV892" s="43"/>
      <c r="BA892" s="43"/>
      <c r="BF892" s="43"/>
      <c r="BK892" s="43"/>
      <c r="BQ892" s="43"/>
      <c r="BV892" s="43"/>
      <c r="CC892" s="43"/>
    </row>
    <row r="893" spans="2:81" ht="15.75" customHeight="1">
      <c r="B893" s="36"/>
      <c r="D893" s="36"/>
      <c r="F893" s="43"/>
      <c r="L893" s="43"/>
      <c r="Q893" s="43"/>
      <c r="V893" s="43"/>
      <c r="AD893" s="43"/>
      <c r="AG893" s="43"/>
      <c r="AL893" s="43"/>
      <c r="AQ893" s="43"/>
      <c r="AV893" s="43"/>
      <c r="BA893" s="43"/>
      <c r="BF893" s="43"/>
      <c r="BK893" s="43"/>
      <c r="BQ893" s="43"/>
      <c r="BV893" s="43"/>
      <c r="CC893" s="43"/>
    </row>
    <row r="894" spans="2:81" ht="15.75" customHeight="1">
      <c r="B894" s="36"/>
      <c r="D894" s="36"/>
      <c r="F894" s="43"/>
      <c r="L894" s="43"/>
      <c r="Q894" s="43"/>
      <c r="V894" s="43"/>
      <c r="AD894" s="43"/>
      <c r="AG894" s="43"/>
      <c r="AL894" s="43"/>
      <c r="AQ894" s="43"/>
      <c r="AV894" s="43"/>
      <c r="BA894" s="43"/>
      <c r="BF894" s="43"/>
      <c r="BK894" s="43"/>
      <c r="BQ894" s="43"/>
      <c r="BV894" s="43"/>
      <c r="CC894" s="43"/>
    </row>
    <row r="895" spans="2:81" ht="15.75" customHeight="1">
      <c r="B895" s="36"/>
      <c r="D895" s="36"/>
      <c r="F895" s="43"/>
      <c r="L895" s="43"/>
      <c r="Q895" s="43"/>
      <c r="V895" s="43"/>
      <c r="AD895" s="43"/>
      <c r="AG895" s="43"/>
      <c r="AL895" s="43"/>
      <c r="AQ895" s="43"/>
      <c r="AV895" s="43"/>
      <c r="BA895" s="43"/>
      <c r="BF895" s="43"/>
      <c r="BK895" s="43"/>
      <c r="BQ895" s="43"/>
      <c r="BV895" s="43"/>
      <c r="CC895" s="43"/>
    </row>
    <row r="896" spans="2:81" ht="15.75" customHeight="1">
      <c r="B896" s="36"/>
      <c r="D896" s="36"/>
      <c r="F896" s="43"/>
      <c r="L896" s="43"/>
      <c r="Q896" s="43"/>
      <c r="V896" s="43"/>
      <c r="AD896" s="43"/>
      <c r="AG896" s="43"/>
      <c r="AL896" s="43"/>
      <c r="AQ896" s="43"/>
      <c r="AV896" s="43"/>
      <c r="BA896" s="43"/>
      <c r="BF896" s="43"/>
      <c r="BK896" s="43"/>
      <c r="BQ896" s="43"/>
      <c r="BV896" s="43"/>
      <c r="CC896" s="43"/>
    </row>
    <row r="897" spans="2:81" ht="15.75" customHeight="1">
      <c r="B897" s="36"/>
      <c r="D897" s="36"/>
      <c r="F897" s="43"/>
      <c r="L897" s="43"/>
      <c r="Q897" s="43"/>
      <c r="V897" s="43"/>
      <c r="AD897" s="43"/>
      <c r="AG897" s="43"/>
      <c r="AL897" s="43"/>
      <c r="AQ897" s="43"/>
      <c r="AV897" s="43"/>
      <c r="BA897" s="43"/>
      <c r="BF897" s="43"/>
      <c r="BK897" s="43"/>
      <c r="BQ897" s="43"/>
      <c r="BV897" s="43"/>
      <c r="CC897" s="43"/>
    </row>
    <row r="898" spans="2:81" ht="15.75" customHeight="1">
      <c r="B898" s="36"/>
      <c r="D898" s="36"/>
      <c r="F898" s="43"/>
      <c r="L898" s="43"/>
      <c r="Q898" s="43"/>
      <c r="V898" s="43"/>
      <c r="AD898" s="43"/>
      <c r="AG898" s="43"/>
      <c r="AL898" s="43"/>
      <c r="AQ898" s="43"/>
      <c r="AV898" s="43"/>
      <c r="BA898" s="43"/>
      <c r="BF898" s="43"/>
      <c r="BK898" s="43"/>
      <c r="BQ898" s="43"/>
      <c r="BV898" s="43"/>
      <c r="CC898" s="43"/>
    </row>
    <row r="899" spans="2:81" ht="15.75" customHeight="1">
      <c r="B899" s="36"/>
      <c r="D899" s="36"/>
      <c r="F899" s="43"/>
      <c r="L899" s="43"/>
      <c r="Q899" s="43"/>
      <c r="V899" s="43"/>
      <c r="AD899" s="43"/>
      <c r="AG899" s="43"/>
      <c r="AL899" s="43"/>
      <c r="AQ899" s="43"/>
      <c r="AV899" s="43"/>
      <c r="BA899" s="43"/>
      <c r="BF899" s="43"/>
      <c r="BK899" s="43"/>
      <c r="BQ899" s="43"/>
      <c r="BV899" s="43"/>
      <c r="CC899" s="43"/>
    </row>
    <row r="900" spans="2:81" ht="15.75" customHeight="1">
      <c r="B900" s="36"/>
      <c r="D900" s="36"/>
      <c r="F900" s="43"/>
      <c r="L900" s="43"/>
      <c r="Q900" s="43"/>
      <c r="V900" s="43"/>
      <c r="AD900" s="43"/>
      <c r="AG900" s="43"/>
      <c r="AL900" s="43"/>
      <c r="AQ900" s="43"/>
      <c r="AV900" s="43"/>
      <c r="BA900" s="43"/>
      <c r="BF900" s="43"/>
      <c r="BK900" s="43"/>
      <c r="BQ900" s="43"/>
      <c r="BV900" s="43"/>
      <c r="CC900" s="43"/>
    </row>
    <row r="901" spans="2:81" ht="15.75" customHeight="1">
      <c r="B901" s="36"/>
      <c r="D901" s="36"/>
      <c r="F901" s="43"/>
      <c r="L901" s="43"/>
      <c r="Q901" s="43"/>
      <c r="V901" s="43"/>
      <c r="AD901" s="43"/>
      <c r="AG901" s="43"/>
      <c r="AL901" s="43"/>
      <c r="AQ901" s="43"/>
      <c r="AV901" s="43"/>
      <c r="BA901" s="43"/>
      <c r="BF901" s="43"/>
      <c r="BK901" s="43"/>
      <c r="BQ901" s="43"/>
      <c r="BV901" s="43"/>
      <c r="CC901" s="43"/>
    </row>
    <row r="902" spans="2:81" ht="15.75" customHeight="1">
      <c r="B902" s="36"/>
      <c r="D902" s="36"/>
      <c r="F902" s="43"/>
      <c r="L902" s="43"/>
      <c r="Q902" s="43"/>
      <c r="V902" s="43"/>
      <c r="AD902" s="43"/>
      <c r="AG902" s="43"/>
      <c r="AL902" s="43"/>
      <c r="AQ902" s="43"/>
      <c r="AV902" s="43"/>
      <c r="BA902" s="43"/>
      <c r="BF902" s="43"/>
      <c r="BK902" s="43"/>
      <c r="BQ902" s="43"/>
      <c r="BV902" s="43"/>
      <c r="CC902" s="43"/>
    </row>
    <row r="903" spans="2:81" ht="15.75" customHeight="1">
      <c r="B903" s="36"/>
      <c r="D903" s="36"/>
      <c r="F903" s="43"/>
      <c r="L903" s="43"/>
      <c r="Q903" s="43"/>
      <c r="V903" s="43"/>
      <c r="AD903" s="43"/>
      <c r="AG903" s="43"/>
      <c r="AL903" s="43"/>
      <c r="AQ903" s="43"/>
      <c r="AV903" s="43"/>
      <c r="BA903" s="43"/>
      <c r="BF903" s="43"/>
      <c r="BK903" s="43"/>
      <c r="BQ903" s="43"/>
      <c r="BV903" s="43"/>
      <c r="CC903" s="43"/>
    </row>
    <row r="904" spans="2:81" ht="15.75" customHeight="1">
      <c r="B904" s="36"/>
      <c r="D904" s="36"/>
      <c r="F904" s="43"/>
      <c r="L904" s="43"/>
      <c r="Q904" s="43"/>
      <c r="V904" s="43"/>
      <c r="AD904" s="43"/>
      <c r="AG904" s="43"/>
      <c r="AL904" s="43"/>
      <c r="AQ904" s="43"/>
      <c r="AV904" s="43"/>
      <c r="BA904" s="43"/>
      <c r="BF904" s="43"/>
      <c r="BK904" s="43"/>
      <c r="BQ904" s="43"/>
      <c r="BV904" s="43"/>
      <c r="CC904" s="43"/>
    </row>
    <row r="905" spans="2:81" ht="15.75" customHeight="1">
      <c r="B905" s="36"/>
      <c r="D905" s="36"/>
      <c r="F905" s="43"/>
      <c r="L905" s="43"/>
      <c r="Q905" s="43"/>
      <c r="V905" s="43"/>
      <c r="AD905" s="43"/>
      <c r="AG905" s="43"/>
      <c r="AL905" s="43"/>
      <c r="AQ905" s="43"/>
      <c r="AV905" s="43"/>
      <c r="BA905" s="43"/>
      <c r="BF905" s="43"/>
      <c r="BK905" s="43"/>
      <c r="BQ905" s="43"/>
      <c r="BV905" s="43"/>
      <c r="CC905" s="43"/>
    </row>
    <row r="906" spans="2:81" ht="15.75" customHeight="1">
      <c r="B906" s="36"/>
      <c r="D906" s="36"/>
      <c r="F906" s="43"/>
      <c r="L906" s="43"/>
      <c r="Q906" s="43"/>
      <c r="V906" s="43"/>
      <c r="AD906" s="43"/>
      <c r="AG906" s="43"/>
      <c r="AL906" s="43"/>
      <c r="AQ906" s="43"/>
      <c r="AV906" s="43"/>
      <c r="BA906" s="43"/>
      <c r="BF906" s="43"/>
      <c r="BK906" s="43"/>
      <c r="BQ906" s="43"/>
      <c r="BV906" s="43"/>
      <c r="CC906" s="43"/>
    </row>
    <row r="907" spans="2:81" ht="15.75" customHeight="1">
      <c r="B907" s="36"/>
      <c r="D907" s="36"/>
      <c r="F907" s="43"/>
      <c r="L907" s="43"/>
      <c r="Q907" s="43"/>
      <c r="V907" s="43"/>
      <c r="AD907" s="43"/>
      <c r="AG907" s="43"/>
      <c r="AL907" s="43"/>
      <c r="AQ907" s="43"/>
      <c r="AV907" s="43"/>
      <c r="BA907" s="43"/>
      <c r="BF907" s="43"/>
      <c r="BK907" s="43"/>
      <c r="BQ907" s="43"/>
      <c r="BV907" s="43"/>
      <c r="CC907" s="43"/>
    </row>
    <row r="908" spans="2:81" ht="15.75" customHeight="1">
      <c r="B908" s="36"/>
      <c r="D908" s="36"/>
      <c r="F908" s="43"/>
      <c r="L908" s="43"/>
      <c r="Q908" s="43"/>
      <c r="V908" s="43"/>
      <c r="AD908" s="43"/>
      <c r="AG908" s="43"/>
      <c r="AL908" s="43"/>
      <c r="AQ908" s="43"/>
      <c r="AV908" s="43"/>
      <c r="BA908" s="43"/>
      <c r="BF908" s="43"/>
      <c r="BK908" s="43"/>
      <c r="BQ908" s="43"/>
      <c r="BV908" s="43"/>
      <c r="CC908" s="43"/>
    </row>
    <row r="909" spans="2:81" ht="15.75" customHeight="1">
      <c r="B909" s="36"/>
      <c r="D909" s="36"/>
      <c r="F909" s="43"/>
      <c r="L909" s="43"/>
      <c r="Q909" s="43"/>
      <c r="V909" s="43"/>
      <c r="AD909" s="43"/>
      <c r="AG909" s="43"/>
      <c r="AL909" s="43"/>
      <c r="AQ909" s="43"/>
      <c r="AV909" s="43"/>
      <c r="BA909" s="43"/>
      <c r="BF909" s="43"/>
      <c r="BK909" s="43"/>
      <c r="BQ909" s="43"/>
      <c r="BV909" s="43"/>
      <c r="CC909" s="43"/>
    </row>
    <row r="910" spans="2:81" ht="15.75" customHeight="1">
      <c r="B910" s="36"/>
      <c r="D910" s="36"/>
      <c r="F910" s="43"/>
      <c r="L910" s="43"/>
      <c r="Q910" s="43"/>
      <c r="V910" s="43"/>
      <c r="AD910" s="43"/>
      <c r="AG910" s="43"/>
      <c r="AL910" s="43"/>
      <c r="AQ910" s="43"/>
      <c r="AV910" s="43"/>
      <c r="BA910" s="43"/>
      <c r="BF910" s="43"/>
      <c r="BK910" s="43"/>
      <c r="BQ910" s="43"/>
      <c r="BV910" s="43"/>
      <c r="CC910" s="43"/>
    </row>
    <row r="911" spans="2:81" ht="15.75" customHeight="1">
      <c r="B911" s="36"/>
      <c r="D911" s="36"/>
      <c r="F911" s="43"/>
      <c r="L911" s="43"/>
      <c r="Q911" s="43"/>
      <c r="V911" s="43"/>
      <c r="AD911" s="43"/>
      <c r="AG911" s="43"/>
      <c r="AL911" s="43"/>
      <c r="AQ911" s="43"/>
      <c r="AV911" s="43"/>
      <c r="BA911" s="43"/>
      <c r="BF911" s="43"/>
      <c r="BK911" s="43"/>
      <c r="BQ911" s="43"/>
      <c r="BV911" s="43"/>
      <c r="CC911" s="43"/>
    </row>
    <row r="912" spans="2:81" ht="15.75" customHeight="1">
      <c r="B912" s="36"/>
      <c r="D912" s="36"/>
      <c r="F912" s="43"/>
      <c r="L912" s="43"/>
      <c r="Q912" s="43"/>
      <c r="V912" s="43"/>
      <c r="AD912" s="43"/>
      <c r="AG912" s="43"/>
      <c r="AL912" s="43"/>
      <c r="AQ912" s="43"/>
      <c r="AV912" s="43"/>
      <c r="BA912" s="43"/>
      <c r="BF912" s="43"/>
      <c r="BK912" s="43"/>
      <c r="BQ912" s="43"/>
      <c r="BV912" s="43"/>
      <c r="CC912" s="43"/>
    </row>
    <row r="913" spans="2:81" ht="15.75" customHeight="1">
      <c r="B913" s="36"/>
      <c r="D913" s="36"/>
      <c r="F913" s="43"/>
      <c r="L913" s="43"/>
      <c r="Q913" s="43"/>
      <c r="V913" s="43"/>
      <c r="AD913" s="43"/>
      <c r="AG913" s="43"/>
      <c r="AL913" s="43"/>
      <c r="AQ913" s="43"/>
      <c r="AV913" s="43"/>
      <c r="BA913" s="43"/>
      <c r="BF913" s="43"/>
      <c r="BK913" s="43"/>
      <c r="BQ913" s="43"/>
      <c r="BV913" s="43"/>
      <c r="CC913" s="43"/>
    </row>
    <row r="914" spans="2:81" ht="15.75" customHeight="1">
      <c r="B914" s="36"/>
      <c r="D914" s="36"/>
      <c r="F914" s="43"/>
      <c r="L914" s="43"/>
      <c r="Q914" s="43"/>
      <c r="V914" s="43"/>
      <c r="AD914" s="43"/>
      <c r="AG914" s="43"/>
      <c r="AL914" s="43"/>
      <c r="AQ914" s="43"/>
      <c r="AV914" s="43"/>
      <c r="BA914" s="43"/>
      <c r="BF914" s="43"/>
      <c r="BK914" s="43"/>
      <c r="BQ914" s="43"/>
      <c r="BV914" s="43"/>
      <c r="CC914" s="43"/>
    </row>
    <row r="915" spans="2:81" ht="15.75" customHeight="1">
      <c r="B915" s="36"/>
      <c r="D915" s="36"/>
      <c r="F915" s="43"/>
      <c r="L915" s="43"/>
      <c r="Q915" s="43"/>
      <c r="V915" s="43"/>
      <c r="AD915" s="43"/>
      <c r="AG915" s="43"/>
      <c r="AL915" s="43"/>
      <c r="AQ915" s="43"/>
      <c r="AV915" s="43"/>
      <c r="BA915" s="43"/>
      <c r="BF915" s="43"/>
      <c r="BK915" s="43"/>
      <c r="BQ915" s="43"/>
      <c r="BV915" s="43"/>
      <c r="CC915" s="43"/>
    </row>
    <row r="916" spans="2:81" ht="15.75" customHeight="1">
      <c r="B916" s="36"/>
      <c r="D916" s="36"/>
      <c r="F916" s="43"/>
      <c r="L916" s="43"/>
      <c r="Q916" s="43"/>
      <c r="V916" s="43"/>
      <c r="AD916" s="43"/>
      <c r="AG916" s="43"/>
      <c r="AL916" s="43"/>
      <c r="AQ916" s="43"/>
      <c r="AV916" s="43"/>
      <c r="BA916" s="43"/>
      <c r="BF916" s="43"/>
      <c r="BK916" s="43"/>
      <c r="BQ916" s="43"/>
      <c r="BV916" s="43"/>
      <c r="CC916" s="43"/>
    </row>
    <row r="917" spans="2:81" ht="15.75" customHeight="1">
      <c r="B917" s="36"/>
      <c r="D917" s="36"/>
      <c r="F917" s="43"/>
      <c r="L917" s="43"/>
      <c r="Q917" s="43"/>
      <c r="V917" s="43"/>
      <c r="AD917" s="43"/>
      <c r="AG917" s="43"/>
      <c r="AL917" s="43"/>
      <c r="AQ917" s="43"/>
      <c r="AV917" s="43"/>
      <c r="BA917" s="43"/>
      <c r="BF917" s="43"/>
      <c r="BK917" s="43"/>
      <c r="BQ917" s="43"/>
      <c r="BV917" s="43"/>
      <c r="CC917" s="43"/>
    </row>
    <row r="918" spans="2:81" ht="15.75" customHeight="1">
      <c r="B918" s="36"/>
      <c r="D918" s="36"/>
      <c r="F918" s="43"/>
      <c r="L918" s="43"/>
      <c r="Q918" s="43"/>
      <c r="V918" s="43"/>
      <c r="AD918" s="43"/>
      <c r="AG918" s="43"/>
      <c r="AL918" s="43"/>
      <c r="AQ918" s="43"/>
      <c r="AV918" s="43"/>
      <c r="BA918" s="43"/>
      <c r="BF918" s="43"/>
      <c r="BK918" s="43"/>
      <c r="BQ918" s="43"/>
      <c r="BV918" s="43"/>
      <c r="CC918" s="43"/>
    </row>
    <row r="919" spans="2:81" ht="15.75" customHeight="1">
      <c r="B919" s="36"/>
      <c r="D919" s="36"/>
      <c r="F919" s="43"/>
      <c r="L919" s="43"/>
      <c r="Q919" s="43"/>
      <c r="V919" s="43"/>
      <c r="AD919" s="43"/>
      <c r="AG919" s="43"/>
      <c r="AL919" s="43"/>
      <c r="AQ919" s="43"/>
      <c r="AV919" s="43"/>
      <c r="BA919" s="43"/>
      <c r="BF919" s="43"/>
      <c r="BK919" s="43"/>
      <c r="BQ919" s="43"/>
      <c r="BV919" s="43"/>
      <c r="CC919" s="43"/>
    </row>
    <row r="920" spans="2:81" ht="15.75" customHeight="1">
      <c r="B920" s="36"/>
      <c r="D920" s="36"/>
      <c r="F920" s="43"/>
      <c r="L920" s="43"/>
      <c r="Q920" s="43"/>
      <c r="V920" s="43"/>
      <c r="AD920" s="43"/>
      <c r="AG920" s="43"/>
      <c r="AL920" s="43"/>
      <c r="AQ920" s="43"/>
      <c r="AV920" s="43"/>
      <c r="BA920" s="43"/>
      <c r="BF920" s="43"/>
      <c r="BK920" s="43"/>
      <c r="BQ920" s="43"/>
      <c r="BV920" s="43"/>
      <c r="CC920" s="43"/>
    </row>
    <row r="921" spans="2:81" ht="15.75" customHeight="1">
      <c r="B921" s="36"/>
      <c r="D921" s="36"/>
      <c r="F921" s="43"/>
      <c r="L921" s="43"/>
      <c r="Q921" s="43"/>
      <c r="V921" s="43"/>
      <c r="AD921" s="43"/>
      <c r="AG921" s="43"/>
      <c r="AL921" s="43"/>
      <c r="AQ921" s="43"/>
      <c r="AV921" s="43"/>
      <c r="BA921" s="43"/>
      <c r="BF921" s="43"/>
      <c r="BK921" s="43"/>
      <c r="BQ921" s="43"/>
      <c r="BV921" s="43"/>
      <c r="CC921" s="43"/>
    </row>
    <row r="922" spans="2:81" ht="15.75" customHeight="1">
      <c r="B922" s="36"/>
      <c r="D922" s="36"/>
      <c r="F922" s="43"/>
      <c r="L922" s="43"/>
      <c r="Q922" s="43"/>
      <c r="V922" s="43"/>
      <c r="AD922" s="43"/>
      <c r="AG922" s="43"/>
      <c r="AL922" s="43"/>
      <c r="AQ922" s="43"/>
      <c r="AV922" s="43"/>
      <c r="BA922" s="43"/>
      <c r="BF922" s="43"/>
      <c r="BK922" s="43"/>
      <c r="BQ922" s="43"/>
      <c r="BV922" s="43"/>
      <c r="CC922" s="43"/>
    </row>
    <row r="923" spans="2:81" ht="15.75" customHeight="1">
      <c r="B923" s="36"/>
      <c r="D923" s="36"/>
      <c r="F923" s="43"/>
      <c r="L923" s="43"/>
      <c r="Q923" s="43"/>
      <c r="V923" s="43"/>
      <c r="AD923" s="43"/>
      <c r="AG923" s="43"/>
      <c r="AL923" s="43"/>
      <c r="AQ923" s="43"/>
      <c r="AV923" s="43"/>
      <c r="BA923" s="43"/>
      <c r="BF923" s="43"/>
      <c r="BK923" s="43"/>
      <c r="BQ923" s="43"/>
      <c r="BV923" s="43"/>
      <c r="CC923" s="43"/>
    </row>
    <row r="924" spans="2:81" ht="15.75" customHeight="1">
      <c r="B924" s="36"/>
      <c r="D924" s="36"/>
      <c r="F924" s="43"/>
      <c r="L924" s="43"/>
      <c r="Q924" s="43"/>
      <c r="V924" s="43"/>
      <c r="AD924" s="43"/>
      <c r="AG924" s="43"/>
      <c r="AL924" s="43"/>
      <c r="AQ924" s="43"/>
      <c r="AV924" s="43"/>
      <c r="BA924" s="43"/>
      <c r="BF924" s="43"/>
      <c r="BK924" s="43"/>
      <c r="BQ924" s="43"/>
      <c r="BV924" s="43"/>
      <c r="CC924" s="43"/>
    </row>
    <row r="925" spans="2:81" ht="15.75" customHeight="1">
      <c r="B925" s="36"/>
      <c r="D925" s="36"/>
      <c r="F925" s="43"/>
      <c r="L925" s="43"/>
      <c r="Q925" s="43"/>
      <c r="V925" s="43"/>
      <c r="AD925" s="43"/>
      <c r="AG925" s="43"/>
      <c r="AL925" s="43"/>
      <c r="AQ925" s="43"/>
      <c r="AV925" s="43"/>
      <c r="BA925" s="43"/>
      <c r="BF925" s="43"/>
      <c r="BK925" s="43"/>
      <c r="BQ925" s="43"/>
      <c r="BV925" s="43"/>
      <c r="CC925" s="43"/>
    </row>
    <row r="926" spans="2:81" ht="15.75" customHeight="1">
      <c r="B926" s="36"/>
      <c r="D926" s="36"/>
      <c r="F926" s="43"/>
      <c r="L926" s="43"/>
      <c r="Q926" s="43"/>
      <c r="V926" s="43"/>
      <c r="AD926" s="43"/>
      <c r="AG926" s="43"/>
      <c r="AL926" s="43"/>
      <c r="AQ926" s="43"/>
      <c r="AV926" s="43"/>
      <c r="BA926" s="43"/>
      <c r="BF926" s="43"/>
      <c r="BK926" s="43"/>
      <c r="BQ926" s="43"/>
      <c r="BV926" s="43"/>
      <c r="CC926" s="43"/>
    </row>
    <row r="927" spans="2:81" ht="15.75" customHeight="1">
      <c r="B927" s="36"/>
      <c r="D927" s="36"/>
      <c r="F927" s="43"/>
      <c r="L927" s="43"/>
      <c r="Q927" s="43"/>
      <c r="V927" s="43"/>
      <c r="AD927" s="43"/>
      <c r="AG927" s="43"/>
      <c r="AL927" s="43"/>
      <c r="AQ927" s="43"/>
      <c r="AV927" s="43"/>
      <c r="BA927" s="43"/>
      <c r="BF927" s="43"/>
      <c r="BK927" s="43"/>
      <c r="BQ927" s="43"/>
      <c r="BV927" s="43"/>
      <c r="CC927" s="43"/>
    </row>
    <row r="928" spans="2:81" ht="15.75" customHeight="1">
      <c r="B928" s="36"/>
      <c r="D928" s="36"/>
      <c r="F928" s="43"/>
      <c r="L928" s="43"/>
      <c r="Q928" s="43"/>
      <c r="V928" s="43"/>
      <c r="AD928" s="43"/>
      <c r="AG928" s="43"/>
      <c r="AL928" s="43"/>
      <c r="AQ928" s="43"/>
      <c r="AV928" s="43"/>
      <c r="BA928" s="43"/>
      <c r="BF928" s="43"/>
      <c r="BK928" s="43"/>
      <c r="BQ928" s="43"/>
      <c r="BV928" s="43"/>
      <c r="CC928" s="43"/>
    </row>
    <row r="929" spans="2:81" ht="15.75" customHeight="1">
      <c r="B929" s="36"/>
      <c r="D929" s="36"/>
      <c r="F929" s="43"/>
      <c r="L929" s="43"/>
      <c r="Q929" s="43"/>
      <c r="V929" s="43"/>
      <c r="AD929" s="43"/>
      <c r="AG929" s="43"/>
      <c r="AL929" s="43"/>
      <c r="AQ929" s="43"/>
      <c r="AV929" s="43"/>
      <c r="BA929" s="43"/>
      <c r="BF929" s="43"/>
      <c r="BK929" s="43"/>
      <c r="BQ929" s="43"/>
      <c r="BV929" s="43"/>
      <c r="CC929" s="43"/>
    </row>
    <row r="930" spans="2:81" ht="15.75" customHeight="1">
      <c r="B930" s="36"/>
      <c r="D930" s="36"/>
      <c r="F930" s="43"/>
      <c r="L930" s="43"/>
      <c r="Q930" s="43"/>
      <c r="V930" s="43"/>
      <c r="AD930" s="43"/>
      <c r="AG930" s="43"/>
      <c r="AL930" s="43"/>
      <c r="AQ930" s="43"/>
      <c r="AV930" s="43"/>
      <c r="BA930" s="43"/>
      <c r="BF930" s="43"/>
      <c r="BK930" s="43"/>
      <c r="BQ930" s="43"/>
      <c r="BV930" s="43"/>
      <c r="CC930" s="43"/>
    </row>
    <row r="931" spans="2:81" ht="15.75" customHeight="1">
      <c r="B931" s="36"/>
      <c r="D931" s="36"/>
      <c r="F931" s="43"/>
      <c r="L931" s="43"/>
      <c r="Q931" s="43"/>
      <c r="V931" s="43"/>
      <c r="AD931" s="43"/>
      <c r="AG931" s="43"/>
      <c r="AL931" s="43"/>
      <c r="AQ931" s="43"/>
      <c r="AV931" s="43"/>
      <c r="BA931" s="43"/>
      <c r="BF931" s="43"/>
      <c r="BK931" s="43"/>
      <c r="BQ931" s="43"/>
      <c r="BV931" s="43"/>
      <c r="CC931" s="43"/>
    </row>
    <row r="932" spans="2:81" ht="15.75" customHeight="1">
      <c r="B932" s="36"/>
      <c r="D932" s="36"/>
      <c r="F932" s="43"/>
      <c r="L932" s="43"/>
      <c r="Q932" s="43"/>
      <c r="V932" s="43"/>
      <c r="AD932" s="43"/>
      <c r="AG932" s="43"/>
      <c r="AL932" s="43"/>
      <c r="AQ932" s="43"/>
      <c r="AV932" s="43"/>
      <c r="BA932" s="43"/>
      <c r="BF932" s="43"/>
      <c r="BK932" s="43"/>
      <c r="BQ932" s="43"/>
      <c r="BV932" s="43"/>
      <c r="CC932" s="43"/>
    </row>
    <row r="933" spans="2:81" ht="15.75" customHeight="1">
      <c r="B933" s="36"/>
      <c r="D933" s="36"/>
      <c r="F933" s="43"/>
      <c r="L933" s="43"/>
      <c r="Q933" s="43"/>
      <c r="V933" s="43"/>
      <c r="AD933" s="43"/>
      <c r="AG933" s="43"/>
      <c r="AL933" s="43"/>
      <c r="AQ933" s="43"/>
      <c r="AV933" s="43"/>
      <c r="BA933" s="43"/>
      <c r="BF933" s="43"/>
      <c r="BK933" s="43"/>
      <c r="BQ933" s="43"/>
      <c r="BV933" s="43"/>
      <c r="CC933" s="43"/>
    </row>
    <row r="934" spans="2:81" ht="15.75" customHeight="1">
      <c r="B934" s="36"/>
      <c r="D934" s="36"/>
      <c r="F934" s="43"/>
      <c r="L934" s="43"/>
      <c r="Q934" s="43"/>
      <c r="V934" s="43"/>
      <c r="AD934" s="43"/>
      <c r="AG934" s="43"/>
      <c r="AL934" s="43"/>
      <c r="AQ934" s="43"/>
      <c r="AV934" s="43"/>
      <c r="BA934" s="43"/>
      <c r="BF934" s="43"/>
      <c r="BK934" s="43"/>
      <c r="BQ934" s="43"/>
      <c r="BV934" s="43"/>
      <c r="CC934" s="43"/>
    </row>
    <row r="935" spans="2:81" ht="15.75" customHeight="1">
      <c r="B935" s="36"/>
      <c r="D935" s="36"/>
      <c r="F935" s="43"/>
      <c r="L935" s="43"/>
      <c r="Q935" s="43"/>
      <c r="V935" s="43"/>
      <c r="AD935" s="43"/>
      <c r="AG935" s="43"/>
      <c r="AL935" s="43"/>
      <c r="AQ935" s="43"/>
      <c r="AV935" s="43"/>
      <c r="BA935" s="43"/>
      <c r="BF935" s="43"/>
      <c r="BK935" s="43"/>
      <c r="BQ935" s="43"/>
      <c r="BV935" s="43"/>
      <c r="CC935" s="43"/>
    </row>
    <row r="936" spans="2:81" ht="15.75" customHeight="1">
      <c r="B936" s="36"/>
      <c r="D936" s="36"/>
      <c r="F936" s="43"/>
      <c r="L936" s="43"/>
      <c r="Q936" s="43"/>
      <c r="V936" s="43"/>
      <c r="AD936" s="43"/>
      <c r="AG936" s="43"/>
      <c r="AL936" s="43"/>
      <c r="AQ936" s="43"/>
      <c r="AV936" s="43"/>
      <c r="BA936" s="43"/>
      <c r="BF936" s="43"/>
      <c r="BK936" s="43"/>
      <c r="BQ936" s="43"/>
      <c r="BV936" s="43"/>
      <c r="CC936" s="43"/>
    </row>
    <row r="937" spans="2:81" ht="15.75" customHeight="1">
      <c r="B937" s="36"/>
      <c r="D937" s="36"/>
      <c r="F937" s="43"/>
      <c r="L937" s="43"/>
      <c r="Q937" s="43"/>
      <c r="V937" s="43"/>
      <c r="AD937" s="43"/>
      <c r="AG937" s="43"/>
      <c r="AL937" s="43"/>
      <c r="AQ937" s="43"/>
      <c r="AV937" s="43"/>
      <c r="BA937" s="43"/>
      <c r="BF937" s="43"/>
      <c r="BK937" s="43"/>
      <c r="BQ937" s="43"/>
      <c r="BV937" s="43"/>
      <c r="CC937" s="43"/>
    </row>
    <row r="938" spans="2:81" ht="15.75" customHeight="1">
      <c r="B938" s="36"/>
      <c r="D938" s="36"/>
      <c r="F938" s="43"/>
      <c r="L938" s="43"/>
      <c r="Q938" s="43"/>
      <c r="V938" s="43"/>
      <c r="AD938" s="43"/>
      <c r="AG938" s="43"/>
      <c r="AL938" s="43"/>
      <c r="AQ938" s="43"/>
      <c r="AV938" s="43"/>
      <c r="BA938" s="43"/>
      <c r="BF938" s="43"/>
      <c r="BK938" s="43"/>
      <c r="BQ938" s="43"/>
      <c r="BV938" s="43"/>
      <c r="CC938" s="43"/>
    </row>
    <row r="939" spans="2:81" ht="15.75" customHeight="1">
      <c r="B939" s="36"/>
      <c r="D939" s="36"/>
      <c r="F939" s="43"/>
      <c r="L939" s="43"/>
      <c r="Q939" s="43"/>
      <c r="V939" s="43"/>
      <c r="AD939" s="43"/>
      <c r="AG939" s="43"/>
      <c r="AL939" s="43"/>
      <c r="AQ939" s="43"/>
      <c r="AV939" s="43"/>
      <c r="BA939" s="43"/>
      <c r="BF939" s="43"/>
      <c r="BK939" s="43"/>
      <c r="BQ939" s="43"/>
      <c r="BV939" s="43"/>
      <c r="CC939" s="43"/>
    </row>
    <row r="940" spans="2:81" ht="15.75" customHeight="1">
      <c r="B940" s="36"/>
      <c r="D940" s="36"/>
      <c r="F940" s="43"/>
      <c r="L940" s="43"/>
      <c r="Q940" s="43"/>
      <c r="V940" s="43"/>
      <c r="AD940" s="43"/>
      <c r="AG940" s="43"/>
      <c r="AL940" s="43"/>
      <c r="AQ940" s="43"/>
      <c r="AV940" s="43"/>
      <c r="BA940" s="43"/>
      <c r="BF940" s="43"/>
      <c r="BK940" s="43"/>
      <c r="BQ940" s="43"/>
      <c r="BV940" s="43"/>
      <c r="CC940" s="43"/>
    </row>
    <row r="941" spans="2:81" ht="15.75" customHeight="1">
      <c r="B941" s="36"/>
      <c r="D941" s="36"/>
      <c r="F941" s="43"/>
      <c r="L941" s="43"/>
      <c r="Q941" s="43"/>
      <c r="V941" s="43"/>
      <c r="AD941" s="43"/>
      <c r="AG941" s="43"/>
      <c r="AL941" s="43"/>
      <c r="AQ941" s="43"/>
      <c r="AV941" s="43"/>
      <c r="BA941" s="43"/>
      <c r="BF941" s="43"/>
      <c r="BK941" s="43"/>
      <c r="BQ941" s="43"/>
      <c r="BV941" s="43"/>
      <c r="CC941" s="43"/>
    </row>
    <row r="942" spans="2:81" ht="15.75" customHeight="1">
      <c r="B942" s="36"/>
      <c r="D942" s="36"/>
      <c r="F942" s="43"/>
      <c r="L942" s="43"/>
      <c r="Q942" s="43"/>
      <c r="V942" s="43"/>
      <c r="AD942" s="43"/>
      <c r="AG942" s="43"/>
      <c r="AL942" s="43"/>
      <c r="AQ942" s="43"/>
      <c r="AV942" s="43"/>
      <c r="BA942" s="43"/>
      <c r="BF942" s="43"/>
      <c r="BK942" s="43"/>
      <c r="BQ942" s="43"/>
      <c r="BV942" s="43"/>
      <c r="CC942" s="43"/>
    </row>
    <row r="943" spans="2:81" ht="15.75" customHeight="1">
      <c r="B943" s="36"/>
      <c r="D943" s="36"/>
      <c r="F943" s="43"/>
      <c r="L943" s="43"/>
      <c r="Q943" s="43"/>
      <c r="V943" s="43"/>
      <c r="AD943" s="43"/>
      <c r="AG943" s="43"/>
      <c r="AL943" s="43"/>
      <c r="AQ943" s="43"/>
      <c r="AV943" s="43"/>
      <c r="BA943" s="43"/>
      <c r="BF943" s="43"/>
      <c r="BK943" s="43"/>
      <c r="BQ943" s="43"/>
      <c r="BV943" s="43"/>
      <c r="CC943" s="43"/>
    </row>
    <row r="944" spans="2:81" ht="15.75" customHeight="1">
      <c r="B944" s="36"/>
      <c r="D944" s="36"/>
      <c r="F944" s="43"/>
      <c r="L944" s="43"/>
      <c r="Q944" s="43"/>
      <c r="V944" s="43"/>
      <c r="AD944" s="43"/>
      <c r="AG944" s="43"/>
      <c r="AL944" s="43"/>
      <c r="AQ944" s="43"/>
      <c r="AV944" s="43"/>
      <c r="BA944" s="43"/>
      <c r="BF944" s="43"/>
      <c r="BK944" s="43"/>
      <c r="BQ944" s="43"/>
      <c r="BV944" s="43"/>
      <c r="CC944" s="43"/>
    </row>
    <row r="945" spans="2:81" ht="15.75" customHeight="1">
      <c r="B945" s="36"/>
      <c r="D945" s="36"/>
      <c r="F945" s="43"/>
      <c r="L945" s="43"/>
      <c r="Q945" s="43"/>
      <c r="V945" s="43"/>
      <c r="AD945" s="43"/>
      <c r="AG945" s="43"/>
      <c r="AL945" s="43"/>
      <c r="AQ945" s="43"/>
      <c r="AV945" s="43"/>
      <c r="BA945" s="43"/>
      <c r="BF945" s="43"/>
      <c r="BK945" s="43"/>
      <c r="BQ945" s="43"/>
      <c r="BV945" s="43"/>
      <c r="CC945" s="43"/>
    </row>
    <row r="946" spans="2:81" ht="15.75" customHeight="1">
      <c r="B946" s="36"/>
      <c r="D946" s="36"/>
      <c r="F946" s="43"/>
      <c r="L946" s="43"/>
      <c r="Q946" s="43"/>
      <c r="V946" s="43"/>
      <c r="AD946" s="43"/>
      <c r="AG946" s="43"/>
      <c r="AL946" s="43"/>
      <c r="AQ946" s="43"/>
      <c r="AV946" s="43"/>
      <c r="BA946" s="43"/>
      <c r="BF946" s="43"/>
      <c r="BK946" s="43"/>
      <c r="BQ946" s="43"/>
      <c r="BV946" s="43"/>
      <c r="CC946" s="43"/>
    </row>
    <row r="947" spans="2:81" ht="15.75" customHeight="1">
      <c r="B947" s="36"/>
      <c r="D947" s="36"/>
      <c r="F947" s="43"/>
      <c r="L947" s="43"/>
      <c r="Q947" s="43"/>
      <c r="V947" s="43"/>
      <c r="AD947" s="43"/>
      <c r="AG947" s="43"/>
      <c r="AL947" s="43"/>
      <c r="AQ947" s="43"/>
      <c r="AV947" s="43"/>
      <c r="BA947" s="43"/>
      <c r="BF947" s="43"/>
      <c r="BK947" s="43"/>
      <c r="BQ947" s="43"/>
      <c r="BV947" s="43"/>
      <c r="CC947" s="43"/>
    </row>
    <row r="948" spans="2:81" ht="15.75" customHeight="1">
      <c r="B948" s="36"/>
      <c r="D948" s="36"/>
      <c r="F948" s="43"/>
      <c r="L948" s="43"/>
      <c r="Q948" s="43"/>
      <c r="V948" s="43"/>
      <c r="AD948" s="43"/>
      <c r="AG948" s="43"/>
      <c r="AL948" s="43"/>
      <c r="AQ948" s="43"/>
      <c r="AV948" s="43"/>
      <c r="BA948" s="43"/>
      <c r="BF948" s="43"/>
      <c r="BK948" s="43"/>
      <c r="BQ948" s="43"/>
      <c r="BV948" s="43"/>
      <c r="CC948" s="43"/>
    </row>
    <row r="949" spans="2:81" ht="15.75" customHeight="1">
      <c r="B949" s="36"/>
      <c r="D949" s="36"/>
      <c r="F949" s="43"/>
      <c r="L949" s="43"/>
      <c r="Q949" s="43"/>
      <c r="V949" s="43"/>
      <c r="AD949" s="43"/>
      <c r="AG949" s="43"/>
      <c r="AL949" s="43"/>
      <c r="AQ949" s="43"/>
      <c r="AV949" s="43"/>
      <c r="BA949" s="43"/>
      <c r="BF949" s="43"/>
      <c r="BK949" s="43"/>
      <c r="BQ949" s="43"/>
      <c r="BV949" s="43"/>
      <c r="CC949" s="43"/>
    </row>
    <row r="950" spans="2:81" ht="15.75" customHeight="1">
      <c r="B950" s="36"/>
      <c r="D950" s="36"/>
      <c r="F950" s="43"/>
      <c r="L950" s="43"/>
      <c r="Q950" s="43"/>
      <c r="V950" s="43"/>
      <c r="AD950" s="43"/>
      <c r="AG950" s="43"/>
      <c r="AL950" s="43"/>
      <c r="AQ950" s="43"/>
      <c r="AV950" s="43"/>
      <c r="BA950" s="43"/>
      <c r="BF950" s="43"/>
      <c r="BK950" s="43"/>
      <c r="BQ950" s="43"/>
      <c r="BV950" s="43"/>
      <c r="CC950" s="43"/>
    </row>
    <row r="951" spans="2:81" ht="15.75" customHeight="1">
      <c r="B951" s="36"/>
      <c r="D951" s="36"/>
      <c r="F951" s="43"/>
      <c r="L951" s="43"/>
      <c r="Q951" s="43"/>
      <c r="V951" s="43"/>
      <c r="AD951" s="43"/>
      <c r="AG951" s="43"/>
      <c r="AL951" s="43"/>
      <c r="AQ951" s="43"/>
      <c r="AV951" s="43"/>
      <c r="BA951" s="43"/>
      <c r="BF951" s="43"/>
      <c r="BK951" s="43"/>
      <c r="BQ951" s="43"/>
      <c r="BV951" s="43"/>
      <c r="CC951" s="43"/>
    </row>
    <row r="952" spans="2:81" ht="15.75" customHeight="1">
      <c r="B952" s="36"/>
      <c r="D952" s="36"/>
      <c r="F952" s="43"/>
      <c r="L952" s="43"/>
      <c r="Q952" s="43"/>
      <c r="V952" s="43"/>
      <c r="AD952" s="43"/>
      <c r="AG952" s="43"/>
      <c r="AL952" s="43"/>
      <c r="AQ952" s="43"/>
      <c r="AV952" s="43"/>
      <c r="BA952" s="43"/>
      <c r="BF952" s="43"/>
      <c r="BK952" s="43"/>
      <c r="BQ952" s="43"/>
      <c r="BV952" s="43"/>
      <c r="CC952" s="43"/>
    </row>
    <row r="953" spans="2:81" ht="15.75" customHeight="1">
      <c r="B953" s="36"/>
      <c r="D953" s="36"/>
      <c r="F953" s="43"/>
      <c r="L953" s="43"/>
      <c r="Q953" s="43"/>
      <c r="V953" s="43"/>
      <c r="AD953" s="43"/>
      <c r="AG953" s="43"/>
      <c r="AL953" s="43"/>
      <c r="AQ953" s="43"/>
      <c r="AV953" s="43"/>
      <c r="BA953" s="43"/>
      <c r="BF953" s="43"/>
      <c r="BK953" s="43"/>
      <c r="BQ953" s="43"/>
      <c r="BV953" s="43"/>
      <c r="CC953" s="43"/>
    </row>
    <row r="954" spans="2:81" ht="15.75" customHeight="1">
      <c r="B954" s="36"/>
      <c r="D954" s="36"/>
      <c r="F954" s="43"/>
      <c r="L954" s="43"/>
      <c r="Q954" s="43"/>
      <c r="V954" s="43"/>
      <c r="AD954" s="43"/>
      <c r="AG954" s="43"/>
      <c r="AL954" s="43"/>
      <c r="AQ954" s="43"/>
      <c r="AV954" s="43"/>
      <c r="BA954" s="43"/>
      <c r="BF954" s="43"/>
      <c r="BK954" s="43"/>
      <c r="BQ954" s="43"/>
      <c r="BV954" s="43"/>
      <c r="CC954" s="43"/>
    </row>
    <row r="955" spans="2:81" ht="15.75" customHeight="1">
      <c r="B955" s="36"/>
      <c r="D955" s="36"/>
      <c r="F955" s="43"/>
      <c r="L955" s="43"/>
      <c r="Q955" s="43"/>
      <c r="V955" s="43"/>
      <c r="AD955" s="43"/>
      <c r="AG955" s="43"/>
      <c r="AL955" s="43"/>
      <c r="AQ955" s="43"/>
      <c r="AV955" s="43"/>
      <c r="BA955" s="43"/>
      <c r="BF955" s="43"/>
      <c r="BK955" s="43"/>
      <c r="BQ955" s="43"/>
      <c r="BV955" s="43"/>
      <c r="CC955" s="43"/>
    </row>
    <row r="956" spans="2:81" ht="15.75" customHeight="1">
      <c r="B956" s="36"/>
      <c r="D956" s="36"/>
      <c r="F956" s="43"/>
      <c r="L956" s="43"/>
      <c r="Q956" s="43"/>
      <c r="V956" s="43"/>
      <c r="AD956" s="43"/>
      <c r="AG956" s="43"/>
      <c r="AL956" s="43"/>
      <c r="AQ956" s="43"/>
      <c r="AV956" s="43"/>
      <c r="BA956" s="43"/>
      <c r="BF956" s="43"/>
      <c r="BK956" s="43"/>
      <c r="BQ956" s="43"/>
      <c r="BV956" s="43"/>
      <c r="CC956" s="43"/>
    </row>
    <row r="957" spans="2:81" ht="15.75" customHeight="1">
      <c r="B957" s="36"/>
      <c r="D957" s="36"/>
      <c r="F957" s="43"/>
      <c r="L957" s="43"/>
      <c r="Q957" s="43"/>
      <c r="V957" s="43"/>
      <c r="AD957" s="43"/>
      <c r="AG957" s="43"/>
      <c r="AL957" s="43"/>
      <c r="AQ957" s="43"/>
      <c r="AV957" s="43"/>
      <c r="BA957" s="43"/>
      <c r="BF957" s="43"/>
      <c r="BK957" s="43"/>
      <c r="BQ957" s="43"/>
      <c r="BV957" s="43"/>
      <c r="CC957" s="43"/>
    </row>
    <row r="958" spans="2:81" ht="15.75" customHeight="1">
      <c r="B958" s="36"/>
      <c r="D958" s="36"/>
      <c r="F958" s="43"/>
      <c r="L958" s="43"/>
      <c r="Q958" s="43"/>
      <c r="V958" s="43"/>
      <c r="AD958" s="43"/>
      <c r="AG958" s="43"/>
      <c r="AL958" s="43"/>
      <c r="AQ958" s="43"/>
      <c r="AV958" s="43"/>
      <c r="BA958" s="43"/>
      <c r="BF958" s="43"/>
      <c r="BK958" s="43"/>
      <c r="BQ958" s="43"/>
      <c r="BV958" s="43"/>
      <c r="CC958" s="43"/>
    </row>
    <row r="959" spans="2:81" ht="15.75" customHeight="1">
      <c r="B959" s="36"/>
      <c r="D959" s="36"/>
      <c r="F959" s="43"/>
      <c r="L959" s="43"/>
      <c r="Q959" s="43"/>
      <c r="V959" s="43"/>
      <c r="AD959" s="43"/>
      <c r="AG959" s="43"/>
      <c r="AL959" s="43"/>
      <c r="AQ959" s="43"/>
      <c r="AV959" s="43"/>
      <c r="BA959" s="43"/>
      <c r="BF959" s="43"/>
      <c r="BK959" s="43"/>
      <c r="BQ959" s="43"/>
      <c r="BV959" s="43"/>
      <c r="CC959" s="43"/>
    </row>
    <row r="960" spans="2:81" ht="15.75" customHeight="1">
      <c r="B960" s="36"/>
      <c r="D960" s="36"/>
      <c r="F960" s="43"/>
      <c r="L960" s="43"/>
      <c r="Q960" s="43"/>
      <c r="V960" s="43"/>
      <c r="AD960" s="43"/>
      <c r="AG960" s="43"/>
      <c r="AL960" s="43"/>
      <c r="AQ960" s="43"/>
      <c r="AV960" s="43"/>
      <c r="BA960" s="43"/>
      <c r="BF960" s="43"/>
      <c r="BK960" s="43"/>
      <c r="BQ960" s="43"/>
      <c r="BV960" s="43"/>
      <c r="CC960" s="43"/>
    </row>
    <row r="961" spans="2:81" ht="15.75" customHeight="1">
      <c r="B961" s="36"/>
      <c r="D961" s="36"/>
      <c r="F961" s="43"/>
      <c r="L961" s="43"/>
      <c r="Q961" s="43"/>
      <c r="V961" s="43"/>
      <c r="AD961" s="43"/>
      <c r="AG961" s="43"/>
      <c r="AL961" s="43"/>
      <c r="AQ961" s="43"/>
      <c r="AV961" s="43"/>
      <c r="BA961" s="43"/>
      <c r="BF961" s="43"/>
      <c r="BK961" s="43"/>
      <c r="BQ961" s="43"/>
      <c r="BV961" s="43"/>
      <c r="CC961" s="43"/>
    </row>
    <row r="962" spans="2:81" ht="15.75" customHeight="1">
      <c r="B962" s="36"/>
      <c r="D962" s="36"/>
      <c r="F962" s="43"/>
      <c r="L962" s="43"/>
      <c r="Q962" s="43"/>
      <c r="V962" s="43"/>
      <c r="AD962" s="43"/>
      <c r="AG962" s="43"/>
      <c r="AL962" s="43"/>
      <c r="AQ962" s="43"/>
      <c r="AV962" s="43"/>
      <c r="BA962" s="43"/>
      <c r="BF962" s="43"/>
      <c r="BK962" s="43"/>
      <c r="BQ962" s="43"/>
      <c r="BV962" s="43"/>
      <c r="CC962" s="43"/>
    </row>
    <row r="963" spans="2:81" ht="15.75" customHeight="1">
      <c r="B963" s="36"/>
      <c r="D963" s="36"/>
      <c r="F963" s="43"/>
      <c r="L963" s="43"/>
      <c r="Q963" s="43"/>
      <c r="V963" s="43"/>
      <c r="AD963" s="43"/>
      <c r="AG963" s="43"/>
      <c r="AL963" s="43"/>
      <c r="AQ963" s="43"/>
      <c r="AV963" s="43"/>
      <c r="BA963" s="43"/>
      <c r="BF963" s="43"/>
      <c r="BK963" s="43"/>
      <c r="BQ963" s="43"/>
      <c r="BV963" s="43"/>
      <c r="CC963" s="43"/>
    </row>
    <row r="964" spans="2:81" ht="15.75" customHeight="1">
      <c r="B964" s="36"/>
      <c r="D964" s="36"/>
      <c r="F964" s="43"/>
      <c r="L964" s="43"/>
      <c r="Q964" s="43"/>
      <c r="V964" s="43"/>
      <c r="AD964" s="43"/>
      <c r="AG964" s="43"/>
      <c r="AL964" s="43"/>
      <c r="AQ964" s="43"/>
      <c r="AV964" s="43"/>
      <c r="BA964" s="43"/>
      <c r="BF964" s="43"/>
      <c r="BK964" s="43"/>
      <c r="BQ964" s="43"/>
      <c r="BV964" s="43"/>
      <c r="CC964" s="43"/>
    </row>
    <row r="965" spans="2:81" ht="15.75" customHeight="1">
      <c r="B965" s="36"/>
      <c r="D965" s="36"/>
      <c r="F965" s="43"/>
      <c r="L965" s="43"/>
      <c r="Q965" s="43"/>
      <c r="V965" s="43"/>
      <c r="AD965" s="43"/>
      <c r="AG965" s="43"/>
      <c r="AL965" s="43"/>
      <c r="AQ965" s="43"/>
      <c r="AV965" s="43"/>
      <c r="BA965" s="43"/>
      <c r="BF965" s="43"/>
      <c r="BK965" s="43"/>
      <c r="BQ965" s="43"/>
      <c r="BV965" s="43"/>
      <c r="CC965" s="43"/>
    </row>
    <row r="966" spans="2:81" ht="15.75" customHeight="1">
      <c r="B966" s="36"/>
      <c r="D966" s="36"/>
      <c r="F966" s="43"/>
      <c r="L966" s="43"/>
      <c r="Q966" s="43"/>
      <c r="V966" s="43"/>
      <c r="AD966" s="43"/>
      <c r="AG966" s="43"/>
      <c r="AL966" s="43"/>
      <c r="AQ966" s="43"/>
      <c r="AV966" s="43"/>
      <c r="BA966" s="43"/>
      <c r="BF966" s="43"/>
      <c r="BK966" s="43"/>
      <c r="BQ966" s="43"/>
      <c r="BV966" s="43"/>
      <c r="CC966" s="43"/>
    </row>
    <row r="967" spans="2:81" ht="15.75" customHeight="1">
      <c r="B967" s="36"/>
      <c r="D967" s="36"/>
      <c r="F967" s="43"/>
      <c r="L967" s="43"/>
      <c r="Q967" s="43"/>
      <c r="V967" s="43"/>
      <c r="AD967" s="43"/>
      <c r="AG967" s="43"/>
      <c r="AL967" s="43"/>
      <c r="AQ967" s="43"/>
      <c r="AV967" s="43"/>
      <c r="BA967" s="43"/>
      <c r="BF967" s="43"/>
      <c r="BK967" s="43"/>
      <c r="BQ967" s="43"/>
      <c r="BV967" s="43"/>
      <c r="CC967" s="43"/>
    </row>
    <row r="968" spans="2:81" ht="15.75" customHeight="1">
      <c r="B968" s="36"/>
      <c r="D968" s="36"/>
      <c r="F968" s="43"/>
      <c r="L968" s="43"/>
      <c r="Q968" s="43"/>
      <c r="V968" s="43"/>
      <c r="AD968" s="43"/>
      <c r="AG968" s="43"/>
      <c r="AL968" s="43"/>
      <c r="AQ968" s="43"/>
      <c r="AV968" s="43"/>
      <c r="BA968" s="43"/>
      <c r="BF968" s="43"/>
      <c r="BK968" s="43"/>
      <c r="BQ968" s="43"/>
      <c r="BV968" s="43"/>
      <c r="CC968" s="43"/>
    </row>
    <row r="969" spans="2:81" ht="15.75" customHeight="1">
      <c r="B969" s="36"/>
      <c r="D969" s="36"/>
      <c r="F969" s="43"/>
      <c r="L969" s="43"/>
      <c r="Q969" s="43"/>
      <c r="V969" s="43"/>
      <c r="AD969" s="43"/>
      <c r="AG969" s="43"/>
      <c r="AL969" s="43"/>
      <c r="AQ969" s="43"/>
      <c r="AV969" s="43"/>
      <c r="BA969" s="43"/>
      <c r="BF969" s="43"/>
      <c r="BK969" s="43"/>
      <c r="BQ969" s="43"/>
      <c r="BV969" s="43"/>
      <c r="CC969" s="43"/>
    </row>
    <row r="970" spans="2:81" ht="15.75" customHeight="1">
      <c r="B970" s="36"/>
      <c r="D970" s="36"/>
      <c r="F970" s="43"/>
      <c r="L970" s="43"/>
      <c r="Q970" s="43"/>
      <c r="V970" s="43"/>
      <c r="AD970" s="43"/>
      <c r="AG970" s="43"/>
      <c r="AL970" s="43"/>
      <c r="AQ970" s="43"/>
      <c r="AV970" s="43"/>
      <c r="BA970" s="43"/>
      <c r="BF970" s="43"/>
      <c r="BK970" s="43"/>
      <c r="BQ970" s="43"/>
      <c r="BV970" s="43"/>
      <c r="CC970" s="43"/>
    </row>
    <row r="971" spans="2:81" ht="15.75" customHeight="1">
      <c r="B971" s="36"/>
      <c r="D971" s="36"/>
      <c r="F971" s="43"/>
      <c r="L971" s="43"/>
      <c r="Q971" s="43"/>
      <c r="V971" s="43"/>
      <c r="AD971" s="43"/>
      <c r="AG971" s="43"/>
      <c r="AL971" s="43"/>
      <c r="AQ971" s="43"/>
      <c r="AV971" s="43"/>
      <c r="BA971" s="43"/>
      <c r="BF971" s="43"/>
      <c r="BK971" s="43"/>
      <c r="BQ971" s="43"/>
      <c r="BV971" s="43"/>
      <c r="CC971" s="43"/>
    </row>
    <row r="972" spans="2:81" ht="15.75" customHeight="1">
      <c r="B972" s="36"/>
      <c r="D972" s="36"/>
      <c r="F972" s="43"/>
      <c r="L972" s="43"/>
      <c r="Q972" s="43"/>
      <c r="V972" s="43"/>
      <c r="AD972" s="43"/>
      <c r="AG972" s="43"/>
      <c r="AL972" s="43"/>
      <c r="AQ972" s="43"/>
      <c r="AV972" s="43"/>
      <c r="BA972" s="43"/>
      <c r="BF972" s="43"/>
      <c r="BK972" s="43"/>
      <c r="BQ972" s="43"/>
      <c r="BV972" s="43"/>
      <c r="CC972" s="43"/>
    </row>
    <row r="973" spans="2:81" ht="15.75" customHeight="1">
      <c r="B973" s="36"/>
      <c r="D973" s="36"/>
      <c r="F973" s="43"/>
      <c r="L973" s="43"/>
      <c r="Q973" s="43"/>
      <c r="V973" s="43"/>
      <c r="AD973" s="43"/>
      <c r="AG973" s="43"/>
      <c r="AL973" s="43"/>
      <c r="AQ973" s="43"/>
      <c r="AV973" s="43"/>
      <c r="BA973" s="43"/>
      <c r="BF973" s="43"/>
      <c r="BK973" s="43"/>
      <c r="BQ973" s="43"/>
      <c r="BV973" s="43"/>
      <c r="CC973" s="43"/>
    </row>
    <row r="974" spans="2:81" ht="15.75" customHeight="1">
      <c r="B974" s="36"/>
      <c r="D974" s="36"/>
      <c r="F974" s="43"/>
      <c r="L974" s="43"/>
      <c r="Q974" s="43"/>
      <c r="V974" s="43"/>
      <c r="AD974" s="43"/>
      <c r="AG974" s="43"/>
      <c r="AL974" s="43"/>
      <c r="AQ974" s="43"/>
      <c r="AV974" s="43"/>
      <c r="BA974" s="43"/>
      <c r="BF974" s="43"/>
      <c r="BK974" s="43"/>
      <c r="BQ974" s="43"/>
      <c r="BV974" s="43"/>
      <c r="CC974" s="43"/>
    </row>
    <row r="975" spans="2:81" ht="15.75" customHeight="1">
      <c r="B975" s="36"/>
      <c r="D975" s="36"/>
      <c r="F975" s="43"/>
      <c r="L975" s="43"/>
      <c r="Q975" s="43"/>
      <c r="V975" s="43"/>
      <c r="AD975" s="43"/>
      <c r="AG975" s="43"/>
      <c r="AL975" s="43"/>
      <c r="AQ975" s="43"/>
      <c r="AV975" s="43"/>
      <c r="BA975" s="43"/>
      <c r="BF975" s="43"/>
      <c r="BK975" s="43"/>
      <c r="BQ975" s="43"/>
      <c r="BV975" s="43"/>
      <c r="CC975" s="43"/>
    </row>
    <row r="976" spans="2:81" ht="15.75" customHeight="1">
      <c r="B976" s="36"/>
      <c r="D976" s="36"/>
      <c r="F976" s="43"/>
      <c r="L976" s="43"/>
      <c r="Q976" s="43"/>
      <c r="V976" s="43"/>
      <c r="AD976" s="43"/>
      <c r="AG976" s="43"/>
      <c r="AL976" s="43"/>
      <c r="AQ976" s="43"/>
      <c r="AV976" s="43"/>
      <c r="BA976" s="43"/>
      <c r="BF976" s="43"/>
      <c r="BK976" s="43"/>
      <c r="BQ976" s="43"/>
      <c r="BV976" s="43"/>
      <c r="CC976" s="43"/>
    </row>
    <row r="977" spans="2:81" ht="15.75" customHeight="1">
      <c r="B977" s="36"/>
      <c r="D977" s="36"/>
      <c r="F977" s="43"/>
      <c r="L977" s="43"/>
      <c r="Q977" s="43"/>
      <c r="V977" s="43"/>
      <c r="AD977" s="43"/>
      <c r="AG977" s="43"/>
      <c r="AL977" s="43"/>
      <c r="AQ977" s="43"/>
      <c r="AV977" s="43"/>
      <c r="BA977" s="43"/>
      <c r="BF977" s="43"/>
      <c r="BK977" s="43"/>
      <c r="BQ977" s="43"/>
      <c r="BV977" s="43"/>
      <c r="CC977" s="43"/>
    </row>
    <row r="978" spans="2:81" ht="15.75" customHeight="1">
      <c r="B978" s="36"/>
      <c r="D978" s="36"/>
      <c r="F978" s="43"/>
      <c r="L978" s="43"/>
      <c r="Q978" s="43"/>
      <c r="V978" s="43"/>
      <c r="AD978" s="43"/>
      <c r="AG978" s="43"/>
      <c r="AL978" s="43"/>
      <c r="AQ978" s="43"/>
      <c r="AV978" s="43"/>
      <c r="BA978" s="43"/>
      <c r="BF978" s="43"/>
      <c r="BK978" s="43"/>
      <c r="BQ978" s="43"/>
      <c r="BV978" s="43"/>
      <c r="CC978" s="43"/>
    </row>
    <row r="979" spans="2:81" ht="15.75" customHeight="1">
      <c r="B979" s="36"/>
      <c r="D979" s="36"/>
      <c r="F979" s="43"/>
      <c r="L979" s="43"/>
      <c r="Q979" s="43"/>
      <c r="V979" s="43"/>
      <c r="AD979" s="43"/>
      <c r="AG979" s="43"/>
      <c r="AL979" s="43"/>
      <c r="AQ979" s="43"/>
      <c r="AV979" s="43"/>
      <c r="BA979" s="43"/>
      <c r="BF979" s="43"/>
      <c r="BK979" s="43"/>
      <c r="BQ979" s="43"/>
      <c r="BV979" s="43"/>
      <c r="CC979" s="43"/>
    </row>
    <row r="980" spans="2:81" ht="15.75" customHeight="1">
      <c r="B980" s="36"/>
      <c r="D980" s="36"/>
      <c r="F980" s="43"/>
      <c r="L980" s="43"/>
      <c r="Q980" s="43"/>
      <c r="V980" s="43"/>
      <c r="AD980" s="43"/>
      <c r="AG980" s="43"/>
      <c r="AL980" s="43"/>
      <c r="AQ980" s="43"/>
      <c r="AV980" s="43"/>
      <c r="BA980" s="43"/>
      <c r="BF980" s="43"/>
      <c r="BK980" s="43"/>
      <c r="BQ980" s="43"/>
      <c r="BV980" s="43"/>
      <c r="CC980" s="43"/>
    </row>
    <row r="981" spans="2:81" ht="15.75" customHeight="1">
      <c r="B981" s="36"/>
      <c r="D981" s="36"/>
      <c r="F981" s="43"/>
      <c r="L981" s="43"/>
      <c r="Q981" s="43"/>
      <c r="V981" s="43"/>
      <c r="AD981" s="43"/>
      <c r="AG981" s="43"/>
      <c r="AL981" s="43"/>
      <c r="AQ981" s="43"/>
      <c r="AV981" s="43"/>
      <c r="BA981" s="43"/>
      <c r="BF981" s="43"/>
      <c r="BK981" s="43"/>
      <c r="BQ981" s="43"/>
      <c r="BV981" s="43"/>
      <c r="CC981" s="43"/>
    </row>
    <row r="982" spans="2:81" ht="15.75" customHeight="1">
      <c r="B982" s="36"/>
      <c r="D982" s="36"/>
      <c r="F982" s="43"/>
      <c r="L982" s="43"/>
      <c r="Q982" s="43"/>
      <c r="V982" s="43"/>
      <c r="AD982" s="43"/>
      <c r="AG982" s="43"/>
      <c r="AL982" s="43"/>
      <c r="AQ982" s="43"/>
      <c r="AV982" s="43"/>
      <c r="BA982" s="43"/>
      <c r="BF982" s="43"/>
      <c r="BK982" s="43"/>
      <c r="BQ982" s="43"/>
      <c r="BV982" s="43"/>
      <c r="CC982" s="43"/>
    </row>
    <row r="983" spans="2:81" ht="15.75" customHeight="1">
      <c r="B983" s="36"/>
      <c r="D983" s="36"/>
      <c r="F983" s="43"/>
      <c r="L983" s="43"/>
      <c r="Q983" s="43"/>
      <c r="V983" s="43"/>
      <c r="AD983" s="43"/>
      <c r="AG983" s="43"/>
      <c r="AL983" s="43"/>
      <c r="AQ983" s="43"/>
      <c r="AV983" s="43"/>
      <c r="BA983" s="43"/>
      <c r="BF983" s="43"/>
      <c r="BK983" s="43"/>
      <c r="BQ983" s="43"/>
      <c r="BV983" s="43"/>
      <c r="CC983" s="43"/>
    </row>
    <row r="984" spans="2:81" ht="15.75" customHeight="1">
      <c r="B984" s="36"/>
      <c r="D984" s="36"/>
      <c r="F984" s="43"/>
      <c r="L984" s="43"/>
      <c r="Q984" s="43"/>
      <c r="V984" s="43"/>
      <c r="AD984" s="43"/>
      <c r="AG984" s="43"/>
      <c r="AL984" s="43"/>
      <c r="AQ984" s="43"/>
      <c r="AV984" s="43"/>
      <c r="BA984" s="43"/>
      <c r="BF984" s="43"/>
      <c r="BK984" s="43"/>
      <c r="BQ984" s="43"/>
      <c r="BV984" s="43"/>
      <c r="CC984" s="43"/>
    </row>
    <row r="985" spans="2:81" ht="15.75" customHeight="1">
      <c r="B985" s="36"/>
      <c r="D985" s="36"/>
      <c r="F985" s="43"/>
      <c r="L985" s="43"/>
      <c r="Q985" s="43"/>
      <c r="V985" s="43"/>
      <c r="AD985" s="43"/>
      <c r="AG985" s="43"/>
      <c r="AL985" s="43"/>
      <c r="AQ985" s="43"/>
      <c r="AV985" s="43"/>
      <c r="BA985" s="43"/>
      <c r="BF985" s="43"/>
      <c r="BK985" s="43"/>
      <c r="BQ985" s="43"/>
      <c r="BV985" s="43"/>
      <c r="CC985" s="43"/>
    </row>
    <row r="986" spans="2:81" ht="15.75" customHeight="1">
      <c r="B986" s="36"/>
      <c r="D986" s="36"/>
      <c r="F986" s="43"/>
      <c r="L986" s="43"/>
      <c r="Q986" s="43"/>
      <c r="V986" s="43"/>
      <c r="AD986" s="43"/>
      <c r="AG986" s="43"/>
      <c r="AL986" s="43"/>
      <c r="AQ986" s="43"/>
      <c r="AV986" s="43"/>
      <c r="BA986" s="43"/>
      <c r="BF986" s="43"/>
      <c r="BK986" s="43"/>
      <c r="BQ986" s="43"/>
      <c r="BV986" s="43"/>
      <c r="CC986" s="43"/>
    </row>
    <row r="987" spans="2:81" ht="15.75" customHeight="1">
      <c r="B987" s="36"/>
      <c r="D987" s="36"/>
      <c r="F987" s="43"/>
      <c r="L987" s="43"/>
      <c r="Q987" s="43"/>
      <c r="V987" s="43"/>
      <c r="AD987" s="43"/>
      <c r="AG987" s="43"/>
      <c r="AL987" s="43"/>
      <c r="AQ987" s="43"/>
      <c r="AV987" s="43"/>
      <c r="BA987" s="43"/>
      <c r="BF987" s="43"/>
      <c r="BK987" s="43"/>
      <c r="BQ987" s="43"/>
      <c r="BV987" s="43"/>
      <c r="CC987" s="43"/>
    </row>
    <row r="988" spans="2:81" ht="15.75" customHeight="1">
      <c r="B988" s="36"/>
      <c r="D988" s="36"/>
      <c r="F988" s="43"/>
      <c r="L988" s="43"/>
      <c r="Q988" s="43"/>
      <c r="V988" s="43"/>
      <c r="AD988" s="43"/>
      <c r="AG988" s="43"/>
      <c r="AL988" s="43"/>
      <c r="AQ988" s="43"/>
      <c r="AV988" s="43"/>
      <c r="BA988" s="43"/>
      <c r="BF988" s="43"/>
      <c r="BK988" s="43"/>
      <c r="BQ988" s="43"/>
      <c r="BV988" s="43"/>
      <c r="CC988" s="43"/>
    </row>
    <row r="989" spans="2:81" ht="15.75" customHeight="1">
      <c r="B989" s="36"/>
      <c r="D989" s="36"/>
      <c r="F989" s="43"/>
      <c r="L989" s="43"/>
      <c r="Q989" s="43"/>
      <c r="V989" s="43"/>
      <c r="AD989" s="43"/>
      <c r="AG989" s="43"/>
      <c r="AL989" s="43"/>
      <c r="AQ989" s="43"/>
      <c r="AV989" s="43"/>
      <c r="BA989" s="43"/>
      <c r="BF989" s="43"/>
      <c r="BK989" s="43"/>
      <c r="BQ989" s="43"/>
      <c r="BV989" s="43"/>
      <c r="CC989" s="43"/>
    </row>
    <row r="990" spans="2:81" ht="15.75" customHeight="1">
      <c r="B990" s="36"/>
      <c r="D990" s="36"/>
      <c r="F990" s="43"/>
      <c r="L990" s="43"/>
      <c r="Q990" s="43"/>
      <c r="V990" s="43"/>
      <c r="AD990" s="43"/>
      <c r="AG990" s="43"/>
      <c r="AL990" s="43"/>
      <c r="AQ990" s="43"/>
      <c r="AV990" s="43"/>
      <c r="BA990" s="43"/>
      <c r="BF990" s="43"/>
      <c r="BK990" s="43"/>
      <c r="BQ990" s="43"/>
      <c r="BV990" s="43"/>
      <c r="CC990" s="43"/>
    </row>
    <row r="991" spans="2:81" ht="15.75" customHeight="1">
      <c r="B991" s="36"/>
      <c r="D991" s="36"/>
      <c r="F991" s="43"/>
      <c r="L991" s="43"/>
      <c r="Q991" s="43"/>
      <c r="V991" s="43"/>
      <c r="AD991" s="43"/>
      <c r="AG991" s="43"/>
      <c r="AL991" s="43"/>
      <c r="AQ991" s="43"/>
      <c r="AV991" s="43"/>
      <c r="BA991" s="43"/>
      <c r="BF991" s="43"/>
      <c r="BK991" s="43"/>
      <c r="BQ991" s="43"/>
      <c r="BV991" s="43"/>
      <c r="CC991" s="43"/>
    </row>
    <row r="992" spans="2:81" ht="15.75" customHeight="1">
      <c r="B992" s="36"/>
      <c r="D992" s="36"/>
      <c r="F992" s="43"/>
      <c r="L992" s="43"/>
      <c r="Q992" s="43"/>
      <c r="V992" s="43"/>
      <c r="AD992" s="43"/>
      <c r="AG992" s="43"/>
      <c r="AL992" s="43"/>
      <c r="AQ992" s="43"/>
      <c r="AV992" s="43"/>
      <c r="BA992" s="43"/>
      <c r="BF992" s="43"/>
      <c r="BK992" s="43"/>
      <c r="BQ992" s="43"/>
      <c r="BV992" s="43"/>
      <c r="CC992" s="43"/>
    </row>
    <row r="993" spans="2:81" ht="15.75" customHeight="1">
      <c r="B993" s="36"/>
      <c r="D993" s="36"/>
      <c r="F993" s="43"/>
      <c r="L993" s="43"/>
      <c r="Q993" s="43"/>
      <c r="V993" s="43"/>
      <c r="AD993" s="43"/>
      <c r="AG993" s="43"/>
      <c r="AL993" s="43"/>
      <c r="AQ993" s="43"/>
      <c r="AV993" s="43"/>
      <c r="BA993" s="43"/>
      <c r="BF993" s="43"/>
      <c r="BK993" s="43"/>
      <c r="BQ993" s="43"/>
      <c r="BV993" s="43"/>
      <c r="CC993" s="43"/>
    </row>
    <row r="994" spans="2:81" ht="15.75" customHeight="1">
      <c r="B994" s="36"/>
      <c r="D994" s="36"/>
      <c r="F994" s="43"/>
      <c r="L994" s="43"/>
      <c r="Q994" s="43"/>
      <c r="V994" s="43"/>
      <c r="AD994" s="43"/>
      <c r="AG994" s="43"/>
      <c r="AL994" s="43"/>
      <c r="AQ994" s="43"/>
      <c r="AV994" s="43"/>
      <c r="BA994" s="43"/>
      <c r="BF994" s="43"/>
      <c r="BK994" s="43"/>
      <c r="BQ994" s="43"/>
      <c r="BV994" s="43"/>
      <c r="CC994" s="43"/>
    </row>
    <row r="995" spans="2:81" ht="15.75" customHeight="1">
      <c r="B995" s="36"/>
      <c r="D995" s="36"/>
      <c r="F995" s="43"/>
      <c r="L995" s="43"/>
      <c r="Q995" s="43"/>
      <c r="V995" s="43"/>
      <c r="AD995" s="43"/>
      <c r="AG995" s="43"/>
      <c r="AL995" s="43"/>
      <c r="AQ995" s="43"/>
      <c r="AV995" s="43"/>
      <c r="BA995" s="43"/>
      <c r="BF995" s="43"/>
      <c r="BK995" s="43"/>
      <c r="BQ995" s="43"/>
      <c r="BV995" s="43"/>
      <c r="CC995" s="43"/>
    </row>
    <row r="996" spans="2:81" ht="15.75" customHeight="1">
      <c r="B996" s="36"/>
      <c r="D996" s="36"/>
      <c r="F996" s="43"/>
      <c r="L996" s="43"/>
      <c r="Q996" s="43"/>
      <c r="V996" s="43"/>
      <c r="AD996" s="43"/>
      <c r="AG996" s="43"/>
      <c r="AL996" s="43"/>
      <c r="AQ996" s="43"/>
      <c r="AV996" s="43"/>
      <c r="BA996" s="43"/>
      <c r="BF996" s="43"/>
      <c r="BK996" s="43"/>
      <c r="BQ996" s="43"/>
      <c r="BV996" s="43"/>
      <c r="CC996" s="43"/>
    </row>
    <row r="997" spans="2:81" ht="15.75" customHeight="1">
      <c r="B997" s="36"/>
      <c r="D997" s="36"/>
      <c r="F997" s="43"/>
      <c r="L997" s="43"/>
      <c r="Q997" s="43"/>
      <c r="V997" s="43"/>
      <c r="AD997" s="43"/>
      <c r="AG997" s="43"/>
      <c r="AL997" s="43"/>
      <c r="AQ997" s="43"/>
      <c r="AV997" s="43"/>
      <c r="BA997" s="43"/>
      <c r="BF997" s="43"/>
      <c r="BK997" s="43"/>
      <c r="BQ997" s="43"/>
      <c r="BV997" s="43"/>
      <c r="CC997" s="43"/>
    </row>
    <row r="998" spans="2:81" ht="15.75" customHeight="1">
      <c r="B998" s="36"/>
      <c r="D998" s="36"/>
      <c r="F998" s="43"/>
      <c r="L998" s="43"/>
      <c r="Q998" s="43"/>
      <c r="V998" s="43"/>
      <c r="AD998" s="43"/>
      <c r="AG998" s="43"/>
      <c r="AL998" s="43"/>
      <c r="AQ998" s="43"/>
      <c r="AV998" s="43"/>
      <c r="BA998" s="43"/>
      <c r="BF998" s="43"/>
      <c r="BK998" s="43"/>
      <c r="BQ998" s="43"/>
      <c r="BV998" s="43"/>
      <c r="CC998" s="43"/>
    </row>
    <row r="999" spans="2:81" ht="15.75" customHeight="1">
      <c r="B999" s="36"/>
      <c r="D999" s="36"/>
      <c r="F999" s="43"/>
      <c r="L999" s="43"/>
      <c r="Q999" s="43"/>
      <c r="V999" s="43"/>
      <c r="AD999" s="43"/>
      <c r="AG999" s="43"/>
      <c r="AL999" s="43"/>
      <c r="AQ999" s="43"/>
      <c r="AV999" s="43"/>
      <c r="BA999" s="43"/>
      <c r="BF999" s="43"/>
      <c r="BK999" s="43"/>
      <c r="BQ999" s="43"/>
      <c r="BV999" s="43"/>
      <c r="CC999" s="43"/>
    </row>
    <row r="1000" spans="2:81" ht="15.75" customHeight="1">
      <c r="B1000" s="36"/>
      <c r="D1000" s="36"/>
      <c r="F1000" s="43"/>
      <c r="L1000" s="43"/>
      <c r="Q1000" s="43"/>
      <c r="V1000" s="43"/>
      <c r="AD1000" s="43"/>
      <c r="AG1000" s="43"/>
      <c r="AL1000" s="43"/>
      <c r="AQ1000" s="43"/>
      <c r="AV1000" s="43"/>
      <c r="BA1000" s="43"/>
      <c r="BF1000" s="43"/>
      <c r="BK1000" s="43"/>
      <c r="BQ1000" s="43"/>
      <c r="BV1000" s="43"/>
      <c r="CC1000" s="43"/>
    </row>
  </sheetData>
  <mergeCells count="5">
    <mergeCell ref="B15:B16"/>
    <mergeCell ref="B18:B19"/>
    <mergeCell ref="B23:B24"/>
    <mergeCell ref="B25:B26"/>
    <mergeCell ref="B33:B34"/>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3" width="19" customWidth="1"/>
    <col min="4" max="4" width="29.54296875"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5" width="14" customWidth="1"/>
    <col min="66" max="66" width="33.26953125" customWidth="1"/>
    <col min="67" max="68" width="14" customWidth="1"/>
    <col min="69" max="69" width="3.54296875" customWidth="1"/>
    <col min="70" max="73" width="13.81640625" customWidth="1"/>
    <col min="74" max="74" width="3.54296875" customWidth="1"/>
    <col min="75" max="75" width="19.08984375" customWidth="1"/>
    <col min="76" max="76" width="18.26953125" customWidth="1"/>
    <col min="77" max="77" width="39.453125"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36"/>
      <c r="D1" s="36"/>
      <c r="F1" s="43"/>
      <c r="L1" s="43"/>
      <c r="Q1" s="43"/>
      <c r="V1" s="43"/>
      <c r="AD1" s="43"/>
      <c r="AG1" s="43"/>
      <c r="AL1" s="43"/>
      <c r="AQ1" s="43"/>
      <c r="AV1" s="43"/>
      <c r="BA1" s="43"/>
      <c r="BF1" s="43"/>
      <c r="BK1" s="43"/>
      <c r="BQ1" s="43"/>
      <c r="BV1" s="43"/>
      <c r="CC1" s="43"/>
    </row>
    <row r="2" spans="1:85" ht="21.75" customHeight="1">
      <c r="A2" s="1"/>
      <c r="B2" s="44" t="s">
        <v>0</v>
      </c>
      <c r="C2" s="3" t="s">
        <v>15</v>
      </c>
      <c r="D2" s="12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36"/>
      <c r="D3" s="36"/>
      <c r="F3" s="43"/>
      <c r="L3" s="43"/>
      <c r="Q3" s="43"/>
      <c r="V3" s="43"/>
      <c r="AD3" s="43"/>
      <c r="AG3" s="43"/>
      <c r="AL3" s="43"/>
      <c r="AQ3" s="43"/>
      <c r="AV3" s="43"/>
      <c r="BA3" s="43"/>
      <c r="BF3" s="43"/>
      <c r="BK3" s="43"/>
      <c r="BQ3" s="43"/>
      <c r="BV3" s="43"/>
      <c r="CC3" s="43"/>
    </row>
    <row r="4" spans="1:85" ht="14.5">
      <c r="B4" s="46" t="s">
        <v>2284</v>
      </c>
      <c r="C4" s="47" t="s">
        <v>310</v>
      </c>
      <c r="D4" s="36"/>
      <c r="F4" s="43"/>
      <c r="G4" s="1" t="s">
        <v>16</v>
      </c>
      <c r="H4" s="1">
        <v>54850098200267</v>
      </c>
      <c r="J4" s="1" t="s">
        <v>17</v>
      </c>
      <c r="K4" s="48" t="s">
        <v>311</v>
      </c>
      <c r="L4" s="49" t="s">
        <v>2286</v>
      </c>
      <c r="M4" s="43"/>
      <c r="N4" s="1" t="s">
        <v>19</v>
      </c>
      <c r="O4" s="1"/>
      <c r="Q4" s="43"/>
      <c r="V4" s="43"/>
      <c r="AD4" s="43"/>
      <c r="AG4" s="43"/>
      <c r="AL4" s="43"/>
      <c r="AQ4" s="43"/>
      <c r="AV4" s="43"/>
      <c r="BA4" s="43"/>
      <c r="BF4" s="43"/>
      <c r="BK4" s="43"/>
      <c r="BQ4" s="43"/>
      <c r="BV4" s="43"/>
      <c r="CC4" s="43"/>
    </row>
    <row r="5" spans="1:85" ht="9" customHeight="1">
      <c r="B5" s="36"/>
      <c r="D5" s="36"/>
      <c r="F5" s="43"/>
      <c r="L5" s="43"/>
      <c r="Q5" s="43"/>
      <c r="V5" s="43"/>
      <c r="AD5" s="43"/>
      <c r="AG5" s="43"/>
      <c r="AL5" s="43"/>
      <c r="AQ5" s="43"/>
      <c r="AV5" s="43"/>
      <c r="BA5" s="43"/>
      <c r="BF5" s="43"/>
      <c r="BK5" s="43"/>
      <c r="BQ5" s="43"/>
      <c r="BV5" s="43"/>
      <c r="CC5" s="43"/>
    </row>
    <row r="6" spans="1:85" ht="14.5">
      <c r="B6" s="50" t="s">
        <v>20</v>
      </c>
      <c r="C6" s="5"/>
      <c r="D6" s="51"/>
      <c r="E6" s="5"/>
      <c r="F6" s="5"/>
      <c r="G6" s="5" t="s">
        <v>21</v>
      </c>
      <c r="H6" s="5"/>
      <c r="I6" s="5"/>
      <c r="J6" s="5"/>
      <c r="K6" s="5"/>
      <c r="L6" s="5"/>
      <c r="M6" s="5" t="s">
        <v>2287</v>
      </c>
      <c r="N6" s="5"/>
      <c r="O6" s="5"/>
      <c r="P6" s="5"/>
      <c r="Q6" s="5"/>
      <c r="R6" s="5" t="s">
        <v>2288</v>
      </c>
      <c r="S6" s="5"/>
      <c r="T6" s="5"/>
      <c r="U6" s="5"/>
      <c r="V6" s="43"/>
      <c r="W6" s="52" t="s">
        <v>22</v>
      </c>
      <c r="X6" s="53"/>
      <c r="Y6" s="53"/>
      <c r="Z6" s="53"/>
      <c r="AA6" s="53"/>
      <c r="AB6" s="53"/>
      <c r="AC6" s="53"/>
      <c r="AD6" s="43"/>
      <c r="AE6" s="54" t="s">
        <v>23</v>
      </c>
      <c r="AF6" s="55"/>
      <c r="AG6" s="43"/>
      <c r="AH6" s="56" t="s">
        <v>2289</v>
      </c>
      <c r="AI6" s="57"/>
      <c r="AJ6" s="57"/>
      <c r="AK6" s="57"/>
      <c r="AL6" s="57"/>
      <c r="AM6" s="57" t="s">
        <v>2287</v>
      </c>
      <c r="AN6" s="57"/>
      <c r="AO6" s="57"/>
      <c r="AP6" s="57"/>
      <c r="AQ6" s="57"/>
      <c r="AR6" s="57" t="s">
        <v>24</v>
      </c>
      <c r="AS6" s="57"/>
      <c r="AT6" s="57"/>
      <c r="AU6" s="57"/>
      <c r="AV6" s="43"/>
      <c r="AW6" s="58" t="s">
        <v>25</v>
      </c>
      <c r="AX6" s="59"/>
      <c r="AY6" s="59"/>
      <c r="AZ6" s="59"/>
      <c r="BA6" s="59"/>
      <c r="BB6" s="59" t="s">
        <v>2287</v>
      </c>
      <c r="BC6" s="59"/>
      <c r="BD6" s="59"/>
      <c r="BE6" s="59"/>
      <c r="BF6" s="59"/>
      <c r="BG6" s="59" t="s">
        <v>24</v>
      </c>
      <c r="BH6" s="59"/>
      <c r="BI6" s="59"/>
      <c r="BJ6" s="59"/>
      <c r="BK6" s="43"/>
      <c r="BL6" s="60" t="s">
        <v>26</v>
      </c>
      <c r="BM6" s="61"/>
      <c r="BN6" s="61"/>
      <c r="BO6" s="61"/>
      <c r="BP6" s="61"/>
      <c r="BQ6" s="61"/>
      <c r="BR6" s="61" t="s">
        <v>2287</v>
      </c>
      <c r="BS6" s="61"/>
      <c r="BT6" s="61"/>
      <c r="BU6" s="61"/>
      <c r="BV6" s="43"/>
      <c r="BW6" s="6" t="s">
        <v>2337</v>
      </c>
      <c r="BX6" s="7"/>
      <c r="BY6" s="7"/>
      <c r="BZ6" s="7"/>
      <c r="CA6" s="7"/>
      <c r="CB6" s="7"/>
      <c r="CC6" s="7"/>
      <c r="CD6" s="7" t="s">
        <v>2287</v>
      </c>
      <c r="CE6" s="7"/>
      <c r="CF6" s="7"/>
      <c r="CG6" s="7"/>
    </row>
    <row r="7" spans="1:85" ht="14.5">
      <c r="B7" s="122" t="s">
        <v>29</v>
      </c>
      <c r="C7" s="8" t="s">
        <v>30</v>
      </c>
      <c r="D7" s="122" t="s">
        <v>31</v>
      </c>
      <c r="E7" s="8" t="s">
        <v>32</v>
      </c>
      <c r="F7" s="82"/>
      <c r="G7" s="8" t="s">
        <v>33</v>
      </c>
      <c r="H7" s="8" t="s">
        <v>34</v>
      </c>
      <c r="I7" s="8" t="s">
        <v>2290</v>
      </c>
      <c r="J7" s="8" t="s">
        <v>35</v>
      </c>
      <c r="K7" s="8" t="s">
        <v>36</v>
      </c>
      <c r="L7" s="82"/>
      <c r="M7" s="8" t="s">
        <v>5</v>
      </c>
      <c r="N7" s="8" t="s">
        <v>6</v>
      </c>
      <c r="O7" s="8" t="s">
        <v>37</v>
      </c>
      <c r="P7" s="8" t="s">
        <v>7</v>
      </c>
      <c r="Q7" s="82"/>
      <c r="R7" s="8" t="s">
        <v>5</v>
      </c>
      <c r="S7" s="8" t="s">
        <v>6</v>
      </c>
      <c r="T7" s="8" t="s">
        <v>37</v>
      </c>
      <c r="U7" s="8" t="s">
        <v>7</v>
      </c>
      <c r="V7" s="82"/>
      <c r="W7" s="123" t="s">
        <v>38</v>
      </c>
      <c r="X7" s="123" t="s">
        <v>39</v>
      </c>
      <c r="Y7" s="123" t="s">
        <v>40</v>
      </c>
      <c r="Z7" s="123" t="s">
        <v>41</v>
      </c>
      <c r="AA7" s="123" t="s">
        <v>42</v>
      </c>
      <c r="AB7" s="123" t="s">
        <v>43</v>
      </c>
      <c r="AC7" s="123" t="s">
        <v>2291</v>
      </c>
      <c r="AD7" s="82"/>
      <c r="AE7" s="72" t="s">
        <v>44</v>
      </c>
      <c r="AF7" s="72" t="s">
        <v>2292</v>
      </c>
      <c r="AG7" s="82"/>
      <c r="AH7" s="124" t="s">
        <v>45</v>
      </c>
      <c r="AI7" s="124" t="s">
        <v>2292</v>
      </c>
      <c r="AJ7" s="124" t="s">
        <v>28</v>
      </c>
      <c r="AK7" s="124" t="s">
        <v>46</v>
      </c>
      <c r="AL7" s="82"/>
      <c r="AM7" s="124" t="s">
        <v>5</v>
      </c>
      <c r="AN7" s="124" t="s">
        <v>6</v>
      </c>
      <c r="AO7" s="124" t="s">
        <v>37</v>
      </c>
      <c r="AP7" s="124" t="s">
        <v>7</v>
      </c>
      <c r="AQ7" s="82"/>
      <c r="AR7" s="124" t="s">
        <v>5</v>
      </c>
      <c r="AS7" s="124" t="s">
        <v>6</v>
      </c>
      <c r="AT7" s="124" t="s">
        <v>37</v>
      </c>
      <c r="AU7" s="124" t="s">
        <v>7</v>
      </c>
      <c r="AV7" s="82"/>
      <c r="AW7" s="125" t="s">
        <v>45</v>
      </c>
      <c r="AX7" s="125" t="s">
        <v>2292</v>
      </c>
      <c r="AY7" s="125" t="s">
        <v>28</v>
      </c>
      <c r="AZ7" s="125" t="s">
        <v>46</v>
      </c>
      <c r="BA7" s="82"/>
      <c r="BB7" s="125" t="s">
        <v>5</v>
      </c>
      <c r="BC7" s="125" t="s">
        <v>6</v>
      </c>
      <c r="BD7" s="125" t="s">
        <v>37</v>
      </c>
      <c r="BE7" s="125" t="s">
        <v>7</v>
      </c>
      <c r="BF7" s="82"/>
      <c r="BG7" s="125" t="s">
        <v>5</v>
      </c>
      <c r="BH7" s="125" t="s">
        <v>6</v>
      </c>
      <c r="BI7" s="125" t="s">
        <v>37</v>
      </c>
      <c r="BJ7" s="125" t="s">
        <v>7</v>
      </c>
      <c r="BK7" s="82"/>
      <c r="BL7" s="126" t="s">
        <v>45</v>
      </c>
      <c r="BM7" s="126" t="s">
        <v>2292</v>
      </c>
      <c r="BN7" s="126" t="s">
        <v>28</v>
      </c>
      <c r="BO7" s="126" t="s">
        <v>46</v>
      </c>
      <c r="BP7" s="126" t="s">
        <v>47</v>
      </c>
      <c r="BQ7" s="82"/>
      <c r="BR7" s="126" t="s">
        <v>5</v>
      </c>
      <c r="BS7" s="126" t="s">
        <v>6</v>
      </c>
      <c r="BT7" s="126" t="s">
        <v>37</v>
      </c>
      <c r="BU7" s="126" t="s">
        <v>7</v>
      </c>
      <c r="BV7" s="82"/>
      <c r="BW7" s="9" t="s">
        <v>45</v>
      </c>
      <c r="BX7" s="9" t="s">
        <v>2292</v>
      </c>
      <c r="BY7" s="9" t="s">
        <v>28</v>
      </c>
      <c r="BZ7" s="9" t="s">
        <v>46</v>
      </c>
      <c r="CA7" s="9" t="s">
        <v>47</v>
      </c>
      <c r="CB7" s="9" t="s">
        <v>48</v>
      </c>
      <c r="CC7" s="82"/>
      <c r="CD7" s="9" t="s">
        <v>5</v>
      </c>
      <c r="CE7" s="9" t="s">
        <v>6</v>
      </c>
      <c r="CF7" s="9" t="s">
        <v>37</v>
      </c>
      <c r="CG7" s="9" t="s">
        <v>7</v>
      </c>
    </row>
    <row r="8" spans="1:85" ht="25">
      <c r="A8" s="1"/>
      <c r="B8" s="127" t="s">
        <v>97</v>
      </c>
      <c r="C8" s="128" t="s">
        <v>98</v>
      </c>
      <c r="D8" s="115"/>
      <c r="E8" s="91"/>
      <c r="F8" s="65"/>
      <c r="G8" s="83" t="s">
        <v>112</v>
      </c>
      <c r="H8" s="83" t="s">
        <v>112</v>
      </c>
      <c r="I8" s="83" t="s">
        <v>112</v>
      </c>
      <c r="J8" s="83" t="s">
        <v>112</v>
      </c>
      <c r="K8" s="83" t="s">
        <v>112</v>
      </c>
      <c r="L8" s="65"/>
      <c r="M8" s="91" t="s">
        <v>11</v>
      </c>
      <c r="N8" s="91" t="s">
        <v>12</v>
      </c>
      <c r="O8" s="92" t="s">
        <v>2293</v>
      </c>
      <c r="P8" s="91" t="s">
        <v>13</v>
      </c>
      <c r="Q8" s="65"/>
      <c r="R8" s="91"/>
      <c r="S8" s="91"/>
      <c r="T8" s="91"/>
      <c r="U8" s="91"/>
      <c r="V8" s="65"/>
      <c r="W8" s="93"/>
      <c r="X8" s="91"/>
      <c r="Y8" s="91"/>
      <c r="Z8" s="91"/>
      <c r="AA8" s="91"/>
      <c r="AB8" s="91"/>
      <c r="AC8" s="91"/>
      <c r="AD8" s="65"/>
      <c r="AE8" s="94" t="s">
        <v>112</v>
      </c>
      <c r="AF8" s="94" t="s">
        <v>112</v>
      </c>
      <c r="AG8" s="65"/>
      <c r="AH8" s="94" t="s">
        <v>113</v>
      </c>
      <c r="AI8" s="112">
        <v>39933934000016</v>
      </c>
      <c r="AJ8" s="112"/>
      <c r="AK8" s="94" t="s">
        <v>2294</v>
      </c>
      <c r="AL8" s="65"/>
      <c r="AM8" s="91"/>
      <c r="AN8" s="91"/>
      <c r="AO8" s="91"/>
      <c r="AP8" s="91"/>
      <c r="AQ8" s="65"/>
      <c r="AR8" s="91"/>
      <c r="AS8" s="91"/>
      <c r="AT8" s="91"/>
      <c r="AU8" s="91"/>
      <c r="AV8" s="65"/>
      <c r="AW8" s="94" t="s">
        <v>113</v>
      </c>
      <c r="AX8" s="112">
        <v>39933934000016</v>
      </c>
      <c r="AY8" s="94" t="s">
        <v>114</v>
      </c>
      <c r="AZ8" s="104" t="s">
        <v>115</v>
      </c>
      <c r="BA8" s="65"/>
      <c r="BB8" s="91"/>
      <c r="BC8" s="91"/>
      <c r="BD8" s="91"/>
      <c r="BE8" s="91"/>
      <c r="BF8" s="65"/>
      <c r="BG8" s="91"/>
      <c r="BH8" s="91"/>
      <c r="BI8" s="91"/>
      <c r="BJ8" s="91"/>
      <c r="BK8" s="65"/>
      <c r="BL8" s="94" t="s">
        <v>113</v>
      </c>
      <c r="BM8" s="112">
        <v>39933934000016</v>
      </c>
      <c r="BN8" s="94" t="s">
        <v>114</v>
      </c>
      <c r="BO8" s="94"/>
      <c r="BP8" s="94" t="s">
        <v>125</v>
      </c>
      <c r="BQ8" s="65"/>
      <c r="BR8" s="91"/>
      <c r="BS8" s="91"/>
      <c r="BT8" s="91"/>
      <c r="BU8" s="91"/>
      <c r="BV8" s="65"/>
      <c r="BW8" s="102" t="s">
        <v>130</v>
      </c>
      <c r="BX8" s="112"/>
      <c r="BY8" s="94"/>
      <c r="BZ8" s="94"/>
      <c r="CA8" s="94" t="s">
        <v>131</v>
      </c>
      <c r="CB8" s="94" t="s">
        <v>132</v>
      </c>
      <c r="CC8" s="65"/>
      <c r="CD8" s="91"/>
      <c r="CE8" s="91"/>
      <c r="CF8" s="91"/>
      <c r="CG8" s="91"/>
    </row>
    <row r="9" spans="1:85" ht="25">
      <c r="A9" s="43"/>
      <c r="B9" s="129" t="s">
        <v>314</v>
      </c>
      <c r="C9" s="130" t="s">
        <v>315</v>
      </c>
      <c r="D9" s="106"/>
      <c r="E9" s="10"/>
      <c r="F9" s="82"/>
      <c r="G9" s="83" t="s">
        <v>112</v>
      </c>
      <c r="H9" s="83" t="s">
        <v>112</v>
      </c>
      <c r="I9" s="83" t="s">
        <v>112</v>
      </c>
      <c r="J9" s="83" t="s">
        <v>112</v>
      </c>
      <c r="K9" s="83" t="s">
        <v>112</v>
      </c>
      <c r="L9" s="82"/>
      <c r="M9" s="10" t="s">
        <v>11</v>
      </c>
      <c r="N9" s="10" t="s">
        <v>12</v>
      </c>
      <c r="O9" s="84" t="s">
        <v>2295</v>
      </c>
      <c r="P9" s="10" t="s">
        <v>13</v>
      </c>
      <c r="Q9" s="82"/>
      <c r="R9" s="10"/>
      <c r="S9" s="10"/>
      <c r="T9" s="10"/>
      <c r="U9" s="10"/>
      <c r="V9" s="82"/>
      <c r="W9" s="85"/>
      <c r="X9" s="10"/>
      <c r="Y9" s="10"/>
      <c r="Z9" s="10"/>
      <c r="AA9" s="10"/>
      <c r="AB9" s="10"/>
      <c r="AC9" s="10"/>
      <c r="AD9" s="82"/>
      <c r="AE9" s="83" t="s">
        <v>112</v>
      </c>
      <c r="AF9" s="83" t="s">
        <v>112</v>
      </c>
      <c r="AG9" s="82"/>
      <c r="AH9" s="83" t="s">
        <v>2338</v>
      </c>
      <c r="AI9" s="86">
        <v>55850281100182</v>
      </c>
      <c r="AJ9" s="86"/>
      <c r="AK9" s="83" t="s">
        <v>2339</v>
      </c>
      <c r="AL9" s="82"/>
      <c r="AM9" s="10"/>
      <c r="AN9" s="10"/>
      <c r="AO9" s="10"/>
      <c r="AP9" s="10"/>
      <c r="AQ9" s="82"/>
      <c r="AR9" s="10"/>
      <c r="AS9" s="10"/>
      <c r="AT9" s="10"/>
      <c r="AU9" s="10"/>
      <c r="AV9" s="82"/>
      <c r="AW9" s="131" t="s">
        <v>317</v>
      </c>
      <c r="AX9" s="86">
        <v>50390796600017</v>
      </c>
      <c r="AY9" s="131" t="s">
        <v>319</v>
      </c>
      <c r="AZ9" s="132" t="s">
        <v>320</v>
      </c>
      <c r="BA9" s="82"/>
      <c r="BB9" s="10"/>
      <c r="BC9" s="10"/>
      <c r="BD9" s="10"/>
      <c r="BE9" s="10"/>
      <c r="BF9" s="82"/>
      <c r="BG9" s="10"/>
      <c r="BH9" s="10"/>
      <c r="BI9" s="10"/>
      <c r="BJ9" s="10"/>
      <c r="BK9" s="82"/>
      <c r="BL9" s="87" t="s">
        <v>321</v>
      </c>
      <c r="BM9" s="116">
        <v>55850281100547</v>
      </c>
      <c r="BN9" s="87" t="s">
        <v>2340</v>
      </c>
      <c r="BO9" s="87"/>
      <c r="BP9" s="83" t="s">
        <v>165</v>
      </c>
      <c r="BQ9" s="82"/>
      <c r="BR9" s="10"/>
      <c r="BS9" s="10"/>
      <c r="BT9" s="10"/>
      <c r="BU9" s="10"/>
      <c r="BV9" s="82"/>
      <c r="BW9" s="87" t="s">
        <v>321</v>
      </c>
      <c r="BX9" s="116">
        <v>65382053001073</v>
      </c>
      <c r="BY9" s="87" t="s">
        <v>2340</v>
      </c>
      <c r="BZ9" s="87"/>
      <c r="CA9" s="83" t="s">
        <v>131</v>
      </c>
      <c r="CB9" s="83" t="s">
        <v>132</v>
      </c>
      <c r="CC9" s="82"/>
      <c r="CD9" s="10"/>
      <c r="CE9" s="10"/>
      <c r="CF9" s="10"/>
      <c r="CG9" s="10"/>
    </row>
    <row r="10" spans="1:85" ht="25">
      <c r="A10" s="1"/>
      <c r="B10" s="155" t="s">
        <v>137</v>
      </c>
      <c r="C10" s="128" t="s">
        <v>138</v>
      </c>
      <c r="D10" s="90"/>
      <c r="E10" s="91"/>
      <c r="F10" s="65"/>
      <c r="G10" s="94" t="s">
        <v>112</v>
      </c>
      <c r="H10" s="94" t="s">
        <v>112</v>
      </c>
      <c r="I10" s="94" t="s">
        <v>112</v>
      </c>
      <c r="J10" s="94" t="s">
        <v>112</v>
      </c>
      <c r="K10" s="94" t="s">
        <v>112</v>
      </c>
      <c r="L10" s="65"/>
      <c r="M10" s="91" t="s">
        <v>11</v>
      </c>
      <c r="N10" s="91" t="s">
        <v>12</v>
      </c>
      <c r="O10" s="92" t="s">
        <v>2297</v>
      </c>
      <c r="P10" s="91" t="s">
        <v>13</v>
      </c>
      <c r="Q10" s="65"/>
      <c r="R10" s="91"/>
      <c r="S10" s="91"/>
      <c r="T10" s="91"/>
      <c r="U10" s="91"/>
      <c r="V10" s="65"/>
      <c r="W10" s="93"/>
      <c r="X10" s="91"/>
      <c r="Y10" s="91"/>
      <c r="Z10" s="91"/>
      <c r="AA10" s="91"/>
      <c r="AB10" s="91"/>
      <c r="AC10" s="91"/>
      <c r="AD10" s="65"/>
      <c r="AE10" s="94" t="s">
        <v>112</v>
      </c>
      <c r="AF10" s="94" t="s">
        <v>112</v>
      </c>
      <c r="AG10" s="65"/>
      <c r="AH10" s="94" t="s">
        <v>325</v>
      </c>
      <c r="AI10" s="112">
        <v>50472678700030</v>
      </c>
      <c r="AJ10" s="112"/>
      <c r="AK10" s="104" t="s">
        <v>2296</v>
      </c>
      <c r="AL10" s="65"/>
      <c r="AM10" s="91"/>
      <c r="AN10" s="91"/>
      <c r="AO10" s="91"/>
      <c r="AP10" s="91"/>
      <c r="AQ10" s="65"/>
      <c r="AR10" s="91"/>
      <c r="AS10" s="91"/>
      <c r="AT10" s="91"/>
      <c r="AU10" s="91"/>
      <c r="AV10" s="65"/>
      <c r="AW10" s="133" t="s">
        <v>325</v>
      </c>
      <c r="AX10" s="112">
        <v>50472678700030</v>
      </c>
      <c r="AY10" s="133" t="s">
        <v>326</v>
      </c>
      <c r="AZ10" s="134" t="s">
        <v>2296</v>
      </c>
      <c r="BA10" s="65"/>
      <c r="BB10" s="91"/>
      <c r="BC10" s="91"/>
      <c r="BD10" s="91"/>
      <c r="BE10" s="91"/>
      <c r="BF10" s="65"/>
      <c r="BG10" s="91"/>
      <c r="BH10" s="91"/>
      <c r="BI10" s="91"/>
      <c r="BJ10" s="91"/>
      <c r="BK10" s="65"/>
      <c r="BL10" s="94" t="s">
        <v>327</v>
      </c>
      <c r="BM10" s="119">
        <v>35238105700038</v>
      </c>
      <c r="BN10" s="94" t="s">
        <v>328</v>
      </c>
      <c r="BO10" s="94"/>
      <c r="BP10" s="94" t="s">
        <v>146</v>
      </c>
      <c r="BQ10" s="65"/>
      <c r="BR10" s="91"/>
      <c r="BS10" s="91"/>
      <c r="BT10" s="91"/>
      <c r="BU10" s="91"/>
      <c r="BV10" s="65"/>
      <c r="BW10" s="94" t="s">
        <v>327</v>
      </c>
      <c r="BX10" s="119">
        <v>35238105700038</v>
      </c>
      <c r="BY10" s="94" t="s">
        <v>328</v>
      </c>
      <c r="BZ10" s="94"/>
      <c r="CA10" s="94" t="s">
        <v>146</v>
      </c>
      <c r="CB10" s="94" t="s">
        <v>132</v>
      </c>
      <c r="CC10" s="65"/>
      <c r="CD10" s="91"/>
      <c r="CE10" s="91"/>
      <c r="CF10" s="91"/>
      <c r="CG10" s="91"/>
    </row>
    <row r="11" spans="1:85" ht="25">
      <c r="A11" s="1"/>
      <c r="B11" s="149"/>
      <c r="C11" s="128" t="s">
        <v>138</v>
      </c>
      <c r="D11" s="118"/>
      <c r="E11" s="91"/>
      <c r="F11" s="65"/>
      <c r="G11" s="94" t="s">
        <v>112</v>
      </c>
      <c r="H11" s="94" t="s">
        <v>112</v>
      </c>
      <c r="I11" s="94" t="s">
        <v>112</v>
      </c>
      <c r="J11" s="94" t="s">
        <v>112</v>
      </c>
      <c r="K11" s="94" t="s">
        <v>112</v>
      </c>
      <c r="L11" s="65"/>
      <c r="M11" s="91" t="s">
        <v>11</v>
      </c>
      <c r="N11" s="91" t="s">
        <v>12</v>
      </c>
      <c r="O11" s="92" t="s">
        <v>2299</v>
      </c>
      <c r="P11" s="91" t="s">
        <v>13</v>
      </c>
      <c r="Q11" s="65"/>
      <c r="R11" s="91"/>
      <c r="S11" s="91"/>
      <c r="T11" s="91"/>
      <c r="U11" s="91"/>
      <c r="V11" s="65"/>
      <c r="W11" s="93"/>
      <c r="X11" s="91"/>
      <c r="Y11" s="91"/>
      <c r="Z11" s="91"/>
      <c r="AA11" s="91"/>
      <c r="AB11" s="91"/>
      <c r="AC11" s="91"/>
      <c r="AD11" s="65"/>
      <c r="AE11" s="94" t="s">
        <v>112</v>
      </c>
      <c r="AF11" s="94" t="s">
        <v>112</v>
      </c>
      <c r="AG11" s="65"/>
      <c r="AH11" s="94" t="s">
        <v>325</v>
      </c>
      <c r="AI11" s="112">
        <v>50472678700030</v>
      </c>
      <c r="AJ11" s="112"/>
      <c r="AK11" s="104" t="s">
        <v>2296</v>
      </c>
      <c r="AL11" s="65"/>
      <c r="AM11" s="91"/>
      <c r="AN11" s="91"/>
      <c r="AO11" s="91"/>
      <c r="AP11" s="91"/>
      <c r="AQ11" s="65"/>
      <c r="AR11" s="91"/>
      <c r="AS11" s="91"/>
      <c r="AT11" s="91"/>
      <c r="AU11" s="91"/>
      <c r="AV11" s="65"/>
      <c r="AW11" s="133" t="s">
        <v>325</v>
      </c>
      <c r="AX11" s="112">
        <v>50472678700030</v>
      </c>
      <c r="AY11" s="133" t="s">
        <v>326</v>
      </c>
      <c r="AZ11" s="134" t="s">
        <v>2296</v>
      </c>
      <c r="BA11" s="65"/>
      <c r="BB11" s="91"/>
      <c r="BC11" s="91"/>
      <c r="BD11" s="91"/>
      <c r="BE11" s="91"/>
      <c r="BF11" s="65"/>
      <c r="BG11" s="91"/>
      <c r="BH11" s="91"/>
      <c r="BI11" s="91"/>
      <c r="BJ11" s="91"/>
      <c r="BK11" s="65"/>
      <c r="BL11" s="94" t="s">
        <v>163</v>
      </c>
      <c r="BM11" s="119">
        <v>30223694800030</v>
      </c>
      <c r="BN11" s="94" t="s">
        <v>330</v>
      </c>
      <c r="BO11" s="94"/>
      <c r="BP11" s="94" t="s">
        <v>125</v>
      </c>
      <c r="BQ11" s="65"/>
      <c r="BR11" s="91"/>
      <c r="BS11" s="91"/>
      <c r="BT11" s="91"/>
      <c r="BU11" s="91"/>
      <c r="BV11" s="65"/>
      <c r="BW11" s="94" t="s">
        <v>163</v>
      </c>
      <c r="BX11" s="119">
        <v>30223694800030</v>
      </c>
      <c r="BY11" s="94" t="s">
        <v>330</v>
      </c>
      <c r="BZ11" s="94"/>
      <c r="CA11" s="94" t="s">
        <v>146</v>
      </c>
      <c r="CB11" s="94" t="s">
        <v>132</v>
      </c>
      <c r="CC11" s="65"/>
      <c r="CD11" s="91"/>
      <c r="CE11" s="91"/>
      <c r="CF11" s="91"/>
      <c r="CG11" s="91"/>
    </row>
    <row r="12" spans="1:85" ht="37.5">
      <c r="A12" s="43"/>
      <c r="B12" s="135" t="s">
        <v>332</v>
      </c>
      <c r="C12" s="130" t="s">
        <v>252</v>
      </c>
      <c r="D12" s="108"/>
      <c r="E12" s="10"/>
      <c r="F12" s="82"/>
      <c r="G12" s="83" t="s">
        <v>112</v>
      </c>
      <c r="H12" s="83" t="s">
        <v>112</v>
      </c>
      <c r="I12" s="83" t="s">
        <v>112</v>
      </c>
      <c r="J12" s="83" t="s">
        <v>112</v>
      </c>
      <c r="K12" s="83" t="s">
        <v>112</v>
      </c>
      <c r="L12" s="82"/>
      <c r="M12" s="10" t="s">
        <v>11</v>
      </c>
      <c r="N12" s="10" t="s">
        <v>12</v>
      </c>
      <c r="O12" s="84" t="s">
        <v>2301</v>
      </c>
      <c r="P12" s="10" t="s">
        <v>13</v>
      </c>
      <c r="Q12" s="82"/>
      <c r="R12" s="10"/>
      <c r="S12" s="10"/>
      <c r="T12" s="10"/>
      <c r="U12" s="10"/>
      <c r="V12" s="82"/>
      <c r="W12" s="85"/>
      <c r="X12" s="10"/>
      <c r="Y12" s="10"/>
      <c r="Z12" s="10"/>
      <c r="AA12" s="10"/>
      <c r="AB12" s="10"/>
      <c r="AC12" s="10"/>
      <c r="AD12" s="82"/>
      <c r="AE12" s="83" t="s">
        <v>112</v>
      </c>
      <c r="AF12" s="83" t="s">
        <v>112</v>
      </c>
      <c r="AG12" s="82"/>
      <c r="AH12" s="83" t="s">
        <v>2341</v>
      </c>
      <c r="AI12" s="86">
        <v>47897787900012</v>
      </c>
      <c r="AJ12" s="86"/>
      <c r="AK12" s="83" t="s">
        <v>2342</v>
      </c>
      <c r="AL12" s="82"/>
      <c r="AM12" s="10"/>
      <c r="AN12" s="10"/>
      <c r="AO12" s="10"/>
      <c r="AP12" s="10"/>
      <c r="AQ12" s="82"/>
      <c r="AR12" s="10"/>
      <c r="AS12" s="10"/>
      <c r="AT12" s="10"/>
      <c r="AU12" s="10"/>
      <c r="AV12" s="82"/>
      <c r="AW12" s="131" t="s">
        <v>2341</v>
      </c>
      <c r="AX12" s="86">
        <v>47897787900012</v>
      </c>
      <c r="AY12" s="131" t="s">
        <v>2343</v>
      </c>
      <c r="AZ12" s="87" t="s">
        <v>2342</v>
      </c>
      <c r="BA12" s="82"/>
      <c r="BB12" s="10"/>
      <c r="BC12" s="10"/>
      <c r="BD12" s="10"/>
      <c r="BE12" s="10"/>
      <c r="BF12" s="82"/>
      <c r="BG12" s="10"/>
      <c r="BH12" s="10"/>
      <c r="BI12" s="10"/>
      <c r="BJ12" s="10"/>
      <c r="BK12" s="82"/>
      <c r="BL12" s="83" t="s">
        <v>2341</v>
      </c>
      <c r="BM12" s="86">
        <v>47897787900012</v>
      </c>
      <c r="BN12" s="83" t="s">
        <v>2343</v>
      </c>
      <c r="BO12" s="83"/>
      <c r="BP12" s="109" t="s">
        <v>165</v>
      </c>
      <c r="BQ12" s="82"/>
      <c r="BR12" s="10"/>
      <c r="BS12" s="10"/>
      <c r="BT12" s="10"/>
      <c r="BU12" s="10"/>
      <c r="BV12" s="82"/>
      <c r="BW12" s="83" t="s">
        <v>2344</v>
      </c>
      <c r="BX12" s="116">
        <v>30321551100161</v>
      </c>
      <c r="BY12" s="83" t="s">
        <v>339</v>
      </c>
      <c r="BZ12" s="83"/>
      <c r="CA12" s="109" t="s">
        <v>191</v>
      </c>
      <c r="CB12" s="83" t="s">
        <v>132</v>
      </c>
      <c r="CC12" s="82"/>
      <c r="CD12" s="10"/>
      <c r="CE12" s="10"/>
      <c r="CF12" s="10"/>
      <c r="CG12" s="10"/>
    </row>
    <row r="13" spans="1:85" ht="25">
      <c r="A13" s="1"/>
      <c r="B13" s="127" t="s">
        <v>340</v>
      </c>
      <c r="C13" s="128" t="s">
        <v>341</v>
      </c>
      <c r="D13" s="115"/>
      <c r="E13" s="91"/>
      <c r="F13" s="65"/>
      <c r="G13" s="94" t="s">
        <v>112</v>
      </c>
      <c r="H13" s="94" t="s">
        <v>112</v>
      </c>
      <c r="I13" s="94" t="s">
        <v>112</v>
      </c>
      <c r="J13" s="94" t="s">
        <v>112</v>
      </c>
      <c r="K13" s="94" t="s">
        <v>112</v>
      </c>
      <c r="L13" s="65"/>
      <c r="M13" s="91" t="s">
        <v>11</v>
      </c>
      <c r="N13" s="91" t="s">
        <v>12</v>
      </c>
      <c r="O13" s="92" t="s">
        <v>2302</v>
      </c>
      <c r="P13" s="91" t="s">
        <v>13</v>
      </c>
      <c r="Q13" s="65"/>
      <c r="R13" s="91"/>
      <c r="S13" s="91"/>
      <c r="T13" s="91"/>
      <c r="U13" s="91"/>
      <c r="V13" s="65"/>
      <c r="W13" s="93"/>
      <c r="X13" s="91"/>
      <c r="Y13" s="91"/>
      <c r="Z13" s="91"/>
      <c r="AA13" s="91"/>
      <c r="AB13" s="91"/>
      <c r="AC13" s="91"/>
      <c r="AD13" s="65"/>
      <c r="AE13" s="94" t="s">
        <v>112</v>
      </c>
      <c r="AF13" s="94" t="s">
        <v>112</v>
      </c>
      <c r="AG13" s="65"/>
      <c r="AH13" s="94" t="s">
        <v>2338</v>
      </c>
      <c r="AI13" s="119">
        <v>55850281100182</v>
      </c>
      <c r="AJ13" s="119"/>
      <c r="AK13" s="94" t="s">
        <v>2339</v>
      </c>
      <c r="AL13" s="65"/>
      <c r="AM13" s="91"/>
      <c r="AN13" s="91"/>
      <c r="AO13" s="91"/>
      <c r="AP13" s="91"/>
      <c r="AQ13" s="65"/>
      <c r="AR13" s="91"/>
      <c r="AS13" s="91"/>
      <c r="AT13" s="91"/>
      <c r="AU13" s="91"/>
      <c r="AV13" s="65"/>
      <c r="AW13" s="133" t="s">
        <v>317</v>
      </c>
      <c r="AX13" s="112">
        <v>50390796600017</v>
      </c>
      <c r="AY13" s="133" t="s">
        <v>319</v>
      </c>
      <c r="AZ13" s="134" t="s">
        <v>320</v>
      </c>
      <c r="BA13" s="65"/>
      <c r="BB13" s="91"/>
      <c r="BC13" s="91"/>
      <c r="BD13" s="91"/>
      <c r="BE13" s="91"/>
      <c r="BF13" s="65"/>
      <c r="BG13" s="91"/>
      <c r="BH13" s="91"/>
      <c r="BI13" s="91"/>
      <c r="BJ13" s="91"/>
      <c r="BK13" s="65"/>
      <c r="BL13" s="104" t="s">
        <v>321</v>
      </c>
      <c r="BM13" s="119">
        <v>55850281100547</v>
      </c>
      <c r="BN13" s="104" t="s">
        <v>2340</v>
      </c>
      <c r="BO13" s="104"/>
      <c r="BP13" s="94" t="s">
        <v>165</v>
      </c>
      <c r="BQ13" s="65"/>
      <c r="BR13" s="91"/>
      <c r="BS13" s="91"/>
      <c r="BT13" s="91"/>
      <c r="BU13" s="91"/>
      <c r="BV13" s="65"/>
      <c r="BW13" s="104" t="s">
        <v>321</v>
      </c>
      <c r="BX13" s="119">
        <v>65382053001073</v>
      </c>
      <c r="BY13" s="104" t="s">
        <v>2340</v>
      </c>
      <c r="BZ13" s="104"/>
      <c r="CA13" s="94" t="s">
        <v>131</v>
      </c>
      <c r="CB13" s="94" t="s">
        <v>132</v>
      </c>
      <c r="CC13" s="65"/>
      <c r="CD13" s="91"/>
      <c r="CE13" s="91"/>
      <c r="CF13" s="91"/>
      <c r="CG13" s="91"/>
    </row>
    <row r="14" spans="1:85" ht="37.5">
      <c r="A14" s="43"/>
      <c r="B14" s="135" t="s">
        <v>343</v>
      </c>
      <c r="C14" s="130" t="s">
        <v>344</v>
      </c>
      <c r="D14" s="106"/>
      <c r="E14" s="10"/>
      <c r="F14" s="82"/>
      <c r="G14" s="83" t="s">
        <v>112</v>
      </c>
      <c r="H14" s="83" t="s">
        <v>112</v>
      </c>
      <c r="I14" s="83" t="s">
        <v>112</v>
      </c>
      <c r="J14" s="83" t="s">
        <v>112</v>
      </c>
      <c r="K14" s="83" t="s">
        <v>112</v>
      </c>
      <c r="L14" s="82"/>
      <c r="M14" s="10" t="s">
        <v>11</v>
      </c>
      <c r="N14" s="10" t="s">
        <v>12</v>
      </c>
      <c r="O14" s="84" t="s">
        <v>2303</v>
      </c>
      <c r="P14" s="10" t="s">
        <v>13</v>
      </c>
      <c r="Q14" s="82"/>
      <c r="R14" s="10"/>
      <c r="S14" s="10"/>
      <c r="T14" s="10"/>
      <c r="U14" s="10"/>
      <c r="V14" s="82"/>
      <c r="W14" s="85"/>
      <c r="X14" s="10"/>
      <c r="Y14" s="10"/>
      <c r="Z14" s="10"/>
      <c r="AA14" s="10"/>
      <c r="AB14" s="10"/>
      <c r="AC14" s="10"/>
      <c r="AD14" s="82"/>
      <c r="AE14" s="83" t="s">
        <v>112</v>
      </c>
      <c r="AF14" s="83" t="s">
        <v>112</v>
      </c>
      <c r="AG14" s="82"/>
      <c r="AH14" s="83" t="s">
        <v>2341</v>
      </c>
      <c r="AI14" s="86">
        <v>47897787900012</v>
      </c>
      <c r="AJ14" s="86"/>
      <c r="AK14" s="83" t="s">
        <v>2342</v>
      </c>
      <c r="AL14" s="82"/>
      <c r="AM14" s="10"/>
      <c r="AN14" s="10"/>
      <c r="AO14" s="10"/>
      <c r="AP14" s="10"/>
      <c r="AQ14" s="82"/>
      <c r="AR14" s="10"/>
      <c r="AS14" s="10"/>
      <c r="AT14" s="10"/>
      <c r="AU14" s="10"/>
      <c r="AV14" s="82"/>
      <c r="AW14" s="131" t="s">
        <v>2341</v>
      </c>
      <c r="AX14" s="86">
        <v>47897787900012</v>
      </c>
      <c r="AY14" s="131" t="s">
        <v>2343</v>
      </c>
      <c r="AZ14" s="87" t="s">
        <v>2342</v>
      </c>
      <c r="BA14" s="82"/>
      <c r="BB14" s="10"/>
      <c r="BC14" s="10"/>
      <c r="BD14" s="10"/>
      <c r="BE14" s="10"/>
      <c r="BF14" s="82"/>
      <c r="BG14" s="10"/>
      <c r="BH14" s="10"/>
      <c r="BI14" s="10"/>
      <c r="BJ14" s="10"/>
      <c r="BK14" s="82"/>
      <c r="BL14" s="83" t="s">
        <v>2341</v>
      </c>
      <c r="BM14" s="86">
        <v>47897787900012</v>
      </c>
      <c r="BN14" s="83" t="s">
        <v>2343</v>
      </c>
      <c r="BO14" s="83"/>
      <c r="BP14" s="109" t="s">
        <v>165</v>
      </c>
      <c r="BQ14" s="82"/>
      <c r="BR14" s="10"/>
      <c r="BS14" s="10"/>
      <c r="BT14" s="10"/>
      <c r="BU14" s="10"/>
      <c r="BV14" s="82"/>
      <c r="BW14" s="83" t="s">
        <v>2344</v>
      </c>
      <c r="BX14" s="116">
        <v>30321551100161</v>
      </c>
      <c r="BY14" s="83" t="s">
        <v>339</v>
      </c>
      <c r="BZ14" s="83"/>
      <c r="CA14" s="109" t="s">
        <v>131</v>
      </c>
      <c r="CB14" s="83" t="s">
        <v>132</v>
      </c>
      <c r="CC14" s="82"/>
      <c r="CD14" s="10"/>
      <c r="CE14" s="10"/>
      <c r="CF14" s="10"/>
      <c r="CG14" s="10"/>
    </row>
    <row r="15" spans="1:85" ht="14.5">
      <c r="A15" s="1"/>
      <c r="B15" s="136" t="s">
        <v>346</v>
      </c>
      <c r="C15" s="128" t="s">
        <v>2345</v>
      </c>
      <c r="D15" s="118"/>
      <c r="E15" s="91"/>
      <c r="F15" s="65"/>
      <c r="G15" s="94" t="s">
        <v>112</v>
      </c>
      <c r="H15" s="94" t="s">
        <v>112</v>
      </c>
      <c r="I15" s="94" t="s">
        <v>112</v>
      </c>
      <c r="J15" s="94" t="s">
        <v>112</v>
      </c>
      <c r="K15" s="94" t="s">
        <v>112</v>
      </c>
      <c r="L15" s="65"/>
      <c r="M15" s="91" t="s">
        <v>11</v>
      </c>
      <c r="N15" s="91" t="s">
        <v>12</v>
      </c>
      <c r="O15" s="92" t="s">
        <v>2304</v>
      </c>
      <c r="P15" s="91" t="s">
        <v>13</v>
      </c>
      <c r="Q15" s="65"/>
      <c r="R15" s="91"/>
      <c r="S15" s="91"/>
      <c r="T15" s="91"/>
      <c r="U15" s="91"/>
      <c r="V15" s="65"/>
      <c r="W15" s="91"/>
      <c r="X15" s="91"/>
      <c r="Y15" s="91"/>
      <c r="Z15" s="91"/>
      <c r="AA15" s="91"/>
      <c r="AB15" s="91"/>
      <c r="AC15" s="91"/>
      <c r="AD15" s="65"/>
      <c r="AE15" s="94" t="s">
        <v>112</v>
      </c>
      <c r="AF15" s="94" t="s">
        <v>112</v>
      </c>
      <c r="AG15" s="65"/>
      <c r="AH15" s="94" t="s">
        <v>112</v>
      </c>
      <c r="AI15" s="112" t="s">
        <v>112</v>
      </c>
      <c r="AJ15" s="112"/>
      <c r="AK15" s="94" t="s">
        <v>112</v>
      </c>
      <c r="AL15" s="65"/>
      <c r="AM15" s="91"/>
      <c r="AN15" s="91"/>
      <c r="AO15" s="91"/>
      <c r="AP15" s="91"/>
      <c r="AQ15" s="65"/>
      <c r="AR15" s="91"/>
      <c r="AS15" s="91"/>
      <c r="AT15" s="91"/>
      <c r="AU15" s="91"/>
      <c r="AV15" s="65"/>
      <c r="AW15" s="137" t="s">
        <v>348</v>
      </c>
      <c r="AX15" s="119">
        <v>57172266900355</v>
      </c>
      <c r="AY15" s="137" t="s">
        <v>2346</v>
      </c>
      <c r="AZ15" s="134" t="s">
        <v>351</v>
      </c>
      <c r="BA15" s="65"/>
      <c r="BB15" s="91"/>
      <c r="BC15" s="91"/>
      <c r="BD15" s="91"/>
      <c r="BE15" s="91"/>
      <c r="BF15" s="65"/>
      <c r="BG15" s="91"/>
      <c r="BH15" s="91"/>
      <c r="BI15" s="91"/>
      <c r="BJ15" s="91"/>
      <c r="BK15" s="65"/>
      <c r="BL15" s="104" t="s">
        <v>348</v>
      </c>
      <c r="BM15" s="119">
        <v>57172266900298</v>
      </c>
      <c r="BN15" s="104" t="s">
        <v>352</v>
      </c>
      <c r="BO15" s="104"/>
      <c r="BP15" s="104" t="s">
        <v>165</v>
      </c>
      <c r="BQ15" s="65"/>
      <c r="BR15" s="91"/>
      <c r="BS15" s="91"/>
      <c r="BT15" s="91"/>
      <c r="BU15" s="91"/>
      <c r="BV15" s="65"/>
      <c r="BW15" s="104" t="s">
        <v>353</v>
      </c>
      <c r="BX15" s="119">
        <v>38525318200013</v>
      </c>
      <c r="BY15" s="94" t="s">
        <v>355</v>
      </c>
      <c r="BZ15" s="94"/>
      <c r="CA15" s="94" t="s">
        <v>356</v>
      </c>
      <c r="CB15" s="94" t="s">
        <v>132</v>
      </c>
      <c r="CC15" s="65"/>
      <c r="CD15" s="91"/>
      <c r="CE15" s="91"/>
      <c r="CF15" s="91"/>
      <c r="CG15" s="91"/>
    </row>
    <row r="16" spans="1:85" ht="29">
      <c r="A16" s="43"/>
      <c r="B16" s="156" t="s">
        <v>357</v>
      </c>
      <c r="C16" s="130" t="s">
        <v>2326</v>
      </c>
      <c r="D16" s="106"/>
      <c r="E16" s="10"/>
      <c r="F16" s="82"/>
      <c r="G16" s="83" t="s">
        <v>112</v>
      </c>
      <c r="H16" s="83" t="s">
        <v>112</v>
      </c>
      <c r="I16" s="83" t="s">
        <v>112</v>
      </c>
      <c r="J16" s="83" t="s">
        <v>112</v>
      </c>
      <c r="K16" s="83" t="s">
        <v>112</v>
      </c>
      <c r="L16" s="82"/>
      <c r="M16" s="10" t="s">
        <v>11</v>
      </c>
      <c r="N16" s="10" t="s">
        <v>12</v>
      </c>
      <c r="O16" s="84" t="s">
        <v>2306</v>
      </c>
      <c r="P16" s="10" t="s">
        <v>13</v>
      </c>
      <c r="Q16" s="82"/>
      <c r="R16" s="10"/>
      <c r="S16" s="10"/>
      <c r="T16" s="10"/>
      <c r="U16" s="10"/>
      <c r="V16" s="82"/>
      <c r="W16" s="10"/>
      <c r="X16" s="10"/>
      <c r="Y16" s="10"/>
      <c r="Z16" s="10"/>
      <c r="AA16" s="10"/>
      <c r="AB16" s="10"/>
      <c r="AC16" s="10"/>
      <c r="AD16" s="82"/>
      <c r="AE16" s="83" t="s">
        <v>112</v>
      </c>
      <c r="AF16" s="83" t="s">
        <v>112</v>
      </c>
      <c r="AG16" s="82"/>
      <c r="AH16" s="83" t="s">
        <v>112</v>
      </c>
      <c r="AI16" s="83" t="s">
        <v>112</v>
      </c>
      <c r="AJ16" s="83"/>
      <c r="AK16" s="83" t="s">
        <v>112</v>
      </c>
      <c r="AL16" s="82"/>
      <c r="AM16" s="10"/>
      <c r="AN16" s="10"/>
      <c r="AO16" s="10"/>
      <c r="AP16" s="10"/>
      <c r="AQ16" s="82"/>
      <c r="AR16" s="10"/>
      <c r="AS16" s="10"/>
      <c r="AT16" s="10"/>
      <c r="AU16" s="10"/>
      <c r="AV16" s="82"/>
      <c r="AW16" s="83" t="s">
        <v>359</v>
      </c>
      <c r="AX16" s="109"/>
      <c r="AY16" s="83" t="s">
        <v>360</v>
      </c>
      <c r="AZ16" s="83" t="s">
        <v>179</v>
      </c>
      <c r="BA16" s="82"/>
      <c r="BB16" s="10"/>
      <c r="BC16" s="10"/>
      <c r="BD16" s="10"/>
      <c r="BE16" s="10"/>
      <c r="BF16" s="82"/>
      <c r="BG16" s="10"/>
      <c r="BH16" s="10"/>
      <c r="BI16" s="10"/>
      <c r="BJ16" s="10"/>
      <c r="BK16" s="82"/>
      <c r="BL16" s="109" t="s">
        <v>361</v>
      </c>
      <c r="BM16" s="109" t="s">
        <v>362</v>
      </c>
      <c r="BN16" s="83" t="s">
        <v>363</v>
      </c>
      <c r="BO16" s="83"/>
      <c r="BP16" s="109" t="s">
        <v>146</v>
      </c>
      <c r="BQ16" s="82"/>
      <c r="BR16" s="10"/>
      <c r="BS16" s="10"/>
      <c r="BT16" s="10"/>
      <c r="BU16" s="10"/>
      <c r="BV16" s="82"/>
      <c r="BW16" s="109" t="s">
        <v>361</v>
      </c>
      <c r="BX16" s="109" t="s">
        <v>362</v>
      </c>
      <c r="BY16" s="83" t="s">
        <v>363</v>
      </c>
      <c r="BZ16" s="83"/>
      <c r="CA16" s="109" t="s">
        <v>146</v>
      </c>
      <c r="CB16" s="83" t="s">
        <v>132</v>
      </c>
      <c r="CC16" s="82"/>
      <c r="CD16" s="10"/>
      <c r="CE16" s="10"/>
      <c r="CF16" s="10"/>
      <c r="CG16" s="10"/>
    </row>
    <row r="17" spans="1:85" ht="37.5">
      <c r="A17" s="43"/>
      <c r="B17" s="154"/>
      <c r="C17" s="130" t="s">
        <v>2326</v>
      </c>
      <c r="D17" s="106"/>
      <c r="E17" s="10"/>
      <c r="F17" s="82"/>
      <c r="G17" s="83" t="s">
        <v>112</v>
      </c>
      <c r="H17" s="83" t="s">
        <v>112</v>
      </c>
      <c r="I17" s="83" t="s">
        <v>112</v>
      </c>
      <c r="J17" s="83" t="s">
        <v>112</v>
      </c>
      <c r="K17" s="83" t="s">
        <v>112</v>
      </c>
      <c r="L17" s="82"/>
      <c r="M17" s="10" t="s">
        <v>11</v>
      </c>
      <c r="N17" s="10" t="s">
        <v>12</v>
      </c>
      <c r="O17" s="84" t="s">
        <v>2307</v>
      </c>
      <c r="P17" s="10" t="s">
        <v>13</v>
      </c>
      <c r="Q17" s="82"/>
      <c r="R17" s="10"/>
      <c r="S17" s="10"/>
      <c r="T17" s="10"/>
      <c r="U17" s="10"/>
      <c r="V17" s="82"/>
      <c r="W17" s="10"/>
      <c r="X17" s="10"/>
      <c r="Y17" s="10"/>
      <c r="Z17" s="10"/>
      <c r="AA17" s="10"/>
      <c r="AB17" s="10"/>
      <c r="AC17" s="10"/>
      <c r="AD17" s="82"/>
      <c r="AE17" s="83" t="s">
        <v>112</v>
      </c>
      <c r="AF17" s="83" t="s">
        <v>112</v>
      </c>
      <c r="AG17" s="82"/>
      <c r="AH17" s="83" t="s">
        <v>112</v>
      </c>
      <c r="AI17" s="83" t="s">
        <v>112</v>
      </c>
      <c r="AJ17" s="83"/>
      <c r="AK17" s="83" t="s">
        <v>112</v>
      </c>
      <c r="AL17" s="82"/>
      <c r="AM17" s="10"/>
      <c r="AN17" s="10"/>
      <c r="AO17" s="10"/>
      <c r="AP17" s="10"/>
      <c r="AQ17" s="82"/>
      <c r="AR17" s="10"/>
      <c r="AS17" s="10"/>
      <c r="AT17" s="10"/>
      <c r="AU17" s="10"/>
      <c r="AV17" s="82"/>
      <c r="AW17" s="83" t="s">
        <v>365</v>
      </c>
      <c r="AX17" s="109" t="s">
        <v>366</v>
      </c>
      <c r="AY17" s="83" t="s">
        <v>2347</v>
      </c>
      <c r="AZ17" s="83" t="s">
        <v>179</v>
      </c>
      <c r="BA17" s="82"/>
      <c r="BB17" s="10"/>
      <c r="BC17" s="10"/>
      <c r="BD17" s="10"/>
      <c r="BE17" s="10"/>
      <c r="BF17" s="82"/>
      <c r="BG17" s="10"/>
      <c r="BH17" s="10"/>
      <c r="BI17" s="10"/>
      <c r="BJ17" s="10"/>
      <c r="BK17" s="82"/>
      <c r="BL17" s="83" t="s">
        <v>368</v>
      </c>
      <c r="BM17" s="109"/>
      <c r="BN17" s="83" t="s">
        <v>369</v>
      </c>
      <c r="BO17" s="83"/>
      <c r="BP17" s="109" t="s">
        <v>146</v>
      </c>
      <c r="BQ17" s="82"/>
      <c r="BR17" s="10"/>
      <c r="BS17" s="10"/>
      <c r="BT17" s="10"/>
      <c r="BU17" s="10"/>
      <c r="BV17" s="82"/>
      <c r="BW17" s="83" t="s">
        <v>368</v>
      </c>
      <c r="BX17" s="109"/>
      <c r="BY17" s="83" t="s">
        <v>369</v>
      </c>
      <c r="BZ17" s="83"/>
      <c r="CA17" s="109" t="s">
        <v>146</v>
      </c>
      <c r="CB17" s="83" t="s">
        <v>132</v>
      </c>
      <c r="CC17" s="82"/>
      <c r="CD17" s="10"/>
      <c r="CE17" s="10"/>
      <c r="CF17" s="10"/>
      <c r="CG17" s="10"/>
    </row>
    <row r="18" spans="1:85" ht="25">
      <c r="A18" s="43"/>
      <c r="B18" s="149"/>
      <c r="C18" s="130" t="s">
        <v>2326</v>
      </c>
      <c r="D18" s="106"/>
      <c r="E18" s="10"/>
      <c r="F18" s="82"/>
      <c r="G18" s="83" t="s">
        <v>112</v>
      </c>
      <c r="H18" s="83" t="s">
        <v>112</v>
      </c>
      <c r="I18" s="83" t="s">
        <v>112</v>
      </c>
      <c r="J18" s="83" t="s">
        <v>112</v>
      </c>
      <c r="K18" s="83" t="s">
        <v>112</v>
      </c>
      <c r="L18" s="82"/>
      <c r="M18" s="10" t="s">
        <v>11</v>
      </c>
      <c r="N18" s="10" t="s">
        <v>12</v>
      </c>
      <c r="O18" s="84" t="s">
        <v>2308</v>
      </c>
      <c r="P18" s="10" t="s">
        <v>13</v>
      </c>
      <c r="Q18" s="82"/>
      <c r="R18" s="10"/>
      <c r="S18" s="10"/>
      <c r="T18" s="10"/>
      <c r="U18" s="10"/>
      <c r="V18" s="82"/>
      <c r="W18" s="10"/>
      <c r="X18" s="10"/>
      <c r="Y18" s="10"/>
      <c r="Z18" s="10"/>
      <c r="AA18" s="10"/>
      <c r="AB18" s="10"/>
      <c r="AC18" s="10"/>
      <c r="AD18" s="82"/>
      <c r="AE18" s="83" t="s">
        <v>112</v>
      </c>
      <c r="AF18" s="83" t="s">
        <v>112</v>
      </c>
      <c r="AG18" s="82"/>
      <c r="AH18" s="83" t="s">
        <v>112</v>
      </c>
      <c r="AI18" s="83" t="s">
        <v>112</v>
      </c>
      <c r="AJ18" s="83"/>
      <c r="AK18" s="83" t="s">
        <v>112</v>
      </c>
      <c r="AL18" s="82"/>
      <c r="AM18" s="10"/>
      <c r="AN18" s="10"/>
      <c r="AO18" s="10"/>
      <c r="AP18" s="10"/>
      <c r="AQ18" s="82"/>
      <c r="AR18" s="10"/>
      <c r="AS18" s="10"/>
      <c r="AT18" s="10"/>
      <c r="AU18" s="10"/>
      <c r="AV18" s="82"/>
      <c r="AW18" s="83" t="s">
        <v>365</v>
      </c>
      <c r="AX18" s="109" t="s">
        <v>366</v>
      </c>
      <c r="AY18" s="83" t="s">
        <v>2347</v>
      </c>
      <c r="AZ18" s="83" t="s">
        <v>179</v>
      </c>
      <c r="BA18" s="82"/>
      <c r="BB18" s="10"/>
      <c r="BC18" s="10"/>
      <c r="BD18" s="10"/>
      <c r="BE18" s="10"/>
      <c r="BF18" s="82"/>
      <c r="BG18" s="10"/>
      <c r="BH18" s="10"/>
      <c r="BI18" s="10"/>
      <c r="BJ18" s="10"/>
      <c r="BK18" s="82"/>
      <c r="BL18" s="83" t="s">
        <v>371</v>
      </c>
      <c r="BM18" s="109"/>
      <c r="BN18" s="83" t="s">
        <v>372</v>
      </c>
      <c r="BO18" s="83"/>
      <c r="BP18" s="109" t="s">
        <v>146</v>
      </c>
      <c r="BQ18" s="82"/>
      <c r="BR18" s="10"/>
      <c r="BS18" s="10"/>
      <c r="BT18" s="10"/>
      <c r="BU18" s="10"/>
      <c r="BV18" s="82"/>
      <c r="BW18" s="83" t="s">
        <v>371</v>
      </c>
      <c r="BX18" s="109"/>
      <c r="BY18" s="83" t="s">
        <v>372</v>
      </c>
      <c r="BZ18" s="83"/>
      <c r="CA18" s="109" t="s">
        <v>146</v>
      </c>
      <c r="CB18" s="83" t="s">
        <v>132</v>
      </c>
      <c r="CC18" s="82"/>
      <c r="CD18" s="10"/>
      <c r="CE18" s="10"/>
      <c r="CF18" s="10"/>
      <c r="CG18" s="10"/>
    </row>
    <row r="19" spans="1:85" ht="25">
      <c r="A19" s="1"/>
      <c r="B19" s="136" t="s">
        <v>373</v>
      </c>
      <c r="C19" s="128" t="s">
        <v>374</v>
      </c>
      <c r="D19" s="115"/>
      <c r="E19" s="91"/>
      <c r="F19" s="65"/>
      <c r="G19" s="94"/>
      <c r="H19" s="94"/>
      <c r="I19" s="94"/>
      <c r="J19" s="94"/>
      <c r="K19" s="94"/>
      <c r="L19" s="65"/>
      <c r="M19" s="91" t="s">
        <v>11</v>
      </c>
      <c r="N19" s="91" t="s">
        <v>12</v>
      </c>
      <c r="O19" s="92" t="s">
        <v>2309</v>
      </c>
      <c r="P19" s="91" t="s">
        <v>13</v>
      </c>
      <c r="Q19" s="65"/>
      <c r="R19" s="91"/>
      <c r="S19" s="91"/>
      <c r="T19" s="91"/>
      <c r="U19" s="91"/>
      <c r="V19" s="65"/>
      <c r="W19" s="91"/>
      <c r="X19" s="91"/>
      <c r="Y19" s="91"/>
      <c r="Z19" s="91"/>
      <c r="AA19" s="91"/>
      <c r="AB19" s="91"/>
      <c r="AC19" s="91"/>
      <c r="AD19" s="65"/>
      <c r="AE19" s="94" t="s">
        <v>112</v>
      </c>
      <c r="AF19" s="94" t="s">
        <v>112</v>
      </c>
      <c r="AG19" s="65"/>
      <c r="AH19" s="94" t="s">
        <v>112</v>
      </c>
      <c r="AI19" s="112" t="s">
        <v>112</v>
      </c>
      <c r="AJ19" s="112"/>
      <c r="AK19" s="104" t="s">
        <v>112</v>
      </c>
      <c r="AL19" s="65"/>
      <c r="AM19" s="91"/>
      <c r="AN19" s="91"/>
      <c r="AO19" s="91"/>
      <c r="AP19" s="91"/>
      <c r="AQ19" s="65"/>
      <c r="AR19" s="91"/>
      <c r="AS19" s="91"/>
      <c r="AT19" s="91"/>
      <c r="AU19" s="91"/>
      <c r="AV19" s="65"/>
      <c r="AW19" s="133" t="s">
        <v>376</v>
      </c>
      <c r="AX19" s="112" t="s">
        <v>377</v>
      </c>
      <c r="AY19" s="133" t="s">
        <v>378</v>
      </c>
      <c r="AZ19" s="134" t="s">
        <v>179</v>
      </c>
      <c r="BA19" s="65"/>
      <c r="BB19" s="91"/>
      <c r="BC19" s="91"/>
      <c r="BD19" s="91"/>
      <c r="BE19" s="91"/>
      <c r="BF19" s="65"/>
      <c r="BG19" s="91"/>
      <c r="BH19" s="91"/>
      <c r="BI19" s="91"/>
      <c r="BJ19" s="91"/>
      <c r="BK19" s="65"/>
      <c r="BL19" s="134" t="s">
        <v>376</v>
      </c>
      <c r="BM19" s="119" t="s">
        <v>377</v>
      </c>
      <c r="BN19" s="134" t="s">
        <v>378</v>
      </c>
      <c r="BO19" s="134"/>
      <c r="BP19" s="105" t="s">
        <v>146</v>
      </c>
      <c r="BQ19" s="65"/>
      <c r="BR19" s="91"/>
      <c r="BS19" s="91"/>
      <c r="BT19" s="91"/>
      <c r="BU19" s="91"/>
      <c r="BV19" s="65"/>
      <c r="BW19" s="134" t="s">
        <v>376</v>
      </c>
      <c r="BX19" s="119" t="s">
        <v>377</v>
      </c>
      <c r="BY19" s="134" t="s">
        <v>378</v>
      </c>
      <c r="BZ19" s="134"/>
      <c r="CA19" s="105" t="s">
        <v>146</v>
      </c>
      <c r="CB19" s="94" t="s">
        <v>132</v>
      </c>
      <c r="CC19" s="65"/>
      <c r="CD19" s="91"/>
      <c r="CE19" s="91"/>
      <c r="CF19" s="91"/>
      <c r="CG19" s="91"/>
    </row>
    <row r="20" spans="1:85" ht="29">
      <c r="A20" s="43"/>
      <c r="B20" s="153" t="s">
        <v>379</v>
      </c>
      <c r="C20" s="130" t="s">
        <v>2348</v>
      </c>
      <c r="D20" s="108"/>
      <c r="E20" s="10"/>
      <c r="F20" s="82"/>
      <c r="G20" s="83" t="s">
        <v>112</v>
      </c>
      <c r="H20" s="83" t="s">
        <v>112</v>
      </c>
      <c r="I20" s="83" t="s">
        <v>112</v>
      </c>
      <c r="J20" s="83" t="s">
        <v>112</v>
      </c>
      <c r="K20" s="83" t="s">
        <v>112</v>
      </c>
      <c r="L20" s="82"/>
      <c r="M20" s="10" t="s">
        <v>11</v>
      </c>
      <c r="N20" s="10" t="s">
        <v>12</v>
      </c>
      <c r="O20" s="84" t="s">
        <v>2310</v>
      </c>
      <c r="P20" s="10" t="s">
        <v>13</v>
      </c>
      <c r="Q20" s="82"/>
      <c r="R20" s="10"/>
      <c r="S20" s="10"/>
      <c r="T20" s="10"/>
      <c r="U20" s="10"/>
      <c r="V20" s="82"/>
      <c r="W20" s="10"/>
      <c r="X20" s="10"/>
      <c r="Y20" s="10"/>
      <c r="Z20" s="10"/>
      <c r="AA20" s="10"/>
      <c r="AB20" s="10"/>
      <c r="AC20" s="10"/>
      <c r="AD20" s="82"/>
      <c r="AE20" s="83" t="s">
        <v>112</v>
      </c>
      <c r="AF20" s="83" t="s">
        <v>112</v>
      </c>
      <c r="AG20" s="82"/>
      <c r="AH20" s="83" t="s">
        <v>381</v>
      </c>
      <c r="AI20" s="86">
        <v>84130639200017</v>
      </c>
      <c r="AJ20" s="86"/>
      <c r="AK20" s="87" t="s">
        <v>383</v>
      </c>
      <c r="AL20" s="82"/>
      <c r="AM20" s="10"/>
      <c r="AN20" s="10"/>
      <c r="AO20" s="10"/>
      <c r="AP20" s="10"/>
      <c r="AQ20" s="82"/>
      <c r="AR20" s="10"/>
      <c r="AS20" s="10"/>
      <c r="AT20" s="10"/>
      <c r="AU20" s="10"/>
      <c r="AV20" s="82"/>
      <c r="AW20" s="138" t="s">
        <v>392</v>
      </c>
      <c r="AX20" s="139">
        <v>78417353600094</v>
      </c>
      <c r="AY20" s="138" t="s">
        <v>394</v>
      </c>
      <c r="AZ20" s="132" t="s">
        <v>395</v>
      </c>
      <c r="BA20" s="82"/>
      <c r="BB20" s="10"/>
      <c r="BC20" s="10"/>
      <c r="BD20" s="10"/>
      <c r="BE20" s="10"/>
      <c r="BF20" s="82"/>
      <c r="BG20" s="10"/>
      <c r="BH20" s="10"/>
      <c r="BI20" s="10"/>
      <c r="BJ20" s="10"/>
      <c r="BK20" s="82"/>
      <c r="BL20" s="83" t="s">
        <v>396</v>
      </c>
      <c r="BM20" s="86">
        <v>38086361300036</v>
      </c>
      <c r="BN20" s="83" t="s">
        <v>398</v>
      </c>
      <c r="BO20" s="83"/>
      <c r="BP20" s="83" t="s">
        <v>399</v>
      </c>
      <c r="BQ20" s="82"/>
      <c r="BR20" s="10"/>
      <c r="BS20" s="10"/>
      <c r="BT20" s="10"/>
      <c r="BU20" s="10"/>
      <c r="BV20" s="82"/>
      <c r="BW20" s="83" t="s">
        <v>396</v>
      </c>
      <c r="BX20" s="86">
        <v>38086361300036</v>
      </c>
      <c r="BY20" s="83" t="s">
        <v>398</v>
      </c>
      <c r="BZ20" s="83"/>
      <c r="CA20" s="83" t="s">
        <v>399</v>
      </c>
      <c r="CB20" s="109" t="s">
        <v>400</v>
      </c>
      <c r="CC20" s="82"/>
      <c r="CD20" s="10"/>
      <c r="CE20" s="10"/>
      <c r="CF20" s="10"/>
      <c r="CG20" s="10"/>
    </row>
    <row r="21" spans="1:85" ht="15.75" customHeight="1">
      <c r="A21" s="43"/>
      <c r="B21" s="154"/>
      <c r="C21" s="130" t="s">
        <v>2348</v>
      </c>
      <c r="D21" s="106"/>
      <c r="E21" s="10"/>
      <c r="F21" s="82"/>
      <c r="G21" s="83" t="s">
        <v>112</v>
      </c>
      <c r="H21" s="83" t="s">
        <v>112</v>
      </c>
      <c r="I21" s="83" t="s">
        <v>112</v>
      </c>
      <c r="J21" s="83" t="s">
        <v>112</v>
      </c>
      <c r="K21" s="83" t="s">
        <v>112</v>
      </c>
      <c r="L21" s="82"/>
      <c r="M21" s="10" t="s">
        <v>11</v>
      </c>
      <c r="N21" s="10" t="s">
        <v>12</v>
      </c>
      <c r="O21" s="84" t="s">
        <v>2311</v>
      </c>
      <c r="P21" s="10" t="s">
        <v>13</v>
      </c>
      <c r="Q21" s="82"/>
      <c r="R21" s="10"/>
      <c r="S21" s="10"/>
      <c r="T21" s="10"/>
      <c r="U21" s="10"/>
      <c r="V21" s="82"/>
      <c r="W21" s="10"/>
      <c r="X21" s="10"/>
      <c r="Y21" s="10"/>
      <c r="Z21" s="10"/>
      <c r="AA21" s="10"/>
      <c r="AB21" s="10"/>
      <c r="AC21" s="10"/>
      <c r="AD21" s="82"/>
      <c r="AE21" s="83" t="s">
        <v>112</v>
      </c>
      <c r="AF21" s="83" t="s">
        <v>112</v>
      </c>
      <c r="AG21" s="82"/>
      <c r="AH21" s="83" t="s">
        <v>381</v>
      </c>
      <c r="AI21" s="86">
        <v>84130639200017</v>
      </c>
      <c r="AJ21" s="86"/>
      <c r="AK21" s="87" t="s">
        <v>383</v>
      </c>
      <c r="AL21" s="82"/>
      <c r="AM21" s="10"/>
      <c r="AN21" s="10"/>
      <c r="AO21" s="10"/>
      <c r="AP21" s="10"/>
      <c r="AQ21" s="82"/>
      <c r="AR21" s="10"/>
      <c r="AS21" s="10"/>
      <c r="AT21" s="10"/>
      <c r="AU21" s="10"/>
      <c r="AV21" s="82"/>
      <c r="AW21" s="138" t="s">
        <v>392</v>
      </c>
      <c r="AX21" s="86">
        <v>78417353600094</v>
      </c>
      <c r="AY21" s="138" t="s">
        <v>394</v>
      </c>
      <c r="AZ21" s="132" t="s">
        <v>395</v>
      </c>
      <c r="BA21" s="82"/>
      <c r="BB21" s="10"/>
      <c r="BC21" s="10"/>
      <c r="BD21" s="10"/>
      <c r="BE21" s="10"/>
      <c r="BF21" s="82"/>
      <c r="BG21" s="10"/>
      <c r="BH21" s="10"/>
      <c r="BI21" s="10"/>
      <c r="BJ21" s="10"/>
      <c r="BK21" s="82"/>
      <c r="BL21" s="83" t="s">
        <v>396</v>
      </c>
      <c r="BM21" s="86">
        <v>38086361300036</v>
      </c>
      <c r="BN21" s="83" t="s">
        <v>398</v>
      </c>
      <c r="BO21" s="83"/>
      <c r="BP21" s="83" t="s">
        <v>399</v>
      </c>
      <c r="BQ21" s="82"/>
      <c r="BR21" s="10"/>
      <c r="BS21" s="10"/>
      <c r="BT21" s="10"/>
      <c r="BU21" s="10"/>
      <c r="BV21" s="82"/>
      <c r="BW21" s="83" t="s">
        <v>396</v>
      </c>
      <c r="BX21" s="86">
        <v>38086361300036</v>
      </c>
      <c r="BY21" s="83" t="s">
        <v>398</v>
      </c>
      <c r="BZ21" s="83"/>
      <c r="CA21" s="83" t="s">
        <v>399</v>
      </c>
      <c r="CB21" s="109" t="s">
        <v>400</v>
      </c>
      <c r="CC21" s="82"/>
      <c r="CD21" s="10"/>
      <c r="CE21" s="10"/>
      <c r="CF21" s="10"/>
      <c r="CG21" s="10"/>
    </row>
    <row r="22" spans="1:85" ht="15.75" customHeight="1">
      <c r="A22" s="43"/>
      <c r="B22" s="154"/>
      <c r="C22" s="130" t="s">
        <v>2348</v>
      </c>
      <c r="D22" s="106"/>
      <c r="E22" s="10"/>
      <c r="F22" s="82"/>
      <c r="G22" s="83" t="s">
        <v>112</v>
      </c>
      <c r="H22" s="83" t="s">
        <v>112</v>
      </c>
      <c r="I22" s="83" t="s">
        <v>112</v>
      </c>
      <c r="J22" s="83" t="s">
        <v>112</v>
      </c>
      <c r="K22" s="83" t="s">
        <v>112</v>
      </c>
      <c r="L22" s="82"/>
      <c r="M22" s="10" t="s">
        <v>11</v>
      </c>
      <c r="N22" s="10" t="s">
        <v>12</v>
      </c>
      <c r="O22" s="84" t="s">
        <v>2313</v>
      </c>
      <c r="P22" s="10" t="s">
        <v>13</v>
      </c>
      <c r="Q22" s="82"/>
      <c r="R22" s="10"/>
      <c r="S22" s="10"/>
      <c r="T22" s="10"/>
      <c r="U22" s="10"/>
      <c r="V22" s="82"/>
      <c r="W22" s="10"/>
      <c r="X22" s="10"/>
      <c r="Y22" s="10"/>
      <c r="Z22" s="10"/>
      <c r="AA22" s="10"/>
      <c r="AB22" s="10"/>
      <c r="AC22" s="10"/>
      <c r="AD22" s="82"/>
      <c r="AE22" s="83" t="s">
        <v>112</v>
      </c>
      <c r="AF22" s="83" t="s">
        <v>112</v>
      </c>
      <c r="AG22" s="82"/>
      <c r="AH22" s="83" t="s">
        <v>381</v>
      </c>
      <c r="AI22" s="86">
        <v>84130639200017</v>
      </c>
      <c r="AJ22" s="86"/>
      <c r="AK22" s="87" t="s">
        <v>383</v>
      </c>
      <c r="AL22" s="82"/>
      <c r="AM22" s="10"/>
      <c r="AN22" s="10"/>
      <c r="AO22" s="10"/>
      <c r="AP22" s="10"/>
      <c r="AQ22" s="82"/>
      <c r="AR22" s="10"/>
      <c r="AS22" s="10"/>
      <c r="AT22" s="10"/>
      <c r="AU22" s="10"/>
      <c r="AV22" s="82"/>
      <c r="AW22" s="138" t="s">
        <v>404</v>
      </c>
      <c r="AX22" s="139">
        <v>48040229600028</v>
      </c>
      <c r="AY22" s="138" t="s">
        <v>405</v>
      </c>
      <c r="AZ22" s="132">
        <v>2267075</v>
      </c>
      <c r="BA22" s="82"/>
      <c r="BB22" s="10"/>
      <c r="BC22" s="10"/>
      <c r="BD22" s="10"/>
      <c r="BE22" s="10"/>
      <c r="BF22" s="82"/>
      <c r="BG22" s="10"/>
      <c r="BH22" s="10"/>
      <c r="BI22" s="10"/>
      <c r="BJ22" s="10"/>
      <c r="BK22" s="82"/>
      <c r="BL22" s="83" t="s">
        <v>396</v>
      </c>
      <c r="BM22" s="86">
        <v>38086361300036</v>
      </c>
      <c r="BN22" s="83" t="s">
        <v>398</v>
      </c>
      <c r="BO22" s="83"/>
      <c r="BP22" s="83" t="s">
        <v>399</v>
      </c>
      <c r="BQ22" s="82"/>
      <c r="BR22" s="10"/>
      <c r="BS22" s="10"/>
      <c r="BT22" s="10"/>
      <c r="BU22" s="10"/>
      <c r="BV22" s="82"/>
      <c r="BW22" s="83" t="s">
        <v>396</v>
      </c>
      <c r="BX22" s="86">
        <v>38086361300036</v>
      </c>
      <c r="BY22" s="83" t="s">
        <v>398</v>
      </c>
      <c r="BZ22" s="83"/>
      <c r="CA22" s="83" t="s">
        <v>399</v>
      </c>
      <c r="CB22" s="109" t="s">
        <v>400</v>
      </c>
      <c r="CC22" s="82"/>
      <c r="CD22" s="10"/>
      <c r="CE22" s="10"/>
      <c r="CF22" s="10"/>
      <c r="CG22" s="10"/>
    </row>
    <row r="23" spans="1:85" ht="15.75" customHeight="1">
      <c r="A23" s="43"/>
      <c r="B23" s="154"/>
      <c r="C23" s="130" t="s">
        <v>2348</v>
      </c>
      <c r="D23" s="106"/>
      <c r="E23" s="10"/>
      <c r="F23" s="82"/>
      <c r="G23" s="83" t="s">
        <v>112</v>
      </c>
      <c r="H23" s="83" t="s">
        <v>112</v>
      </c>
      <c r="I23" s="83" t="s">
        <v>112</v>
      </c>
      <c r="J23" s="83" t="s">
        <v>112</v>
      </c>
      <c r="K23" s="83" t="s">
        <v>112</v>
      </c>
      <c r="L23" s="82"/>
      <c r="M23" s="10" t="s">
        <v>11</v>
      </c>
      <c r="N23" s="10" t="s">
        <v>12</v>
      </c>
      <c r="O23" s="84" t="s">
        <v>2314</v>
      </c>
      <c r="P23" s="10" t="s">
        <v>13</v>
      </c>
      <c r="Q23" s="82"/>
      <c r="R23" s="10"/>
      <c r="S23" s="10"/>
      <c r="T23" s="10"/>
      <c r="U23" s="10"/>
      <c r="V23" s="82"/>
      <c r="W23" s="10"/>
      <c r="X23" s="10"/>
      <c r="Y23" s="10"/>
      <c r="Z23" s="10"/>
      <c r="AA23" s="10"/>
      <c r="AB23" s="10"/>
      <c r="AC23" s="10"/>
      <c r="AD23" s="82"/>
      <c r="AE23" s="83" t="s">
        <v>112</v>
      </c>
      <c r="AF23" s="83" t="s">
        <v>112</v>
      </c>
      <c r="AG23" s="82"/>
      <c r="AH23" s="83" t="s">
        <v>381</v>
      </c>
      <c r="AI23" s="86">
        <v>84130639200017</v>
      </c>
      <c r="AJ23" s="86"/>
      <c r="AK23" s="87" t="s">
        <v>383</v>
      </c>
      <c r="AL23" s="82"/>
      <c r="AM23" s="10"/>
      <c r="AN23" s="10"/>
      <c r="AO23" s="10"/>
      <c r="AP23" s="10"/>
      <c r="AQ23" s="82"/>
      <c r="AR23" s="10"/>
      <c r="AS23" s="10"/>
      <c r="AT23" s="10"/>
      <c r="AU23" s="10"/>
      <c r="AV23" s="82"/>
      <c r="AW23" s="138" t="s">
        <v>407</v>
      </c>
      <c r="AX23" s="139">
        <v>38036831600010</v>
      </c>
      <c r="AY23" s="138" t="s">
        <v>408</v>
      </c>
      <c r="AZ23" s="132" t="s">
        <v>409</v>
      </c>
      <c r="BA23" s="82"/>
      <c r="BB23" s="10"/>
      <c r="BC23" s="10"/>
      <c r="BD23" s="10"/>
      <c r="BE23" s="10"/>
      <c r="BF23" s="82"/>
      <c r="BG23" s="10"/>
      <c r="BH23" s="10"/>
      <c r="BI23" s="10"/>
      <c r="BJ23" s="10"/>
      <c r="BK23" s="82"/>
      <c r="BL23" s="83" t="s">
        <v>396</v>
      </c>
      <c r="BM23" s="86">
        <v>38086361300036</v>
      </c>
      <c r="BN23" s="83" t="s">
        <v>398</v>
      </c>
      <c r="BO23" s="83"/>
      <c r="BP23" s="83" t="s">
        <v>399</v>
      </c>
      <c r="BQ23" s="82"/>
      <c r="BR23" s="10"/>
      <c r="BS23" s="10"/>
      <c r="BT23" s="10"/>
      <c r="BU23" s="10"/>
      <c r="BV23" s="82"/>
      <c r="BW23" s="83" t="s">
        <v>396</v>
      </c>
      <c r="BX23" s="86">
        <v>38086361300036</v>
      </c>
      <c r="BY23" s="83" t="s">
        <v>398</v>
      </c>
      <c r="BZ23" s="83"/>
      <c r="CA23" s="83" t="s">
        <v>399</v>
      </c>
      <c r="CB23" s="109" t="s">
        <v>400</v>
      </c>
      <c r="CC23" s="82"/>
      <c r="CD23" s="10"/>
      <c r="CE23" s="10"/>
      <c r="CF23" s="10"/>
      <c r="CG23" s="10"/>
    </row>
    <row r="24" spans="1:85" ht="15.75" customHeight="1">
      <c r="A24" s="43"/>
      <c r="B24" s="154"/>
      <c r="C24" s="130" t="s">
        <v>2348</v>
      </c>
      <c r="D24" s="99"/>
      <c r="E24" s="10"/>
      <c r="F24" s="82"/>
      <c r="G24" s="83" t="s">
        <v>112</v>
      </c>
      <c r="H24" s="83" t="s">
        <v>112</v>
      </c>
      <c r="I24" s="83" t="s">
        <v>112</v>
      </c>
      <c r="J24" s="83" t="s">
        <v>112</v>
      </c>
      <c r="K24" s="83" t="s">
        <v>112</v>
      </c>
      <c r="L24" s="82"/>
      <c r="M24" s="10" t="s">
        <v>11</v>
      </c>
      <c r="N24" s="10" t="s">
        <v>12</v>
      </c>
      <c r="O24" s="84" t="s">
        <v>2316</v>
      </c>
      <c r="P24" s="10" t="s">
        <v>13</v>
      </c>
      <c r="Q24" s="82"/>
      <c r="R24" s="10"/>
      <c r="S24" s="10"/>
      <c r="T24" s="10"/>
      <c r="U24" s="10"/>
      <c r="V24" s="82"/>
      <c r="W24" s="10"/>
      <c r="X24" s="10"/>
      <c r="Y24" s="10"/>
      <c r="Z24" s="10"/>
      <c r="AA24" s="10"/>
      <c r="AB24" s="10"/>
      <c r="AC24" s="10"/>
      <c r="AD24" s="82"/>
      <c r="AE24" s="83" t="s">
        <v>112</v>
      </c>
      <c r="AF24" s="83" t="s">
        <v>112</v>
      </c>
      <c r="AG24" s="82"/>
      <c r="AH24" s="83" t="s">
        <v>381</v>
      </c>
      <c r="AI24" s="86">
        <v>84130639200017</v>
      </c>
      <c r="AJ24" s="86"/>
      <c r="AK24" s="87" t="s">
        <v>383</v>
      </c>
      <c r="AL24" s="82"/>
      <c r="AM24" s="10"/>
      <c r="AN24" s="10"/>
      <c r="AO24" s="10"/>
      <c r="AP24" s="10"/>
      <c r="AQ24" s="82"/>
      <c r="AR24" s="10"/>
      <c r="AS24" s="10"/>
      <c r="AT24" s="10"/>
      <c r="AU24" s="10"/>
      <c r="AV24" s="82"/>
      <c r="AW24" s="138" t="s">
        <v>411</v>
      </c>
      <c r="AX24" s="139">
        <v>47961343200059</v>
      </c>
      <c r="AY24" s="138" t="s">
        <v>2349</v>
      </c>
      <c r="AZ24" s="132">
        <v>2367063</v>
      </c>
      <c r="BA24" s="82"/>
      <c r="BB24" s="10"/>
      <c r="BC24" s="10"/>
      <c r="BD24" s="10"/>
      <c r="BE24" s="10"/>
      <c r="BF24" s="82"/>
      <c r="BG24" s="10"/>
      <c r="BH24" s="10"/>
      <c r="BI24" s="10"/>
      <c r="BJ24" s="10"/>
      <c r="BK24" s="82"/>
      <c r="BL24" s="83" t="s">
        <v>396</v>
      </c>
      <c r="BM24" s="86">
        <v>38086361300036</v>
      </c>
      <c r="BN24" s="83" t="s">
        <v>398</v>
      </c>
      <c r="BO24" s="83"/>
      <c r="BP24" s="83" t="s">
        <v>399</v>
      </c>
      <c r="BQ24" s="82"/>
      <c r="BR24" s="10"/>
      <c r="BS24" s="10"/>
      <c r="BT24" s="10"/>
      <c r="BU24" s="10"/>
      <c r="BV24" s="82"/>
      <c r="BW24" s="83" t="s">
        <v>396</v>
      </c>
      <c r="BX24" s="86">
        <v>38086361300036</v>
      </c>
      <c r="BY24" s="83" t="s">
        <v>398</v>
      </c>
      <c r="BZ24" s="83"/>
      <c r="CA24" s="83" t="s">
        <v>399</v>
      </c>
      <c r="CB24" s="109" t="s">
        <v>400</v>
      </c>
      <c r="CC24" s="82"/>
      <c r="CD24" s="10"/>
      <c r="CE24" s="10"/>
      <c r="CF24" s="10"/>
      <c r="CG24" s="10"/>
    </row>
    <row r="25" spans="1:85" ht="15.75" customHeight="1">
      <c r="A25" s="43"/>
      <c r="B25" s="154"/>
      <c r="C25" s="130" t="s">
        <v>2348</v>
      </c>
      <c r="D25" s="106"/>
      <c r="E25" s="10"/>
      <c r="F25" s="82"/>
      <c r="G25" s="83" t="s">
        <v>112</v>
      </c>
      <c r="H25" s="83" t="s">
        <v>112</v>
      </c>
      <c r="I25" s="83" t="s">
        <v>112</v>
      </c>
      <c r="J25" s="83" t="s">
        <v>112</v>
      </c>
      <c r="K25" s="83" t="s">
        <v>112</v>
      </c>
      <c r="L25" s="82"/>
      <c r="M25" s="10" t="s">
        <v>11</v>
      </c>
      <c r="N25" s="10" t="s">
        <v>12</v>
      </c>
      <c r="O25" s="84" t="s">
        <v>2318</v>
      </c>
      <c r="P25" s="10" t="s">
        <v>13</v>
      </c>
      <c r="Q25" s="82"/>
      <c r="R25" s="10"/>
      <c r="S25" s="10"/>
      <c r="T25" s="10"/>
      <c r="U25" s="10"/>
      <c r="V25" s="82"/>
      <c r="W25" s="10"/>
      <c r="X25" s="10"/>
      <c r="Y25" s="10"/>
      <c r="Z25" s="10"/>
      <c r="AA25" s="10"/>
      <c r="AB25" s="10"/>
      <c r="AC25" s="10"/>
      <c r="AD25" s="82"/>
      <c r="AE25" s="83" t="s">
        <v>112</v>
      </c>
      <c r="AF25" s="83" t="s">
        <v>112</v>
      </c>
      <c r="AG25" s="82"/>
      <c r="AH25" s="83" t="s">
        <v>381</v>
      </c>
      <c r="AI25" s="86">
        <v>84130639200017</v>
      </c>
      <c r="AJ25" s="86"/>
      <c r="AK25" s="87" t="s">
        <v>383</v>
      </c>
      <c r="AL25" s="82"/>
      <c r="AM25" s="10"/>
      <c r="AN25" s="10"/>
      <c r="AO25" s="10"/>
      <c r="AP25" s="10"/>
      <c r="AQ25" s="82"/>
      <c r="AR25" s="10"/>
      <c r="AS25" s="10"/>
      <c r="AT25" s="10"/>
      <c r="AU25" s="10"/>
      <c r="AV25" s="82"/>
      <c r="AW25" s="138" t="s">
        <v>414</v>
      </c>
      <c r="AX25" s="139">
        <v>89017797500020</v>
      </c>
      <c r="AY25" s="138" t="s">
        <v>415</v>
      </c>
      <c r="AZ25" s="132">
        <v>2367095</v>
      </c>
      <c r="BA25" s="82"/>
      <c r="BB25" s="10"/>
      <c r="BC25" s="10"/>
      <c r="BD25" s="10"/>
      <c r="BE25" s="10"/>
      <c r="BF25" s="82"/>
      <c r="BG25" s="10"/>
      <c r="BH25" s="10"/>
      <c r="BI25" s="10"/>
      <c r="BJ25" s="10"/>
      <c r="BK25" s="82"/>
      <c r="BL25" s="83" t="s">
        <v>396</v>
      </c>
      <c r="BM25" s="86">
        <v>38086361300036</v>
      </c>
      <c r="BN25" s="83" t="s">
        <v>398</v>
      </c>
      <c r="BO25" s="83"/>
      <c r="BP25" s="83" t="s">
        <v>399</v>
      </c>
      <c r="BQ25" s="82"/>
      <c r="BR25" s="10"/>
      <c r="BS25" s="10"/>
      <c r="BT25" s="10"/>
      <c r="BU25" s="10"/>
      <c r="BV25" s="82"/>
      <c r="BW25" s="83" t="s">
        <v>396</v>
      </c>
      <c r="BX25" s="86">
        <v>38086361300036</v>
      </c>
      <c r="BY25" s="83" t="s">
        <v>398</v>
      </c>
      <c r="BZ25" s="83"/>
      <c r="CA25" s="83" t="s">
        <v>399</v>
      </c>
      <c r="CB25" s="109" t="s">
        <v>400</v>
      </c>
      <c r="CC25" s="82"/>
      <c r="CD25" s="10"/>
      <c r="CE25" s="10"/>
      <c r="CF25" s="10"/>
      <c r="CG25" s="10"/>
    </row>
    <row r="26" spans="1:85" ht="15.75" customHeight="1">
      <c r="A26" s="43"/>
      <c r="B26" s="154"/>
      <c r="C26" s="130" t="s">
        <v>2348</v>
      </c>
      <c r="D26" s="106"/>
      <c r="E26" s="10"/>
      <c r="F26" s="82"/>
      <c r="G26" s="83" t="s">
        <v>112</v>
      </c>
      <c r="H26" s="83" t="s">
        <v>112</v>
      </c>
      <c r="I26" s="83" t="s">
        <v>112</v>
      </c>
      <c r="J26" s="83" t="s">
        <v>112</v>
      </c>
      <c r="K26" s="83" t="s">
        <v>112</v>
      </c>
      <c r="L26" s="82"/>
      <c r="M26" s="10" t="s">
        <v>11</v>
      </c>
      <c r="N26" s="10" t="s">
        <v>12</v>
      </c>
      <c r="O26" s="84" t="s">
        <v>2319</v>
      </c>
      <c r="P26" s="10" t="s">
        <v>13</v>
      </c>
      <c r="Q26" s="82"/>
      <c r="R26" s="10"/>
      <c r="S26" s="10"/>
      <c r="T26" s="10"/>
      <c r="U26" s="10"/>
      <c r="V26" s="82"/>
      <c r="W26" s="10"/>
      <c r="X26" s="10"/>
      <c r="Y26" s="10"/>
      <c r="Z26" s="10"/>
      <c r="AA26" s="10"/>
      <c r="AB26" s="10"/>
      <c r="AC26" s="10"/>
      <c r="AD26" s="82"/>
      <c r="AE26" s="83" t="s">
        <v>112</v>
      </c>
      <c r="AF26" s="83" t="s">
        <v>112</v>
      </c>
      <c r="AG26" s="82"/>
      <c r="AH26" s="83" t="s">
        <v>381</v>
      </c>
      <c r="AI26" s="86">
        <v>84130639200017</v>
      </c>
      <c r="AJ26" s="86"/>
      <c r="AK26" s="87" t="s">
        <v>383</v>
      </c>
      <c r="AL26" s="82"/>
      <c r="AM26" s="10"/>
      <c r="AN26" s="10"/>
      <c r="AO26" s="10"/>
      <c r="AP26" s="10"/>
      <c r="AQ26" s="82"/>
      <c r="AR26" s="10"/>
      <c r="AS26" s="10"/>
      <c r="AT26" s="10"/>
      <c r="AU26" s="10"/>
      <c r="AV26" s="82"/>
      <c r="AW26" s="138" t="s">
        <v>417</v>
      </c>
      <c r="AX26" s="139">
        <v>79278269000020</v>
      </c>
      <c r="AY26" s="138" t="s">
        <v>418</v>
      </c>
      <c r="AZ26" s="132">
        <v>1967056</v>
      </c>
      <c r="BA26" s="82"/>
      <c r="BB26" s="10"/>
      <c r="BC26" s="10"/>
      <c r="BD26" s="10"/>
      <c r="BE26" s="10"/>
      <c r="BF26" s="82"/>
      <c r="BG26" s="10"/>
      <c r="BH26" s="10"/>
      <c r="BI26" s="10"/>
      <c r="BJ26" s="10"/>
      <c r="BK26" s="82"/>
      <c r="BL26" s="83" t="s">
        <v>396</v>
      </c>
      <c r="BM26" s="86">
        <v>38086361300036</v>
      </c>
      <c r="BN26" s="83" t="s">
        <v>398</v>
      </c>
      <c r="BO26" s="83"/>
      <c r="BP26" s="83" t="s">
        <v>399</v>
      </c>
      <c r="BQ26" s="82"/>
      <c r="BR26" s="10"/>
      <c r="BS26" s="10"/>
      <c r="BT26" s="10"/>
      <c r="BU26" s="10"/>
      <c r="BV26" s="82"/>
      <c r="BW26" s="83" t="s">
        <v>396</v>
      </c>
      <c r="BX26" s="86">
        <v>38086361300036</v>
      </c>
      <c r="BY26" s="83" t="s">
        <v>398</v>
      </c>
      <c r="BZ26" s="83"/>
      <c r="CA26" s="83" t="s">
        <v>399</v>
      </c>
      <c r="CB26" s="109" t="s">
        <v>400</v>
      </c>
      <c r="CC26" s="82"/>
      <c r="CD26" s="10"/>
      <c r="CE26" s="10"/>
      <c r="CF26" s="10"/>
      <c r="CG26" s="10"/>
    </row>
    <row r="27" spans="1:85" ht="15.75" customHeight="1">
      <c r="A27" s="43"/>
      <c r="B27" s="154"/>
      <c r="C27" s="130" t="s">
        <v>2348</v>
      </c>
      <c r="D27" s="140"/>
      <c r="E27" s="10"/>
      <c r="F27" s="82"/>
      <c r="G27" s="83" t="s">
        <v>112</v>
      </c>
      <c r="H27" s="83" t="s">
        <v>112</v>
      </c>
      <c r="I27" s="83" t="s">
        <v>112</v>
      </c>
      <c r="J27" s="83" t="s">
        <v>112</v>
      </c>
      <c r="K27" s="83" t="s">
        <v>112</v>
      </c>
      <c r="L27" s="82"/>
      <c r="M27" s="10" t="s">
        <v>11</v>
      </c>
      <c r="N27" s="10" t="s">
        <v>12</v>
      </c>
      <c r="O27" s="84" t="s">
        <v>2320</v>
      </c>
      <c r="P27" s="10" t="s">
        <v>13</v>
      </c>
      <c r="Q27" s="82"/>
      <c r="R27" s="10"/>
      <c r="S27" s="10"/>
      <c r="T27" s="10"/>
      <c r="U27" s="10"/>
      <c r="V27" s="82"/>
      <c r="W27" s="10"/>
      <c r="X27" s="10"/>
      <c r="Y27" s="10"/>
      <c r="Z27" s="10"/>
      <c r="AA27" s="10"/>
      <c r="AB27" s="10"/>
      <c r="AC27" s="10"/>
      <c r="AD27" s="82"/>
      <c r="AE27" s="83" t="s">
        <v>112</v>
      </c>
      <c r="AF27" s="83" t="s">
        <v>112</v>
      </c>
      <c r="AG27" s="82"/>
      <c r="AH27" s="83" t="s">
        <v>381</v>
      </c>
      <c r="AI27" s="86">
        <v>84130639200017</v>
      </c>
      <c r="AJ27" s="86"/>
      <c r="AK27" s="87" t="s">
        <v>383</v>
      </c>
      <c r="AL27" s="82"/>
      <c r="AM27" s="10"/>
      <c r="AN27" s="10"/>
      <c r="AO27" s="10"/>
      <c r="AP27" s="10"/>
      <c r="AQ27" s="82"/>
      <c r="AR27" s="10"/>
      <c r="AS27" s="10"/>
      <c r="AT27" s="10"/>
      <c r="AU27" s="10"/>
      <c r="AV27" s="82"/>
      <c r="AW27" s="138" t="s">
        <v>420</v>
      </c>
      <c r="AX27" s="139">
        <v>51904984500067</v>
      </c>
      <c r="AY27" s="138" t="s">
        <v>2349</v>
      </c>
      <c r="AZ27" s="132">
        <v>2367062</v>
      </c>
      <c r="BA27" s="82"/>
      <c r="BB27" s="10"/>
      <c r="BC27" s="10"/>
      <c r="BD27" s="10"/>
      <c r="BE27" s="10"/>
      <c r="BF27" s="82"/>
      <c r="BG27" s="10"/>
      <c r="BH27" s="10"/>
      <c r="BI27" s="10"/>
      <c r="BJ27" s="10"/>
      <c r="BK27" s="82"/>
      <c r="BL27" s="83" t="s">
        <v>396</v>
      </c>
      <c r="BM27" s="86">
        <v>38086361300036</v>
      </c>
      <c r="BN27" s="83" t="s">
        <v>398</v>
      </c>
      <c r="BO27" s="83"/>
      <c r="BP27" s="83" t="s">
        <v>399</v>
      </c>
      <c r="BQ27" s="82"/>
      <c r="BR27" s="10"/>
      <c r="BS27" s="10"/>
      <c r="BT27" s="10"/>
      <c r="BU27" s="10"/>
      <c r="BV27" s="82"/>
      <c r="BW27" s="83" t="s">
        <v>396</v>
      </c>
      <c r="BX27" s="86">
        <v>38086361300036</v>
      </c>
      <c r="BY27" s="83" t="s">
        <v>398</v>
      </c>
      <c r="BZ27" s="83"/>
      <c r="CA27" s="83" t="s">
        <v>399</v>
      </c>
      <c r="CB27" s="109" t="s">
        <v>400</v>
      </c>
      <c r="CC27" s="82"/>
      <c r="CD27" s="10"/>
      <c r="CE27" s="10"/>
      <c r="CF27" s="10"/>
      <c r="CG27" s="10"/>
    </row>
    <row r="28" spans="1:85" ht="15.75" customHeight="1">
      <c r="A28" s="43"/>
      <c r="B28" s="154"/>
      <c r="C28" s="130" t="s">
        <v>2348</v>
      </c>
      <c r="D28" s="141"/>
      <c r="E28" s="10"/>
      <c r="F28" s="82"/>
      <c r="G28" s="83" t="s">
        <v>112</v>
      </c>
      <c r="H28" s="83" t="s">
        <v>112</v>
      </c>
      <c r="I28" s="83" t="s">
        <v>112</v>
      </c>
      <c r="J28" s="83" t="s">
        <v>112</v>
      </c>
      <c r="K28" s="83" t="s">
        <v>112</v>
      </c>
      <c r="L28" s="82"/>
      <c r="M28" s="10" t="s">
        <v>11</v>
      </c>
      <c r="N28" s="10" t="s">
        <v>12</v>
      </c>
      <c r="O28" s="84" t="s">
        <v>2321</v>
      </c>
      <c r="P28" s="10" t="s">
        <v>13</v>
      </c>
      <c r="Q28" s="82"/>
      <c r="R28" s="10"/>
      <c r="S28" s="10"/>
      <c r="T28" s="10"/>
      <c r="U28" s="10"/>
      <c r="V28" s="82"/>
      <c r="W28" s="10"/>
      <c r="X28" s="10"/>
      <c r="Y28" s="10"/>
      <c r="Z28" s="10"/>
      <c r="AA28" s="10"/>
      <c r="AB28" s="10"/>
      <c r="AC28" s="10"/>
      <c r="AD28" s="82"/>
      <c r="AE28" s="83" t="s">
        <v>112</v>
      </c>
      <c r="AF28" s="83" t="s">
        <v>112</v>
      </c>
      <c r="AG28" s="82"/>
      <c r="AH28" s="83" t="s">
        <v>381</v>
      </c>
      <c r="AI28" s="86">
        <v>84130639200017</v>
      </c>
      <c r="AJ28" s="86"/>
      <c r="AK28" s="87" t="s">
        <v>383</v>
      </c>
      <c r="AL28" s="82"/>
      <c r="AM28" s="10"/>
      <c r="AN28" s="10"/>
      <c r="AO28" s="10"/>
      <c r="AP28" s="10"/>
      <c r="AQ28" s="82"/>
      <c r="AR28" s="10"/>
      <c r="AS28" s="10"/>
      <c r="AT28" s="10"/>
      <c r="AU28" s="10"/>
      <c r="AV28" s="82"/>
      <c r="AW28" s="108" t="s">
        <v>422</v>
      </c>
      <c r="AX28" s="139">
        <v>82585011800050</v>
      </c>
      <c r="AY28" s="108" t="s">
        <v>423</v>
      </c>
      <c r="AZ28" s="132" t="s">
        <v>424</v>
      </c>
      <c r="BA28" s="82"/>
      <c r="BB28" s="10"/>
      <c r="BC28" s="10"/>
      <c r="BD28" s="10"/>
      <c r="BE28" s="10"/>
      <c r="BF28" s="82"/>
      <c r="BG28" s="10"/>
      <c r="BH28" s="10"/>
      <c r="BI28" s="10"/>
      <c r="BJ28" s="10"/>
      <c r="BK28" s="82"/>
      <c r="BL28" s="83" t="s">
        <v>396</v>
      </c>
      <c r="BM28" s="86">
        <v>38086361300036</v>
      </c>
      <c r="BN28" s="83" t="s">
        <v>398</v>
      </c>
      <c r="BO28" s="83"/>
      <c r="BP28" s="83" t="s">
        <v>399</v>
      </c>
      <c r="BQ28" s="82"/>
      <c r="BR28" s="10"/>
      <c r="BS28" s="10"/>
      <c r="BT28" s="10"/>
      <c r="BU28" s="10"/>
      <c r="BV28" s="82"/>
      <c r="BW28" s="83" t="s">
        <v>396</v>
      </c>
      <c r="BX28" s="86">
        <v>38086361300036</v>
      </c>
      <c r="BY28" s="83" t="s">
        <v>398</v>
      </c>
      <c r="BZ28" s="83"/>
      <c r="CA28" s="83" t="s">
        <v>399</v>
      </c>
      <c r="CB28" s="109" t="s">
        <v>400</v>
      </c>
      <c r="CC28" s="82"/>
      <c r="CD28" s="10"/>
      <c r="CE28" s="10"/>
      <c r="CF28" s="10"/>
      <c r="CG28" s="10"/>
    </row>
    <row r="29" spans="1:85" ht="15.75" customHeight="1">
      <c r="A29" s="43"/>
      <c r="B29" s="154"/>
      <c r="C29" s="130" t="s">
        <v>2348</v>
      </c>
      <c r="D29" s="141"/>
      <c r="E29" s="10"/>
      <c r="F29" s="82"/>
      <c r="G29" s="83" t="s">
        <v>112</v>
      </c>
      <c r="H29" s="83" t="s">
        <v>112</v>
      </c>
      <c r="I29" s="83" t="s">
        <v>112</v>
      </c>
      <c r="J29" s="83" t="s">
        <v>112</v>
      </c>
      <c r="K29" s="83" t="s">
        <v>112</v>
      </c>
      <c r="L29" s="82"/>
      <c r="M29" s="10" t="s">
        <v>11</v>
      </c>
      <c r="N29" s="10" t="s">
        <v>12</v>
      </c>
      <c r="O29" s="84" t="s">
        <v>2322</v>
      </c>
      <c r="P29" s="10" t="s">
        <v>13</v>
      </c>
      <c r="Q29" s="82"/>
      <c r="R29" s="10"/>
      <c r="S29" s="10"/>
      <c r="T29" s="10"/>
      <c r="U29" s="10"/>
      <c r="V29" s="82"/>
      <c r="W29" s="10"/>
      <c r="X29" s="10"/>
      <c r="Y29" s="10"/>
      <c r="Z29" s="10"/>
      <c r="AA29" s="10"/>
      <c r="AB29" s="10"/>
      <c r="AC29" s="10"/>
      <c r="AD29" s="82"/>
      <c r="AE29" s="83" t="s">
        <v>112</v>
      </c>
      <c r="AF29" s="83" t="s">
        <v>112</v>
      </c>
      <c r="AG29" s="82"/>
      <c r="AH29" s="83" t="s">
        <v>381</v>
      </c>
      <c r="AI29" s="86">
        <v>84130639200017</v>
      </c>
      <c r="AJ29" s="86"/>
      <c r="AK29" s="87" t="s">
        <v>383</v>
      </c>
      <c r="AL29" s="82"/>
      <c r="AM29" s="10"/>
      <c r="AN29" s="10"/>
      <c r="AO29" s="10"/>
      <c r="AP29" s="10"/>
      <c r="AQ29" s="82"/>
      <c r="AR29" s="10"/>
      <c r="AS29" s="10"/>
      <c r="AT29" s="10"/>
      <c r="AU29" s="10"/>
      <c r="AV29" s="82"/>
      <c r="AW29" s="108" t="s">
        <v>426</v>
      </c>
      <c r="AX29" s="139">
        <v>60702004700025</v>
      </c>
      <c r="AY29" s="108" t="s">
        <v>427</v>
      </c>
      <c r="AZ29" s="132" t="s">
        <v>428</v>
      </c>
      <c r="BA29" s="82"/>
      <c r="BB29" s="10"/>
      <c r="BC29" s="10"/>
      <c r="BD29" s="10"/>
      <c r="BE29" s="10"/>
      <c r="BF29" s="82"/>
      <c r="BG29" s="10"/>
      <c r="BH29" s="10"/>
      <c r="BI29" s="10"/>
      <c r="BJ29" s="10"/>
      <c r="BK29" s="82"/>
      <c r="BL29" s="83" t="s">
        <v>396</v>
      </c>
      <c r="BM29" s="86">
        <v>38086361300036</v>
      </c>
      <c r="BN29" s="83" t="s">
        <v>398</v>
      </c>
      <c r="BO29" s="83"/>
      <c r="BP29" s="83" t="s">
        <v>399</v>
      </c>
      <c r="BQ29" s="82"/>
      <c r="BR29" s="10"/>
      <c r="BS29" s="10"/>
      <c r="BT29" s="10"/>
      <c r="BU29" s="10"/>
      <c r="BV29" s="82"/>
      <c r="BW29" s="83" t="s">
        <v>396</v>
      </c>
      <c r="BX29" s="86">
        <v>38086361300036</v>
      </c>
      <c r="BY29" s="83" t="s">
        <v>398</v>
      </c>
      <c r="BZ29" s="83"/>
      <c r="CA29" s="83" t="s">
        <v>399</v>
      </c>
      <c r="CB29" s="109" t="s">
        <v>400</v>
      </c>
      <c r="CC29" s="82"/>
      <c r="CD29" s="10"/>
      <c r="CE29" s="10"/>
      <c r="CF29" s="10"/>
      <c r="CG29" s="10"/>
    </row>
    <row r="30" spans="1:85" ht="15.75" customHeight="1">
      <c r="A30" s="43"/>
      <c r="B30" s="154"/>
      <c r="C30" s="130" t="s">
        <v>2348</v>
      </c>
      <c r="D30" s="141"/>
      <c r="E30" s="10"/>
      <c r="F30" s="82"/>
      <c r="G30" s="83" t="s">
        <v>112</v>
      </c>
      <c r="H30" s="83" t="s">
        <v>112</v>
      </c>
      <c r="I30" s="83" t="s">
        <v>112</v>
      </c>
      <c r="J30" s="83" t="s">
        <v>112</v>
      </c>
      <c r="K30" s="83" t="s">
        <v>112</v>
      </c>
      <c r="L30" s="82"/>
      <c r="M30" s="10" t="s">
        <v>11</v>
      </c>
      <c r="N30" s="10" t="s">
        <v>12</v>
      </c>
      <c r="O30" s="84" t="s">
        <v>2323</v>
      </c>
      <c r="P30" s="10" t="s">
        <v>13</v>
      </c>
      <c r="Q30" s="82"/>
      <c r="R30" s="10"/>
      <c r="S30" s="10"/>
      <c r="T30" s="10"/>
      <c r="U30" s="10"/>
      <c r="V30" s="82"/>
      <c r="W30" s="10"/>
      <c r="X30" s="10"/>
      <c r="Y30" s="10"/>
      <c r="Z30" s="10"/>
      <c r="AA30" s="10"/>
      <c r="AB30" s="10"/>
      <c r="AC30" s="10"/>
      <c r="AD30" s="82"/>
      <c r="AE30" s="83" t="s">
        <v>112</v>
      </c>
      <c r="AF30" s="83" t="s">
        <v>112</v>
      </c>
      <c r="AG30" s="82"/>
      <c r="AH30" s="83" t="s">
        <v>381</v>
      </c>
      <c r="AI30" s="86">
        <v>84130639200017</v>
      </c>
      <c r="AJ30" s="86"/>
      <c r="AK30" s="87" t="s">
        <v>383</v>
      </c>
      <c r="AL30" s="82"/>
      <c r="AM30" s="10"/>
      <c r="AN30" s="10"/>
      <c r="AO30" s="10"/>
      <c r="AP30" s="10"/>
      <c r="AQ30" s="82"/>
      <c r="AR30" s="10"/>
      <c r="AS30" s="10"/>
      <c r="AT30" s="10"/>
      <c r="AU30" s="10"/>
      <c r="AV30" s="82"/>
      <c r="AW30" s="108" t="s">
        <v>430</v>
      </c>
      <c r="AX30" s="86">
        <v>44294966500024</v>
      </c>
      <c r="AY30" s="131" t="s">
        <v>432</v>
      </c>
      <c r="AZ30" s="87">
        <v>2067040</v>
      </c>
      <c r="BA30" s="82"/>
      <c r="BB30" s="10"/>
      <c r="BC30" s="10"/>
      <c r="BD30" s="10"/>
      <c r="BE30" s="10"/>
      <c r="BF30" s="82"/>
      <c r="BG30" s="10"/>
      <c r="BH30" s="10"/>
      <c r="BI30" s="10"/>
      <c r="BJ30" s="10"/>
      <c r="BK30" s="82"/>
      <c r="BL30" s="83" t="s">
        <v>396</v>
      </c>
      <c r="BM30" s="86">
        <v>38086361300036</v>
      </c>
      <c r="BN30" s="83" t="s">
        <v>398</v>
      </c>
      <c r="BO30" s="83"/>
      <c r="BP30" s="83" t="s">
        <v>399</v>
      </c>
      <c r="BQ30" s="82"/>
      <c r="BR30" s="10"/>
      <c r="BS30" s="10"/>
      <c r="BT30" s="10"/>
      <c r="BU30" s="10"/>
      <c r="BV30" s="82"/>
      <c r="BW30" s="83" t="s">
        <v>396</v>
      </c>
      <c r="BX30" s="86">
        <v>38086361300036</v>
      </c>
      <c r="BY30" s="83" t="s">
        <v>398</v>
      </c>
      <c r="BZ30" s="83"/>
      <c r="CA30" s="83" t="s">
        <v>399</v>
      </c>
      <c r="CB30" s="109" t="s">
        <v>400</v>
      </c>
      <c r="CC30" s="82"/>
      <c r="CD30" s="10"/>
      <c r="CE30" s="10"/>
      <c r="CF30" s="10"/>
      <c r="CG30" s="10"/>
    </row>
    <row r="31" spans="1:85" ht="15.75" customHeight="1">
      <c r="A31" s="43"/>
      <c r="B31" s="154"/>
      <c r="C31" s="130" t="s">
        <v>2348</v>
      </c>
      <c r="D31" s="141"/>
      <c r="E31" s="10"/>
      <c r="F31" s="82"/>
      <c r="G31" s="83" t="s">
        <v>112</v>
      </c>
      <c r="H31" s="83" t="s">
        <v>112</v>
      </c>
      <c r="I31" s="83" t="s">
        <v>112</v>
      </c>
      <c r="J31" s="83" t="s">
        <v>112</v>
      </c>
      <c r="K31" s="83" t="s">
        <v>112</v>
      </c>
      <c r="L31" s="82"/>
      <c r="M31" s="10" t="s">
        <v>11</v>
      </c>
      <c r="N31" s="10" t="s">
        <v>12</v>
      </c>
      <c r="O31" s="84" t="s">
        <v>2324</v>
      </c>
      <c r="P31" s="10" t="s">
        <v>13</v>
      </c>
      <c r="Q31" s="82"/>
      <c r="R31" s="10"/>
      <c r="S31" s="10"/>
      <c r="T31" s="10"/>
      <c r="U31" s="10"/>
      <c r="V31" s="82"/>
      <c r="W31" s="10"/>
      <c r="X31" s="10"/>
      <c r="Y31" s="10"/>
      <c r="Z31" s="10"/>
      <c r="AA31" s="10"/>
      <c r="AB31" s="10"/>
      <c r="AC31" s="10"/>
      <c r="AD31" s="82"/>
      <c r="AE31" s="83" t="s">
        <v>112</v>
      </c>
      <c r="AF31" s="83" t="s">
        <v>112</v>
      </c>
      <c r="AG31" s="82"/>
      <c r="AH31" s="83" t="s">
        <v>381</v>
      </c>
      <c r="AI31" s="86">
        <v>84130639200017</v>
      </c>
      <c r="AJ31" s="86"/>
      <c r="AK31" s="87" t="s">
        <v>383</v>
      </c>
      <c r="AL31" s="82"/>
      <c r="AM31" s="10"/>
      <c r="AN31" s="10"/>
      <c r="AO31" s="10"/>
      <c r="AP31" s="10"/>
      <c r="AQ31" s="82"/>
      <c r="AR31" s="10"/>
      <c r="AS31" s="10"/>
      <c r="AT31" s="10"/>
      <c r="AU31" s="10"/>
      <c r="AV31" s="82"/>
      <c r="AW31" s="108" t="s">
        <v>434</v>
      </c>
      <c r="AX31" s="139" t="s">
        <v>2350</v>
      </c>
      <c r="AY31" s="108" t="s">
        <v>436</v>
      </c>
      <c r="AZ31" s="132" t="s">
        <v>437</v>
      </c>
      <c r="BA31" s="82"/>
      <c r="BB31" s="10"/>
      <c r="BC31" s="10"/>
      <c r="BD31" s="10"/>
      <c r="BE31" s="10"/>
      <c r="BF31" s="82"/>
      <c r="BG31" s="10"/>
      <c r="BH31" s="10"/>
      <c r="BI31" s="10"/>
      <c r="BJ31" s="10"/>
      <c r="BK31" s="82"/>
      <c r="BL31" s="83" t="s">
        <v>396</v>
      </c>
      <c r="BM31" s="86">
        <v>38086361300036</v>
      </c>
      <c r="BN31" s="83" t="s">
        <v>398</v>
      </c>
      <c r="BO31" s="83"/>
      <c r="BP31" s="83" t="s">
        <v>399</v>
      </c>
      <c r="BQ31" s="82"/>
      <c r="BR31" s="10"/>
      <c r="BS31" s="10"/>
      <c r="BT31" s="10"/>
      <c r="BU31" s="10"/>
      <c r="BV31" s="82"/>
      <c r="BW31" s="83" t="s">
        <v>396</v>
      </c>
      <c r="BX31" s="86">
        <v>38086361300036</v>
      </c>
      <c r="BY31" s="83" t="s">
        <v>398</v>
      </c>
      <c r="BZ31" s="83"/>
      <c r="CA31" s="83" t="s">
        <v>399</v>
      </c>
      <c r="CB31" s="109" t="s">
        <v>400</v>
      </c>
      <c r="CC31" s="82"/>
      <c r="CD31" s="10"/>
      <c r="CE31" s="10"/>
      <c r="CF31" s="10"/>
      <c r="CG31" s="10"/>
    </row>
    <row r="32" spans="1:85" ht="15.75" customHeight="1">
      <c r="A32" s="43"/>
      <c r="B32" s="154"/>
      <c r="C32" s="130" t="s">
        <v>2348</v>
      </c>
      <c r="D32" s="141"/>
      <c r="E32" s="10"/>
      <c r="F32" s="82"/>
      <c r="G32" s="83" t="s">
        <v>112</v>
      </c>
      <c r="H32" s="83" t="s">
        <v>112</v>
      </c>
      <c r="I32" s="83" t="s">
        <v>112</v>
      </c>
      <c r="J32" s="83" t="s">
        <v>112</v>
      </c>
      <c r="K32" s="83" t="s">
        <v>112</v>
      </c>
      <c r="L32" s="82"/>
      <c r="M32" s="10" t="s">
        <v>11</v>
      </c>
      <c r="N32" s="10" t="s">
        <v>12</v>
      </c>
      <c r="O32" s="84" t="s">
        <v>2325</v>
      </c>
      <c r="P32" s="10" t="s">
        <v>13</v>
      </c>
      <c r="Q32" s="82"/>
      <c r="R32" s="10"/>
      <c r="S32" s="10"/>
      <c r="T32" s="10"/>
      <c r="U32" s="10"/>
      <c r="V32" s="82"/>
      <c r="W32" s="10"/>
      <c r="X32" s="10"/>
      <c r="Y32" s="10"/>
      <c r="Z32" s="10"/>
      <c r="AA32" s="10"/>
      <c r="AB32" s="10"/>
      <c r="AC32" s="10"/>
      <c r="AD32" s="82"/>
      <c r="AE32" s="83" t="s">
        <v>112</v>
      </c>
      <c r="AF32" s="83" t="s">
        <v>112</v>
      </c>
      <c r="AG32" s="82"/>
      <c r="AH32" s="83" t="s">
        <v>381</v>
      </c>
      <c r="AI32" s="86">
        <v>84130639200017</v>
      </c>
      <c r="AJ32" s="86"/>
      <c r="AK32" s="87" t="s">
        <v>383</v>
      </c>
      <c r="AL32" s="82"/>
      <c r="AM32" s="10"/>
      <c r="AN32" s="10"/>
      <c r="AO32" s="10"/>
      <c r="AP32" s="10"/>
      <c r="AQ32" s="82"/>
      <c r="AR32" s="10"/>
      <c r="AS32" s="10"/>
      <c r="AT32" s="10"/>
      <c r="AU32" s="10"/>
      <c r="AV32" s="82"/>
      <c r="AW32" s="108" t="s">
        <v>439</v>
      </c>
      <c r="AX32" s="139">
        <v>42575019700039</v>
      </c>
      <c r="AY32" s="108" t="s">
        <v>440</v>
      </c>
      <c r="AZ32" s="87" t="s">
        <v>2351</v>
      </c>
      <c r="BA32" s="82"/>
      <c r="BB32" s="10"/>
      <c r="BC32" s="10"/>
      <c r="BD32" s="10"/>
      <c r="BE32" s="10"/>
      <c r="BF32" s="82"/>
      <c r="BG32" s="10"/>
      <c r="BH32" s="10"/>
      <c r="BI32" s="10"/>
      <c r="BJ32" s="10"/>
      <c r="BK32" s="82"/>
      <c r="BL32" s="83" t="s">
        <v>396</v>
      </c>
      <c r="BM32" s="86">
        <v>38086361300036</v>
      </c>
      <c r="BN32" s="83" t="s">
        <v>398</v>
      </c>
      <c r="BO32" s="83"/>
      <c r="BP32" s="83" t="s">
        <v>399</v>
      </c>
      <c r="BQ32" s="82"/>
      <c r="BR32" s="10"/>
      <c r="BS32" s="10"/>
      <c r="BT32" s="10"/>
      <c r="BU32" s="10"/>
      <c r="BV32" s="82"/>
      <c r="BW32" s="83" t="s">
        <v>396</v>
      </c>
      <c r="BX32" s="86">
        <v>38086361300036</v>
      </c>
      <c r="BY32" s="83" t="s">
        <v>398</v>
      </c>
      <c r="BZ32" s="83"/>
      <c r="CA32" s="83" t="s">
        <v>399</v>
      </c>
      <c r="CB32" s="109" t="s">
        <v>400</v>
      </c>
      <c r="CC32" s="82"/>
      <c r="CD32" s="10"/>
      <c r="CE32" s="10"/>
      <c r="CF32" s="10"/>
      <c r="CG32" s="10"/>
    </row>
    <row r="33" spans="1:85" ht="15.75" customHeight="1">
      <c r="A33" s="43"/>
      <c r="B33" s="154"/>
      <c r="C33" s="130" t="s">
        <v>2348</v>
      </c>
      <c r="D33" s="141"/>
      <c r="E33" s="10"/>
      <c r="F33" s="82"/>
      <c r="G33" s="83" t="s">
        <v>112</v>
      </c>
      <c r="H33" s="83" t="s">
        <v>112</v>
      </c>
      <c r="I33" s="83" t="s">
        <v>112</v>
      </c>
      <c r="J33" s="83" t="s">
        <v>112</v>
      </c>
      <c r="K33" s="83" t="s">
        <v>112</v>
      </c>
      <c r="L33" s="82"/>
      <c r="M33" s="10" t="s">
        <v>11</v>
      </c>
      <c r="N33" s="10" t="s">
        <v>12</v>
      </c>
      <c r="O33" s="84" t="s">
        <v>2327</v>
      </c>
      <c r="P33" s="10" t="s">
        <v>13</v>
      </c>
      <c r="Q33" s="82"/>
      <c r="R33" s="10"/>
      <c r="S33" s="10"/>
      <c r="T33" s="10"/>
      <c r="U33" s="10"/>
      <c r="V33" s="82"/>
      <c r="W33" s="10"/>
      <c r="X33" s="10"/>
      <c r="Y33" s="10"/>
      <c r="Z33" s="10"/>
      <c r="AA33" s="10"/>
      <c r="AB33" s="10"/>
      <c r="AC33" s="10"/>
      <c r="AD33" s="82"/>
      <c r="AE33" s="83" t="s">
        <v>112</v>
      </c>
      <c r="AF33" s="83" t="s">
        <v>112</v>
      </c>
      <c r="AG33" s="82"/>
      <c r="AH33" s="83" t="s">
        <v>381</v>
      </c>
      <c r="AI33" s="86">
        <v>84130639200017</v>
      </c>
      <c r="AJ33" s="86"/>
      <c r="AK33" s="87" t="s">
        <v>383</v>
      </c>
      <c r="AL33" s="82"/>
      <c r="AM33" s="10"/>
      <c r="AN33" s="10"/>
      <c r="AO33" s="10"/>
      <c r="AP33" s="10"/>
      <c r="AQ33" s="82"/>
      <c r="AR33" s="10"/>
      <c r="AS33" s="10"/>
      <c r="AT33" s="10"/>
      <c r="AU33" s="10"/>
      <c r="AV33" s="82"/>
      <c r="AW33" s="138" t="s">
        <v>442</v>
      </c>
      <c r="AX33" s="116">
        <v>33774265400029</v>
      </c>
      <c r="AY33" s="108" t="s">
        <v>444</v>
      </c>
      <c r="AZ33" s="83" t="s">
        <v>445</v>
      </c>
      <c r="BA33" s="82"/>
      <c r="BB33" s="10"/>
      <c r="BC33" s="10"/>
      <c r="BD33" s="10"/>
      <c r="BE33" s="10"/>
      <c r="BF33" s="82"/>
      <c r="BG33" s="10"/>
      <c r="BH33" s="10"/>
      <c r="BI33" s="10"/>
      <c r="BJ33" s="10"/>
      <c r="BK33" s="82"/>
      <c r="BL33" s="83" t="s">
        <v>396</v>
      </c>
      <c r="BM33" s="86">
        <v>38086361300036</v>
      </c>
      <c r="BN33" s="83" t="s">
        <v>398</v>
      </c>
      <c r="BO33" s="83"/>
      <c r="BP33" s="83" t="s">
        <v>399</v>
      </c>
      <c r="BQ33" s="82"/>
      <c r="BR33" s="10"/>
      <c r="BS33" s="10"/>
      <c r="BT33" s="10"/>
      <c r="BU33" s="10"/>
      <c r="BV33" s="82"/>
      <c r="BW33" s="83" t="s">
        <v>396</v>
      </c>
      <c r="BX33" s="86">
        <v>38086361300036</v>
      </c>
      <c r="BY33" s="83" t="s">
        <v>398</v>
      </c>
      <c r="BZ33" s="83"/>
      <c r="CA33" s="83" t="s">
        <v>399</v>
      </c>
      <c r="CB33" s="109" t="s">
        <v>400</v>
      </c>
      <c r="CC33" s="82"/>
      <c r="CD33" s="10"/>
      <c r="CE33" s="10"/>
      <c r="CF33" s="10"/>
      <c r="CG33" s="10"/>
    </row>
    <row r="34" spans="1:85" ht="15.75" customHeight="1">
      <c r="A34" s="43"/>
      <c r="B34" s="154"/>
      <c r="C34" s="130" t="s">
        <v>2348</v>
      </c>
      <c r="D34" s="141"/>
      <c r="E34" s="10"/>
      <c r="F34" s="82"/>
      <c r="G34" s="83" t="s">
        <v>112</v>
      </c>
      <c r="H34" s="83" t="s">
        <v>112</v>
      </c>
      <c r="I34" s="83" t="s">
        <v>112</v>
      </c>
      <c r="J34" s="83" t="s">
        <v>112</v>
      </c>
      <c r="K34" s="83" t="s">
        <v>112</v>
      </c>
      <c r="L34" s="82"/>
      <c r="M34" s="10" t="s">
        <v>11</v>
      </c>
      <c r="N34" s="10" t="s">
        <v>12</v>
      </c>
      <c r="O34" s="84" t="s">
        <v>2329</v>
      </c>
      <c r="P34" s="10" t="s">
        <v>13</v>
      </c>
      <c r="Q34" s="82"/>
      <c r="R34" s="10"/>
      <c r="S34" s="10"/>
      <c r="T34" s="10"/>
      <c r="U34" s="10"/>
      <c r="V34" s="82"/>
      <c r="W34" s="10"/>
      <c r="X34" s="10"/>
      <c r="Y34" s="10"/>
      <c r="Z34" s="10"/>
      <c r="AA34" s="10"/>
      <c r="AB34" s="10"/>
      <c r="AC34" s="10"/>
      <c r="AD34" s="82"/>
      <c r="AE34" s="83" t="s">
        <v>112</v>
      </c>
      <c r="AF34" s="83" t="s">
        <v>112</v>
      </c>
      <c r="AG34" s="82"/>
      <c r="AH34" s="83" t="s">
        <v>381</v>
      </c>
      <c r="AI34" s="86">
        <v>84130639200017</v>
      </c>
      <c r="AJ34" s="86"/>
      <c r="AK34" s="87" t="s">
        <v>383</v>
      </c>
      <c r="AL34" s="82"/>
      <c r="AM34" s="10"/>
      <c r="AN34" s="10"/>
      <c r="AO34" s="10"/>
      <c r="AP34" s="10"/>
      <c r="AQ34" s="82"/>
      <c r="AR34" s="10"/>
      <c r="AS34" s="10"/>
      <c r="AT34" s="10"/>
      <c r="AU34" s="10"/>
      <c r="AV34" s="82"/>
      <c r="AW34" s="99" t="s">
        <v>447</v>
      </c>
      <c r="AX34" s="116">
        <v>40219384100028</v>
      </c>
      <c r="AY34" s="108" t="s">
        <v>449</v>
      </c>
      <c r="AZ34" s="83" t="s">
        <v>450</v>
      </c>
      <c r="BA34" s="82"/>
      <c r="BB34" s="10"/>
      <c r="BC34" s="10"/>
      <c r="BD34" s="10"/>
      <c r="BE34" s="10"/>
      <c r="BF34" s="82"/>
      <c r="BG34" s="10"/>
      <c r="BH34" s="10"/>
      <c r="BI34" s="10"/>
      <c r="BJ34" s="10"/>
      <c r="BK34" s="82"/>
      <c r="BL34" s="83" t="s">
        <v>396</v>
      </c>
      <c r="BM34" s="86">
        <v>38086361300036</v>
      </c>
      <c r="BN34" s="83" t="s">
        <v>398</v>
      </c>
      <c r="BO34" s="83"/>
      <c r="BP34" s="83" t="s">
        <v>399</v>
      </c>
      <c r="BQ34" s="82"/>
      <c r="BR34" s="10"/>
      <c r="BS34" s="10"/>
      <c r="BT34" s="10"/>
      <c r="BU34" s="10"/>
      <c r="BV34" s="82"/>
      <c r="BW34" s="83" t="s">
        <v>396</v>
      </c>
      <c r="BX34" s="86">
        <v>38086361300036</v>
      </c>
      <c r="BY34" s="83" t="s">
        <v>398</v>
      </c>
      <c r="BZ34" s="83"/>
      <c r="CA34" s="83" t="s">
        <v>399</v>
      </c>
      <c r="CB34" s="109" t="s">
        <v>400</v>
      </c>
      <c r="CC34" s="82"/>
      <c r="CD34" s="10"/>
      <c r="CE34" s="10"/>
      <c r="CF34" s="10"/>
      <c r="CG34" s="10"/>
    </row>
    <row r="35" spans="1:85" ht="15.75" customHeight="1">
      <c r="A35" s="43"/>
      <c r="B35" s="154"/>
      <c r="C35" s="130" t="s">
        <v>2348</v>
      </c>
      <c r="D35" s="141"/>
      <c r="E35" s="10"/>
      <c r="F35" s="82"/>
      <c r="G35" s="83" t="s">
        <v>112</v>
      </c>
      <c r="H35" s="83" t="s">
        <v>112</v>
      </c>
      <c r="I35" s="83" t="s">
        <v>112</v>
      </c>
      <c r="J35" s="83" t="s">
        <v>112</v>
      </c>
      <c r="K35" s="83" t="s">
        <v>112</v>
      </c>
      <c r="L35" s="82"/>
      <c r="M35" s="10" t="s">
        <v>11</v>
      </c>
      <c r="N35" s="10" t="s">
        <v>12</v>
      </c>
      <c r="O35" s="84" t="s">
        <v>2331</v>
      </c>
      <c r="P35" s="10" t="s">
        <v>13</v>
      </c>
      <c r="Q35" s="82"/>
      <c r="R35" s="10"/>
      <c r="S35" s="10"/>
      <c r="T35" s="10"/>
      <c r="U35" s="10"/>
      <c r="V35" s="82"/>
      <c r="W35" s="10"/>
      <c r="X35" s="10"/>
      <c r="Y35" s="10"/>
      <c r="Z35" s="10"/>
      <c r="AA35" s="10"/>
      <c r="AB35" s="10"/>
      <c r="AC35" s="10"/>
      <c r="AD35" s="82"/>
      <c r="AE35" s="83" t="s">
        <v>112</v>
      </c>
      <c r="AF35" s="83" t="s">
        <v>112</v>
      </c>
      <c r="AG35" s="82"/>
      <c r="AH35" s="83" t="s">
        <v>381</v>
      </c>
      <c r="AI35" s="86">
        <v>84130639200017</v>
      </c>
      <c r="AJ35" s="86"/>
      <c r="AK35" s="87" t="s">
        <v>383</v>
      </c>
      <c r="AL35" s="82"/>
      <c r="AM35" s="10"/>
      <c r="AN35" s="10"/>
      <c r="AO35" s="10"/>
      <c r="AP35" s="10"/>
      <c r="AQ35" s="82"/>
      <c r="AR35" s="10"/>
      <c r="AS35" s="10"/>
      <c r="AT35" s="10"/>
      <c r="AU35" s="10"/>
      <c r="AV35" s="82"/>
      <c r="AW35" s="138" t="s">
        <v>392</v>
      </c>
      <c r="AX35" s="139">
        <v>78417353600094</v>
      </c>
      <c r="AY35" s="138" t="s">
        <v>452</v>
      </c>
      <c r="AZ35" s="132" t="s">
        <v>395</v>
      </c>
      <c r="BA35" s="82"/>
      <c r="BB35" s="10"/>
      <c r="BC35" s="10"/>
      <c r="BD35" s="10"/>
      <c r="BE35" s="10"/>
      <c r="BF35" s="82"/>
      <c r="BG35" s="10"/>
      <c r="BH35" s="10"/>
      <c r="BI35" s="10"/>
      <c r="BJ35" s="10"/>
      <c r="BK35" s="82"/>
      <c r="BL35" s="83" t="s">
        <v>396</v>
      </c>
      <c r="BM35" s="86">
        <v>38086361300036</v>
      </c>
      <c r="BN35" s="83" t="s">
        <v>398</v>
      </c>
      <c r="BO35" s="83"/>
      <c r="BP35" s="83" t="s">
        <v>399</v>
      </c>
      <c r="BQ35" s="82"/>
      <c r="BR35" s="10"/>
      <c r="BS35" s="10"/>
      <c r="BT35" s="10"/>
      <c r="BU35" s="10"/>
      <c r="BV35" s="82"/>
      <c r="BW35" s="83" t="s">
        <v>396</v>
      </c>
      <c r="BX35" s="86">
        <v>38086361300036</v>
      </c>
      <c r="BY35" s="83" t="s">
        <v>398</v>
      </c>
      <c r="BZ35" s="83"/>
      <c r="CA35" s="83" t="s">
        <v>399</v>
      </c>
      <c r="CB35" s="109" t="s">
        <v>400</v>
      </c>
      <c r="CC35" s="82"/>
      <c r="CD35" s="10"/>
      <c r="CE35" s="10"/>
      <c r="CF35" s="10"/>
      <c r="CG35" s="10"/>
    </row>
    <row r="36" spans="1:85" ht="15.75" customHeight="1">
      <c r="A36" s="43"/>
      <c r="B36" s="154"/>
      <c r="C36" s="130" t="s">
        <v>2348</v>
      </c>
      <c r="D36" s="141"/>
      <c r="E36" s="10"/>
      <c r="F36" s="82"/>
      <c r="G36" s="83" t="s">
        <v>112</v>
      </c>
      <c r="H36" s="83" t="s">
        <v>112</v>
      </c>
      <c r="I36" s="83" t="s">
        <v>112</v>
      </c>
      <c r="J36" s="83" t="s">
        <v>112</v>
      </c>
      <c r="K36" s="83" t="s">
        <v>112</v>
      </c>
      <c r="L36" s="82"/>
      <c r="M36" s="10" t="s">
        <v>11</v>
      </c>
      <c r="N36" s="10" t="s">
        <v>12</v>
      </c>
      <c r="O36" s="84" t="s">
        <v>2334</v>
      </c>
      <c r="P36" s="10" t="s">
        <v>13</v>
      </c>
      <c r="Q36" s="82"/>
      <c r="R36" s="10"/>
      <c r="S36" s="10"/>
      <c r="T36" s="10"/>
      <c r="U36" s="10"/>
      <c r="V36" s="82"/>
      <c r="W36" s="10"/>
      <c r="X36" s="10"/>
      <c r="Y36" s="10"/>
      <c r="Z36" s="10"/>
      <c r="AA36" s="10"/>
      <c r="AB36" s="10"/>
      <c r="AC36" s="10"/>
      <c r="AD36" s="82"/>
      <c r="AE36" s="83" t="s">
        <v>112</v>
      </c>
      <c r="AF36" s="83" t="s">
        <v>112</v>
      </c>
      <c r="AG36" s="82"/>
      <c r="AH36" s="83" t="s">
        <v>381</v>
      </c>
      <c r="AI36" s="86">
        <v>84130639200017</v>
      </c>
      <c r="AJ36" s="86"/>
      <c r="AK36" s="87" t="s">
        <v>383</v>
      </c>
      <c r="AL36" s="82"/>
      <c r="AM36" s="10"/>
      <c r="AN36" s="10"/>
      <c r="AO36" s="10"/>
      <c r="AP36" s="10"/>
      <c r="AQ36" s="82"/>
      <c r="AR36" s="10"/>
      <c r="AS36" s="10"/>
      <c r="AT36" s="10"/>
      <c r="AU36" s="10"/>
      <c r="AV36" s="82"/>
      <c r="AW36" s="108" t="s">
        <v>411</v>
      </c>
      <c r="AX36" s="116">
        <v>47961343200059</v>
      </c>
      <c r="AY36" s="99" t="s">
        <v>2349</v>
      </c>
      <c r="AZ36" s="83">
        <v>2367063</v>
      </c>
      <c r="BA36" s="82"/>
      <c r="BB36" s="10"/>
      <c r="BC36" s="10"/>
      <c r="BD36" s="10"/>
      <c r="BE36" s="10"/>
      <c r="BF36" s="82"/>
      <c r="BG36" s="10"/>
      <c r="BH36" s="10"/>
      <c r="BI36" s="10"/>
      <c r="BJ36" s="10"/>
      <c r="BK36" s="82"/>
      <c r="BL36" s="83" t="s">
        <v>396</v>
      </c>
      <c r="BM36" s="86">
        <v>38086361300036</v>
      </c>
      <c r="BN36" s="83" t="s">
        <v>398</v>
      </c>
      <c r="BO36" s="83"/>
      <c r="BP36" s="83" t="s">
        <v>399</v>
      </c>
      <c r="BQ36" s="82"/>
      <c r="BR36" s="10"/>
      <c r="BS36" s="10"/>
      <c r="BT36" s="10"/>
      <c r="BU36" s="10"/>
      <c r="BV36" s="82"/>
      <c r="BW36" s="83" t="s">
        <v>396</v>
      </c>
      <c r="BX36" s="86">
        <v>38086361300036</v>
      </c>
      <c r="BY36" s="83" t="s">
        <v>398</v>
      </c>
      <c r="BZ36" s="83"/>
      <c r="CA36" s="83" t="s">
        <v>399</v>
      </c>
      <c r="CB36" s="109" t="s">
        <v>400</v>
      </c>
      <c r="CC36" s="82"/>
      <c r="CD36" s="10"/>
      <c r="CE36" s="10"/>
      <c r="CF36" s="10"/>
      <c r="CG36" s="10"/>
    </row>
    <row r="37" spans="1:85" ht="15.75" customHeight="1">
      <c r="A37" s="43"/>
      <c r="B37" s="149"/>
      <c r="C37" s="130" t="s">
        <v>2348</v>
      </c>
      <c r="D37" s="141"/>
      <c r="E37" s="10"/>
      <c r="F37" s="82"/>
      <c r="G37" s="83" t="s">
        <v>112</v>
      </c>
      <c r="H37" s="83" t="s">
        <v>112</v>
      </c>
      <c r="I37" s="83" t="s">
        <v>112</v>
      </c>
      <c r="J37" s="83" t="s">
        <v>112</v>
      </c>
      <c r="K37" s="83" t="s">
        <v>112</v>
      </c>
      <c r="L37" s="82"/>
      <c r="M37" s="10" t="s">
        <v>11</v>
      </c>
      <c r="N37" s="10" t="s">
        <v>12</v>
      </c>
      <c r="O37" s="84" t="s">
        <v>2336</v>
      </c>
      <c r="P37" s="10" t="s">
        <v>13</v>
      </c>
      <c r="Q37" s="82"/>
      <c r="R37" s="10"/>
      <c r="S37" s="10"/>
      <c r="T37" s="10"/>
      <c r="U37" s="10"/>
      <c r="V37" s="82"/>
      <c r="W37" s="10"/>
      <c r="X37" s="10"/>
      <c r="Y37" s="10"/>
      <c r="Z37" s="10"/>
      <c r="AA37" s="10"/>
      <c r="AB37" s="10"/>
      <c r="AC37" s="10"/>
      <c r="AD37" s="82"/>
      <c r="AE37" s="83" t="s">
        <v>112</v>
      </c>
      <c r="AF37" s="83" t="s">
        <v>112</v>
      </c>
      <c r="AG37" s="82"/>
      <c r="AH37" s="83" t="s">
        <v>381</v>
      </c>
      <c r="AI37" s="86">
        <v>84130639200017</v>
      </c>
      <c r="AJ37" s="86"/>
      <c r="AK37" s="87" t="s">
        <v>383</v>
      </c>
      <c r="AL37" s="82"/>
      <c r="AM37" s="10"/>
      <c r="AN37" s="10"/>
      <c r="AO37" s="10"/>
      <c r="AP37" s="10"/>
      <c r="AQ37" s="82"/>
      <c r="AR37" s="10"/>
      <c r="AS37" s="10"/>
      <c r="AT37" s="10"/>
      <c r="AU37" s="10"/>
      <c r="AV37" s="82"/>
      <c r="AW37" s="138" t="s">
        <v>392</v>
      </c>
      <c r="AX37" s="139">
        <v>78417353600094</v>
      </c>
      <c r="AY37" s="138" t="s">
        <v>456</v>
      </c>
      <c r="AZ37" s="132" t="s">
        <v>395</v>
      </c>
      <c r="BA37" s="82"/>
      <c r="BB37" s="10"/>
      <c r="BC37" s="10"/>
      <c r="BD37" s="10"/>
      <c r="BE37" s="10"/>
      <c r="BF37" s="82"/>
      <c r="BG37" s="10"/>
      <c r="BH37" s="10"/>
      <c r="BI37" s="10"/>
      <c r="BJ37" s="10"/>
      <c r="BK37" s="82"/>
      <c r="BL37" s="83" t="s">
        <v>396</v>
      </c>
      <c r="BM37" s="86">
        <v>38086361300036</v>
      </c>
      <c r="BN37" s="83" t="s">
        <v>398</v>
      </c>
      <c r="BO37" s="83"/>
      <c r="BP37" s="83" t="s">
        <v>399</v>
      </c>
      <c r="BQ37" s="82"/>
      <c r="BR37" s="10"/>
      <c r="BS37" s="10"/>
      <c r="BT37" s="10"/>
      <c r="BU37" s="10"/>
      <c r="BV37" s="82"/>
      <c r="BW37" s="83" t="s">
        <v>396</v>
      </c>
      <c r="BX37" s="86">
        <v>38086361300036</v>
      </c>
      <c r="BY37" s="83" t="s">
        <v>398</v>
      </c>
      <c r="BZ37" s="83"/>
      <c r="CA37" s="83" t="s">
        <v>399</v>
      </c>
      <c r="CB37" s="109" t="s">
        <v>400</v>
      </c>
      <c r="CC37" s="82"/>
      <c r="CD37" s="10"/>
      <c r="CE37" s="10"/>
      <c r="CF37" s="10"/>
      <c r="CG37" s="10"/>
    </row>
    <row r="38" spans="1:85" ht="15.75" customHeight="1">
      <c r="A38" s="1"/>
      <c r="B38" s="127" t="s">
        <v>457</v>
      </c>
      <c r="C38" s="128" t="s">
        <v>212</v>
      </c>
      <c r="D38" s="142"/>
      <c r="E38" s="91"/>
      <c r="F38" s="65"/>
      <c r="G38" s="91"/>
      <c r="H38" s="91"/>
      <c r="I38" s="91"/>
      <c r="J38" s="91"/>
      <c r="K38" s="91"/>
      <c r="L38" s="65"/>
      <c r="M38" s="91" t="s">
        <v>11</v>
      </c>
      <c r="N38" s="91" t="s">
        <v>12</v>
      </c>
      <c r="O38" s="92" t="s">
        <v>2352</v>
      </c>
      <c r="P38" s="91" t="s">
        <v>13</v>
      </c>
      <c r="Q38" s="65"/>
      <c r="R38" s="91"/>
      <c r="S38" s="91"/>
      <c r="T38" s="91"/>
      <c r="U38" s="91"/>
      <c r="V38" s="65"/>
      <c r="W38" s="91"/>
      <c r="X38" s="91"/>
      <c r="Y38" s="91"/>
      <c r="Z38" s="91"/>
      <c r="AA38" s="91"/>
      <c r="AB38" s="91"/>
      <c r="AC38" s="91"/>
      <c r="AD38" s="65"/>
      <c r="AE38" s="94" t="s">
        <v>112</v>
      </c>
      <c r="AF38" s="94" t="s">
        <v>112</v>
      </c>
      <c r="AG38" s="65"/>
      <c r="AH38" s="94" t="s">
        <v>2353</v>
      </c>
      <c r="AI38" s="94" t="s">
        <v>2353</v>
      </c>
      <c r="AJ38" s="94"/>
      <c r="AK38" s="94" t="s">
        <v>2353</v>
      </c>
      <c r="AL38" s="65"/>
      <c r="AM38" s="91"/>
      <c r="AN38" s="91"/>
      <c r="AO38" s="91"/>
      <c r="AP38" s="91"/>
      <c r="AQ38" s="65"/>
      <c r="AR38" s="91"/>
      <c r="AS38" s="91"/>
      <c r="AT38" s="91"/>
      <c r="AU38" s="91"/>
      <c r="AV38" s="65"/>
      <c r="AW38" s="94" t="s">
        <v>459</v>
      </c>
      <c r="AX38" s="112">
        <v>33381325100027</v>
      </c>
      <c r="AY38" s="94" t="s">
        <v>461</v>
      </c>
      <c r="AZ38" s="104" t="s">
        <v>462</v>
      </c>
      <c r="BA38" s="65"/>
      <c r="BB38" s="91"/>
      <c r="BC38" s="91"/>
      <c r="BD38" s="91"/>
      <c r="BE38" s="91"/>
      <c r="BF38" s="65"/>
      <c r="BG38" s="91"/>
      <c r="BH38" s="91"/>
      <c r="BI38" s="91"/>
      <c r="BJ38" s="91"/>
      <c r="BK38" s="65"/>
      <c r="BL38" s="94" t="s">
        <v>463</v>
      </c>
      <c r="BM38" s="104" t="s">
        <v>2354</v>
      </c>
      <c r="BN38" s="104" t="s">
        <v>464</v>
      </c>
      <c r="BO38" s="104"/>
      <c r="BP38" s="94" t="s">
        <v>165</v>
      </c>
      <c r="BQ38" s="65"/>
      <c r="BR38" s="91"/>
      <c r="BS38" s="91"/>
      <c r="BT38" s="91"/>
      <c r="BU38" s="91"/>
      <c r="BV38" s="65"/>
      <c r="BW38" s="94" t="s">
        <v>465</v>
      </c>
      <c r="BX38" s="112">
        <v>30832792300022</v>
      </c>
      <c r="BY38" s="94" t="s">
        <v>467</v>
      </c>
      <c r="BZ38" s="94"/>
      <c r="CA38" s="94" t="s">
        <v>468</v>
      </c>
      <c r="CB38" s="94" t="s">
        <v>469</v>
      </c>
      <c r="CC38" s="65"/>
      <c r="CD38" s="91"/>
      <c r="CE38" s="91"/>
      <c r="CF38" s="91"/>
      <c r="CG38" s="91"/>
    </row>
    <row r="39" spans="1:85" ht="15.75" customHeight="1">
      <c r="A39" s="43"/>
      <c r="B39" s="135" t="s">
        <v>470</v>
      </c>
      <c r="C39" s="130" t="s">
        <v>195</v>
      </c>
      <c r="D39" s="141"/>
      <c r="E39" s="10"/>
      <c r="F39" s="82"/>
      <c r="G39" s="10"/>
      <c r="H39" s="10"/>
      <c r="I39" s="10"/>
      <c r="J39" s="10"/>
      <c r="K39" s="10"/>
      <c r="L39" s="82"/>
      <c r="M39" s="10" t="s">
        <v>11</v>
      </c>
      <c r="N39" s="10" t="s">
        <v>12</v>
      </c>
      <c r="O39" s="84" t="s">
        <v>2355</v>
      </c>
      <c r="P39" s="10" t="s">
        <v>13</v>
      </c>
      <c r="Q39" s="82"/>
      <c r="R39" s="10"/>
      <c r="S39" s="10"/>
      <c r="T39" s="10"/>
      <c r="U39" s="10"/>
      <c r="V39" s="82"/>
      <c r="W39" s="10"/>
      <c r="X39" s="10"/>
      <c r="Y39" s="10"/>
      <c r="Z39" s="10"/>
      <c r="AA39" s="10"/>
      <c r="AB39" s="10"/>
      <c r="AC39" s="10"/>
      <c r="AD39" s="82"/>
      <c r="AE39" s="83" t="s">
        <v>112</v>
      </c>
      <c r="AF39" s="83" t="s">
        <v>112</v>
      </c>
      <c r="AG39" s="82"/>
      <c r="AH39" s="83" t="s">
        <v>113</v>
      </c>
      <c r="AI39" s="86">
        <v>39933934000016</v>
      </c>
      <c r="AJ39" s="86"/>
      <c r="AK39" s="83" t="s">
        <v>2294</v>
      </c>
      <c r="AL39" s="82"/>
      <c r="AM39" s="10"/>
      <c r="AN39" s="10"/>
      <c r="AO39" s="10"/>
      <c r="AP39" s="10"/>
      <c r="AQ39" s="82"/>
      <c r="AR39" s="10"/>
      <c r="AS39" s="10"/>
      <c r="AT39" s="10"/>
      <c r="AU39" s="10"/>
      <c r="AV39" s="82"/>
      <c r="AW39" s="83" t="s">
        <v>113</v>
      </c>
      <c r="AX39" s="86">
        <v>39933934000016</v>
      </c>
      <c r="AY39" s="83" t="s">
        <v>114</v>
      </c>
      <c r="AZ39" s="87" t="s">
        <v>115</v>
      </c>
      <c r="BA39" s="82"/>
      <c r="BB39" s="10"/>
      <c r="BC39" s="10"/>
      <c r="BD39" s="10"/>
      <c r="BE39" s="10"/>
      <c r="BF39" s="82"/>
      <c r="BG39" s="10"/>
      <c r="BH39" s="10"/>
      <c r="BI39" s="10"/>
      <c r="BJ39" s="10"/>
      <c r="BK39" s="82"/>
      <c r="BL39" s="83" t="s">
        <v>113</v>
      </c>
      <c r="BM39" s="86">
        <v>39933934000016</v>
      </c>
      <c r="BN39" s="83" t="s">
        <v>114</v>
      </c>
      <c r="BO39" s="83"/>
      <c r="BP39" s="83" t="s">
        <v>125</v>
      </c>
      <c r="BQ39" s="82"/>
      <c r="BR39" s="10"/>
      <c r="BS39" s="10"/>
      <c r="BT39" s="10"/>
      <c r="BU39" s="10"/>
      <c r="BV39" s="82"/>
      <c r="BW39" s="108" t="s">
        <v>130</v>
      </c>
      <c r="BX39" s="86"/>
      <c r="BY39" s="83"/>
      <c r="BZ39" s="83"/>
      <c r="CA39" s="83" t="s">
        <v>131</v>
      </c>
      <c r="CB39" s="83" t="s">
        <v>132</v>
      </c>
      <c r="CC39" s="82"/>
      <c r="CD39" s="10"/>
      <c r="CE39" s="10"/>
      <c r="CF39" s="10"/>
      <c r="CG39" s="10"/>
    </row>
    <row r="40" spans="1:85" ht="15.75" customHeight="1">
      <c r="A40" s="1"/>
      <c r="B40" s="155" t="s">
        <v>197</v>
      </c>
      <c r="C40" s="128" t="s">
        <v>198</v>
      </c>
      <c r="D40" s="142"/>
      <c r="E40" s="91"/>
      <c r="F40" s="65"/>
      <c r="G40" s="94" t="s">
        <v>112</v>
      </c>
      <c r="H40" s="94" t="s">
        <v>112</v>
      </c>
      <c r="I40" s="94" t="s">
        <v>112</v>
      </c>
      <c r="J40" s="94" t="s">
        <v>112</v>
      </c>
      <c r="K40" s="94" t="s">
        <v>112</v>
      </c>
      <c r="L40" s="65"/>
      <c r="M40" s="91" t="s">
        <v>11</v>
      </c>
      <c r="N40" s="91" t="s">
        <v>12</v>
      </c>
      <c r="O40" s="92" t="s">
        <v>2356</v>
      </c>
      <c r="P40" s="91" t="s">
        <v>13</v>
      </c>
      <c r="Q40" s="65"/>
      <c r="R40" s="91"/>
      <c r="S40" s="91"/>
      <c r="T40" s="91"/>
      <c r="U40" s="91"/>
      <c r="V40" s="65"/>
      <c r="W40" s="91"/>
      <c r="X40" s="91"/>
      <c r="Y40" s="91"/>
      <c r="Z40" s="91"/>
      <c r="AA40" s="91"/>
      <c r="AB40" s="91"/>
      <c r="AC40" s="91"/>
      <c r="AD40" s="65"/>
      <c r="AE40" s="94" t="s">
        <v>112</v>
      </c>
      <c r="AF40" s="94" t="s">
        <v>112</v>
      </c>
      <c r="AG40" s="65"/>
      <c r="AH40" s="94" t="s">
        <v>325</v>
      </c>
      <c r="AI40" s="112">
        <v>50472678700030</v>
      </c>
      <c r="AJ40" s="112"/>
      <c r="AK40" s="104" t="s">
        <v>2296</v>
      </c>
      <c r="AL40" s="65"/>
      <c r="AM40" s="91"/>
      <c r="AN40" s="91"/>
      <c r="AO40" s="91"/>
      <c r="AP40" s="91"/>
      <c r="AQ40" s="65"/>
      <c r="AR40" s="91"/>
      <c r="AS40" s="91"/>
      <c r="AT40" s="91"/>
      <c r="AU40" s="91"/>
      <c r="AV40" s="65"/>
      <c r="AW40" s="133" t="s">
        <v>325</v>
      </c>
      <c r="AX40" s="112">
        <v>50472678700030</v>
      </c>
      <c r="AY40" s="133" t="s">
        <v>326</v>
      </c>
      <c r="AZ40" s="134" t="s">
        <v>2296</v>
      </c>
      <c r="BA40" s="65"/>
      <c r="BB40" s="91"/>
      <c r="BC40" s="91"/>
      <c r="BD40" s="91"/>
      <c r="BE40" s="91"/>
      <c r="BF40" s="65"/>
      <c r="BG40" s="91"/>
      <c r="BH40" s="91"/>
      <c r="BI40" s="91"/>
      <c r="BJ40" s="91"/>
      <c r="BK40" s="65"/>
      <c r="BL40" s="94" t="s">
        <v>327</v>
      </c>
      <c r="BM40" s="119">
        <v>35238105700038</v>
      </c>
      <c r="BN40" s="94" t="s">
        <v>328</v>
      </c>
      <c r="BO40" s="94"/>
      <c r="BP40" s="94" t="s">
        <v>473</v>
      </c>
      <c r="BQ40" s="65"/>
      <c r="BR40" s="91"/>
      <c r="BS40" s="91"/>
      <c r="BT40" s="91"/>
      <c r="BU40" s="91"/>
      <c r="BV40" s="65"/>
      <c r="BW40" s="94" t="s">
        <v>327</v>
      </c>
      <c r="BX40" s="119">
        <v>35238105700038</v>
      </c>
      <c r="BY40" s="94" t="s">
        <v>328</v>
      </c>
      <c r="BZ40" s="94"/>
      <c r="CA40" s="94" t="s">
        <v>473</v>
      </c>
      <c r="CB40" s="94" t="s">
        <v>210</v>
      </c>
      <c r="CC40" s="65"/>
      <c r="CD40" s="91"/>
      <c r="CE40" s="91"/>
      <c r="CF40" s="91"/>
      <c r="CG40" s="91"/>
    </row>
    <row r="41" spans="1:85" ht="15.75" customHeight="1">
      <c r="A41" s="1"/>
      <c r="B41" s="149"/>
      <c r="C41" s="128" t="s">
        <v>198</v>
      </c>
      <c r="D41" s="142"/>
      <c r="E41" s="91"/>
      <c r="F41" s="65"/>
      <c r="G41" s="94" t="s">
        <v>112</v>
      </c>
      <c r="H41" s="94" t="s">
        <v>112</v>
      </c>
      <c r="I41" s="94" t="s">
        <v>112</v>
      </c>
      <c r="J41" s="94" t="s">
        <v>112</v>
      </c>
      <c r="K41" s="94" t="s">
        <v>112</v>
      </c>
      <c r="L41" s="65"/>
      <c r="M41" s="91" t="s">
        <v>11</v>
      </c>
      <c r="N41" s="91" t="s">
        <v>12</v>
      </c>
      <c r="O41" s="92" t="s">
        <v>2357</v>
      </c>
      <c r="P41" s="91" t="s">
        <v>13</v>
      </c>
      <c r="Q41" s="65"/>
      <c r="R41" s="91"/>
      <c r="S41" s="91"/>
      <c r="T41" s="91"/>
      <c r="U41" s="91"/>
      <c r="V41" s="65"/>
      <c r="W41" s="91"/>
      <c r="X41" s="91"/>
      <c r="Y41" s="91"/>
      <c r="Z41" s="91"/>
      <c r="AA41" s="91"/>
      <c r="AB41" s="91"/>
      <c r="AC41" s="91"/>
      <c r="AD41" s="65"/>
      <c r="AE41" s="94" t="s">
        <v>112</v>
      </c>
      <c r="AF41" s="94" t="s">
        <v>112</v>
      </c>
      <c r="AG41" s="65"/>
      <c r="AH41" s="94" t="s">
        <v>325</v>
      </c>
      <c r="AI41" s="112">
        <v>50472678700030</v>
      </c>
      <c r="AJ41" s="112"/>
      <c r="AK41" s="104" t="s">
        <v>2296</v>
      </c>
      <c r="AL41" s="65"/>
      <c r="AM41" s="91"/>
      <c r="AN41" s="91"/>
      <c r="AO41" s="91"/>
      <c r="AP41" s="91"/>
      <c r="AQ41" s="65"/>
      <c r="AR41" s="91"/>
      <c r="AS41" s="91"/>
      <c r="AT41" s="91"/>
      <c r="AU41" s="91"/>
      <c r="AV41" s="65"/>
      <c r="AW41" s="133" t="s">
        <v>325</v>
      </c>
      <c r="AX41" s="112">
        <v>50472678700030</v>
      </c>
      <c r="AY41" s="133" t="s">
        <v>326</v>
      </c>
      <c r="AZ41" s="134" t="s">
        <v>2296</v>
      </c>
      <c r="BA41" s="65"/>
      <c r="BB41" s="91"/>
      <c r="BC41" s="91"/>
      <c r="BD41" s="91"/>
      <c r="BE41" s="91"/>
      <c r="BF41" s="65"/>
      <c r="BG41" s="91"/>
      <c r="BH41" s="91"/>
      <c r="BI41" s="91"/>
      <c r="BJ41" s="91"/>
      <c r="BK41" s="65"/>
      <c r="BL41" s="94" t="s">
        <v>163</v>
      </c>
      <c r="BM41" s="119">
        <v>30223694800030</v>
      </c>
      <c r="BN41" s="94" t="s">
        <v>330</v>
      </c>
      <c r="BO41" s="94"/>
      <c r="BP41" s="94" t="s">
        <v>475</v>
      </c>
      <c r="BQ41" s="65"/>
      <c r="BR41" s="91"/>
      <c r="BS41" s="91"/>
      <c r="BT41" s="91"/>
      <c r="BU41" s="91"/>
      <c r="BV41" s="65"/>
      <c r="BW41" s="94" t="s">
        <v>163</v>
      </c>
      <c r="BX41" s="119">
        <v>30223694800030</v>
      </c>
      <c r="BY41" s="94" t="s">
        <v>330</v>
      </c>
      <c r="BZ41" s="94"/>
      <c r="CA41" s="94" t="s">
        <v>206</v>
      </c>
      <c r="CB41" s="94" t="s">
        <v>294</v>
      </c>
      <c r="CC41" s="65"/>
      <c r="CD41" s="91"/>
      <c r="CE41" s="91"/>
      <c r="CF41" s="91"/>
      <c r="CG41" s="91"/>
    </row>
    <row r="42" spans="1:85" ht="15.75" customHeight="1">
      <c r="A42" s="43"/>
      <c r="B42" s="153" t="s">
        <v>476</v>
      </c>
      <c r="C42" s="130" t="s">
        <v>183</v>
      </c>
      <c r="D42" s="141" t="s">
        <v>477</v>
      </c>
      <c r="E42" s="10"/>
      <c r="F42" s="82"/>
      <c r="G42" s="10"/>
      <c r="H42" s="10"/>
      <c r="I42" s="10"/>
      <c r="J42" s="10"/>
      <c r="K42" s="10"/>
      <c r="L42" s="82"/>
      <c r="M42" s="10" t="s">
        <v>11</v>
      </c>
      <c r="N42" s="10" t="s">
        <v>12</v>
      </c>
      <c r="O42" s="84" t="s">
        <v>2358</v>
      </c>
      <c r="P42" s="10" t="s">
        <v>13</v>
      </c>
      <c r="Q42" s="82"/>
      <c r="R42" s="10"/>
      <c r="S42" s="10"/>
      <c r="T42" s="10"/>
      <c r="U42" s="10"/>
      <c r="V42" s="82"/>
      <c r="W42" s="10"/>
      <c r="X42" s="10"/>
      <c r="Y42" s="10"/>
      <c r="Z42" s="10"/>
      <c r="AA42" s="10"/>
      <c r="AB42" s="10"/>
      <c r="AC42" s="10"/>
      <c r="AD42" s="82"/>
      <c r="AE42" s="83" t="s">
        <v>112</v>
      </c>
      <c r="AF42" s="83" t="s">
        <v>112</v>
      </c>
      <c r="AG42" s="82"/>
      <c r="AH42" s="83" t="s">
        <v>2353</v>
      </c>
      <c r="AI42" s="83" t="s">
        <v>2353</v>
      </c>
      <c r="AJ42" s="83"/>
      <c r="AK42" s="83" t="s">
        <v>2353</v>
      </c>
      <c r="AL42" s="82"/>
      <c r="AM42" s="10"/>
      <c r="AN42" s="10"/>
      <c r="AO42" s="10"/>
      <c r="AP42" s="10"/>
      <c r="AQ42" s="82"/>
      <c r="AR42" s="10"/>
      <c r="AS42" s="10"/>
      <c r="AT42" s="10"/>
      <c r="AU42" s="10"/>
      <c r="AV42" s="82"/>
      <c r="AW42" s="83" t="s">
        <v>479</v>
      </c>
      <c r="AX42" s="86">
        <v>30002217500107</v>
      </c>
      <c r="AY42" s="83" t="s">
        <v>481</v>
      </c>
      <c r="AZ42" s="87" t="s">
        <v>2359</v>
      </c>
      <c r="BA42" s="82"/>
      <c r="BB42" s="10"/>
      <c r="BC42" s="10"/>
      <c r="BD42" s="10"/>
      <c r="BE42" s="10"/>
      <c r="BF42" s="82"/>
      <c r="BG42" s="10"/>
      <c r="BH42" s="10"/>
      <c r="BI42" s="10"/>
      <c r="BJ42" s="10"/>
      <c r="BK42" s="82"/>
      <c r="BL42" s="83" t="s">
        <v>482</v>
      </c>
      <c r="BM42" s="86">
        <v>44454844000130</v>
      </c>
      <c r="BN42" s="83" t="s">
        <v>483</v>
      </c>
      <c r="BO42" s="83"/>
      <c r="BP42" s="83" t="s">
        <v>125</v>
      </c>
      <c r="BQ42" s="82"/>
      <c r="BR42" s="10"/>
      <c r="BS42" s="10"/>
      <c r="BT42" s="10"/>
      <c r="BU42" s="10"/>
      <c r="BV42" s="82"/>
      <c r="BW42" s="108" t="s">
        <v>484</v>
      </c>
      <c r="BX42" s="86"/>
      <c r="BY42" s="83"/>
      <c r="BZ42" s="83"/>
      <c r="CA42" s="83" t="s">
        <v>146</v>
      </c>
      <c r="CB42" s="83" t="s">
        <v>132</v>
      </c>
      <c r="CC42" s="82"/>
      <c r="CD42" s="10"/>
      <c r="CE42" s="10"/>
      <c r="CF42" s="10"/>
      <c r="CG42" s="10"/>
    </row>
    <row r="43" spans="1:85" ht="15.75" customHeight="1">
      <c r="A43" s="43"/>
      <c r="B43" s="154"/>
      <c r="C43" s="130" t="s">
        <v>485</v>
      </c>
      <c r="D43" s="141" t="s">
        <v>486</v>
      </c>
      <c r="E43" s="10"/>
      <c r="F43" s="82"/>
      <c r="G43" s="10"/>
      <c r="H43" s="10"/>
      <c r="I43" s="10"/>
      <c r="J43" s="10"/>
      <c r="K43" s="10"/>
      <c r="L43" s="82"/>
      <c r="M43" s="10" t="s">
        <v>11</v>
      </c>
      <c r="N43" s="10" t="s">
        <v>12</v>
      </c>
      <c r="O43" s="84" t="s">
        <v>2360</v>
      </c>
      <c r="P43" s="10" t="s">
        <v>13</v>
      </c>
      <c r="Q43" s="82"/>
      <c r="R43" s="10"/>
      <c r="S43" s="10"/>
      <c r="T43" s="10"/>
      <c r="U43" s="10"/>
      <c r="V43" s="82"/>
      <c r="W43" s="10"/>
      <c r="X43" s="10"/>
      <c r="Y43" s="10"/>
      <c r="Z43" s="10"/>
      <c r="AA43" s="10"/>
      <c r="AB43" s="10"/>
      <c r="AC43" s="10"/>
      <c r="AD43" s="82"/>
      <c r="AE43" s="83" t="s">
        <v>112</v>
      </c>
      <c r="AF43" s="83" t="s">
        <v>112</v>
      </c>
      <c r="AG43" s="82"/>
      <c r="AH43" s="83" t="s">
        <v>2353</v>
      </c>
      <c r="AI43" s="83" t="s">
        <v>2353</v>
      </c>
      <c r="AJ43" s="83"/>
      <c r="AK43" s="83" t="s">
        <v>2353</v>
      </c>
      <c r="AL43" s="82"/>
      <c r="AM43" s="10"/>
      <c r="AN43" s="10"/>
      <c r="AO43" s="10"/>
      <c r="AP43" s="10"/>
      <c r="AQ43" s="82"/>
      <c r="AR43" s="10"/>
      <c r="AS43" s="10"/>
      <c r="AT43" s="10"/>
      <c r="AU43" s="10"/>
      <c r="AV43" s="82"/>
      <c r="AW43" s="83" t="s">
        <v>479</v>
      </c>
      <c r="AX43" s="86">
        <v>30002217500107</v>
      </c>
      <c r="AY43" s="83" t="s">
        <v>481</v>
      </c>
      <c r="AZ43" s="87" t="s">
        <v>2359</v>
      </c>
      <c r="BA43" s="82"/>
      <c r="BB43" s="10"/>
      <c r="BC43" s="10"/>
      <c r="BD43" s="10"/>
      <c r="BE43" s="10"/>
      <c r="BF43" s="82"/>
      <c r="BG43" s="10"/>
      <c r="BH43" s="10"/>
      <c r="BI43" s="10"/>
      <c r="BJ43" s="10"/>
      <c r="BK43" s="82"/>
      <c r="BL43" s="83" t="s">
        <v>488</v>
      </c>
      <c r="BM43" s="86">
        <v>33818576200048</v>
      </c>
      <c r="BN43" s="83" t="s">
        <v>490</v>
      </c>
      <c r="BO43" s="83"/>
      <c r="BP43" s="83" t="s">
        <v>491</v>
      </c>
      <c r="BQ43" s="82"/>
      <c r="BR43" s="10"/>
      <c r="BS43" s="10"/>
      <c r="BT43" s="10"/>
      <c r="BU43" s="10"/>
      <c r="BV43" s="82"/>
      <c r="BW43" s="83" t="s">
        <v>488</v>
      </c>
      <c r="BX43" s="86">
        <v>33818576200048</v>
      </c>
      <c r="BY43" s="83" t="s">
        <v>490</v>
      </c>
      <c r="BZ43" s="83"/>
      <c r="CA43" s="83" t="s">
        <v>491</v>
      </c>
      <c r="CB43" s="109" t="s">
        <v>294</v>
      </c>
      <c r="CC43" s="82"/>
      <c r="CD43" s="10"/>
      <c r="CE43" s="10"/>
      <c r="CF43" s="10"/>
      <c r="CG43" s="10"/>
    </row>
    <row r="44" spans="1:85" ht="15.75" customHeight="1">
      <c r="A44" s="43"/>
      <c r="B44" s="154"/>
      <c r="C44" s="130" t="s">
        <v>485</v>
      </c>
      <c r="D44" s="141" t="s">
        <v>492</v>
      </c>
      <c r="E44" s="10"/>
      <c r="F44" s="82"/>
      <c r="G44" s="10"/>
      <c r="H44" s="10"/>
      <c r="I44" s="10"/>
      <c r="J44" s="10"/>
      <c r="K44" s="10"/>
      <c r="L44" s="82"/>
      <c r="M44" s="10" t="s">
        <v>11</v>
      </c>
      <c r="N44" s="10" t="s">
        <v>12</v>
      </c>
      <c r="O44" s="84" t="s">
        <v>2361</v>
      </c>
      <c r="P44" s="10" t="s">
        <v>13</v>
      </c>
      <c r="Q44" s="82"/>
      <c r="R44" s="10"/>
      <c r="S44" s="10"/>
      <c r="T44" s="10"/>
      <c r="U44" s="10"/>
      <c r="V44" s="82"/>
      <c r="W44" s="10"/>
      <c r="X44" s="10"/>
      <c r="Y44" s="10"/>
      <c r="Z44" s="10"/>
      <c r="AA44" s="10"/>
      <c r="AB44" s="10"/>
      <c r="AC44" s="10"/>
      <c r="AD44" s="82"/>
      <c r="AE44" s="83" t="s">
        <v>112</v>
      </c>
      <c r="AF44" s="83" t="s">
        <v>112</v>
      </c>
      <c r="AG44" s="82"/>
      <c r="AH44" s="83" t="s">
        <v>2353</v>
      </c>
      <c r="AI44" s="83" t="s">
        <v>2353</v>
      </c>
      <c r="AJ44" s="83"/>
      <c r="AK44" s="83" t="s">
        <v>2353</v>
      </c>
      <c r="AL44" s="82"/>
      <c r="AM44" s="10"/>
      <c r="AN44" s="10"/>
      <c r="AO44" s="10"/>
      <c r="AP44" s="10"/>
      <c r="AQ44" s="82"/>
      <c r="AR44" s="10"/>
      <c r="AS44" s="10"/>
      <c r="AT44" s="10"/>
      <c r="AU44" s="10"/>
      <c r="AV44" s="82"/>
      <c r="AW44" s="83" t="s">
        <v>479</v>
      </c>
      <c r="AX44" s="86">
        <v>30002217500107</v>
      </c>
      <c r="AY44" s="83" t="s">
        <v>481</v>
      </c>
      <c r="AZ44" s="87" t="s">
        <v>2359</v>
      </c>
      <c r="BA44" s="82"/>
      <c r="BB44" s="10"/>
      <c r="BC44" s="10"/>
      <c r="BD44" s="10"/>
      <c r="BE44" s="10"/>
      <c r="BF44" s="82"/>
      <c r="BG44" s="10"/>
      <c r="BH44" s="10"/>
      <c r="BI44" s="10"/>
      <c r="BJ44" s="10"/>
      <c r="BK44" s="82"/>
      <c r="BL44" s="83" t="s">
        <v>488</v>
      </c>
      <c r="BM44" s="86">
        <v>33818576200048</v>
      </c>
      <c r="BN44" s="83" t="s">
        <v>490</v>
      </c>
      <c r="BO44" s="83"/>
      <c r="BP44" s="83" t="s">
        <v>491</v>
      </c>
      <c r="BQ44" s="82"/>
      <c r="BR44" s="10"/>
      <c r="BS44" s="10"/>
      <c r="BT44" s="10"/>
      <c r="BU44" s="10"/>
      <c r="BV44" s="82"/>
      <c r="BW44" s="83" t="s">
        <v>488</v>
      </c>
      <c r="BX44" s="86">
        <v>33818576200048</v>
      </c>
      <c r="BY44" s="83" t="s">
        <v>490</v>
      </c>
      <c r="BZ44" s="83"/>
      <c r="CA44" s="83" t="s">
        <v>491</v>
      </c>
      <c r="CB44" s="109" t="s">
        <v>294</v>
      </c>
      <c r="CC44" s="82"/>
      <c r="CD44" s="10"/>
      <c r="CE44" s="10"/>
      <c r="CF44" s="10"/>
      <c r="CG44" s="10"/>
    </row>
    <row r="45" spans="1:85" ht="15.75" customHeight="1">
      <c r="A45" s="43"/>
      <c r="B45" s="154"/>
      <c r="C45" s="130" t="s">
        <v>494</v>
      </c>
      <c r="D45" s="108" t="s">
        <v>495</v>
      </c>
      <c r="E45" s="10"/>
      <c r="F45" s="82"/>
      <c r="G45" s="10"/>
      <c r="H45" s="10"/>
      <c r="I45" s="10"/>
      <c r="J45" s="10"/>
      <c r="K45" s="10"/>
      <c r="L45" s="82"/>
      <c r="M45" s="10" t="s">
        <v>11</v>
      </c>
      <c r="N45" s="10" t="s">
        <v>12</v>
      </c>
      <c r="O45" s="84" t="s">
        <v>2362</v>
      </c>
      <c r="P45" s="10" t="s">
        <v>13</v>
      </c>
      <c r="Q45" s="82"/>
      <c r="R45" s="10"/>
      <c r="S45" s="10"/>
      <c r="T45" s="10"/>
      <c r="U45" s="10"/>
      <c r="V45" s="82"/>
      <c r="W45" s="10"/>
      <c r="X45" s="10"/>
      <c r="Y45" s="10"/>
      <c r="Z45" s="10"/>
      <c r="AA45" s="10"/>
      <c r="AB45" s="10"/>
      <c r="AC45" s="10"/>
      <c r="AD45" s="82"/>
      <c r="AE45" s="83" t="s">
        <v>112</v>
      </c>
      <c r="AF45" s="83" t="s">
        <v>112</v>
      </c>
      <c r="AG45" s="82"/>
      <c r="AH45" s="83" t="s">
        <v>112</v>
      </c>
      <c r="AI45" s="86" t="s">
        <v>112</v>
      </c>
      <c r="AJ45" s="86"/>
      <c r="AK45" s="83" t="s">
        <v>112</v>
      </c>
      <c r="AL45" s="82"/>
      <c r="AM45" s="10"/>
      <c r="AN45" s="10"/>
      <c r="AO45" s="10"/>
      <c r="AP45" s="10"/>
      <c r="AQ45" s="82"/>
      <c r="AR45" s="10"/>
      <c r="AS45" s="10"/>
      <c r="AT45" s="10"/>
      <c r="AU45" s="10"/>
      <c r="AV45" s="82"/>
      <c r="AW45" s="131" t="s">
        <v>479</v>
      </c>
      <c r="AX45" s="86">
        <v>30002217500107</v>
      </c>
      <c r="AY45" s="131" t="s">
        <v>481</v>
      </c>
      <c r="AZ45" s="87" t="s">
        <v>2359</v>
      </c>
      <c r="BA45" s="82"/>
      <c r="BB45" s="10"/>
      <c r="BC45" s="10"/>
      <c r="BD45" s="10"/>
      <c r="BE45" s="10"/>
      <c r="BF45" s="82"/>
      <c r="BG45" s="10"/>
      <c r="BH45" s="10"/>
      <c r="BI45" s="10"/>
      <c r="BJ45" s="10"/>
      <c r="BK45" s="82"/>
      <c r="BL45" s="83" t="s">
        <v>479</v>
      </c>
      <c r="BM45" s="86">
        <v>30002217500107</v>
      </c>
      <c r="BN45" s="83" t="s">
        <v>481</v>
      </c>
      <c r="BO45" s="83"/>
      <c r="BP45" s="109" t="s">
        <v>165</v>
      </c>
      <c r="BQ45" s="82"/>
      <c r="BR45" s="10"/>
      <c r="BS45" s="10"/>
      <c r="BT45" s="10"/>
      <c r="BU45" s="10"/>
      <c r="BV45" s="82"/>
      <c r="BW45" s="132" t="s">
        <v>497</v>
      </c>
      <c r="BX45" s="116">
        <v>53457434800015</v>
      </c>
      <c r="BY45" s="132" t="s">
        <v>499</v>
      </c>
      <c r="BZ45" s="132"/>
      <c r="CA45" s="109" t="s">
        <v>146</v>
      </c>
      <c r="CB45" s="83" t="s">
        <v>132</v>
      </c>
      <c r="CC45" s="82"/>
      <c r="CD45" s="10"/>
      <c r="CE45" s="10"/>
      <c r="CF45" s="10"/>
      <c r="CG45" s="10"/>
    </row>
    <row r="46" spans="1:85" ht="15.75" customHeight="1">
      <c r="A46" s="43"/>
      <c r="B46" s="154"/>
      <c r="C46" s="130" t="s">
        <v>1647</v>
      </c>
      <c r="D46" s="108" t="s">
        <v>501</v>
      </c>
      <c r="E46" s="10"/>
      <c r="F46" s="82"/>
      <c r="G46" s="10"/>
      <c r="H46" s="10"/>
      <c r="I46" s="10"/>
      <c r="J46" s="10"/>
      <c r="K46" s="10"/>
      <c r="L46" s="82"/>
      <c r="M46" s="10" t="s">
        <v>11</v>
      </c>
      <c r="N46" s="10" t="s">
        <v>12</v>
      </c>
      <c r="O46" s="84" t="s">
        <v>2363</v>
      </c>
      <c r="P46" s="10" t="s">
        <v>13</v>
      </c>
      <c r="Q46" s="82"/>
      <c r="R46" s="10"/>
      <c r="S46" s="10"/>
      <c r="T46" s="10"/>
      <c r="U46" s="10"/>
      <c r="V46" s="82"/>
      <c r="W46" s="10"/>
      <c r="X46" s="10"/>
      <c r="Y46" s="10"/>
      <c r="Z46" s="10"/>
      <c r="AA46" s="10"/>
      <c r="AB46" s="10"/>
      <c r="AC46" s="10"/>
      <c r="AD46" s="82"/>
      <c r="AE46" s="83" t="s">
        <v>112</v>
      </c>
      <c r="AF46" s="83" t="s">
        <v>112</v>
      </c>
      <c r="AG46" s="82"/>
      <c r="AH46" s="83" t="s">
        <v>2353</v>
      </c>
      <c r="AI46" s="83" t="s">
        <v>2353</v>
      </c>
      <c r="AJ46" s="83"/>
      <c r="AK46" s="83" t="s">
        <v>2353</v>
      </c>
      <c r="AL46" s="82"/>
      <c r="AM46" s="10"/>
      <c r="AN46" s="10"/>
      <c r="AO46" s="10"/>
      <c r="AP46" s="10"/>
      <c r="AQ46" s="82"/>
      <c r="AR46" s="10"/>
      <c r="AS46" s="10"/>
      <c r="AT46" s="10"/>
      <c r="AU46" s="10"/>
      <c r="AV46" s="82"/>
      <c r="AW46" s="83" t="s">
        <v>479</v>
      </c>
      <c r="AX46" s="86">
        <v>30002217500107</v>
      </c>
      <c r="AY46" s="83" t="s">
        <v>481</v>
      </c>
      <c r="AZ46" s="87" t="s">
        <v>2359</v>
      </c>
      <c r="BA46" s="82"/>
      <c r="BB46" s="10"/>
      <c r="BC46" s="10"/>
      <c r="BD46" s="10"/>
      <c r="BE46" s="10"/>
      <c r="BF46" s="82"/>
      <c r="BG46" s="10"/>
      <c r="BH46" s="10"/>
      <c r="BI46" s="10"/>
      <c r="BJ46" s="10"/>
      <c r="BK46" s="82"/>
      <c r="BL46" s="83" t="s">
        <v>482</v>
      </c>
      <c r="BM46" s="86">
        <v>44454844000130</v>
      </c>
      <c r="BN46" s="83" t="s">
        <v>483</v>
      </c>
      <c r="BO46" s="83"/>
      <c r="BP46" s="83" t="s">
        <v>125</v>
      </c>
      <c r="BQ46" s="82"/>
      <c r="BR46" s="10"/>
      <c r="BS46" s="10"/>
      <c r="BT46" s="10"/>
      <c r="BU46" s="10"/>
      <c r="BV46" s="82"/>
      <c r="BW46" s="108" t="s">
        <v>484</v>
      </c>
      <c r="BX46" s="86"/>
      <c r="BY46" s="83"/>
      <c r="BZ46" s="83"/>
      <c r="CA46" s="83" t="s">
        <v>146</v>
      </c>
      <c r="CB46" s="83" t="s">
        <v>132</v>
      </c>
      <c r="CC46" s="82"/>
      <c r="CD46" s="10"/>
      <c r="CE46" s="10"/>
      <c r="CF46" s="10"/>
      <c r="CG46" s="10"/>
    </row>
    <row r="47" spans="1:85" ht="15.75" customHeight="1">
      <c r="A47" s="43"/>
      <c r="B47" s="149"/>
      <c r="C47" s="130" t="s">
        <v>503</v>
      </c>
      <c r="D47" s="108" t="s">
        <v>504</v>
      </c>
      <c r="E47" s="10"/>
      <c r="F47" s="82"/>
      <c r="G47" s="10"/>
      <c r="H47" s="10"/>
      <c r="I47" s="10"/>
      <c r="J47" s="10"/>
      <c r="K47" s="10"/>
      <c r="L47" s="82"/>
      <c r="M47" s="10" t="s">
        <v>11</v>
      </c>
      <c r="N47" s="10" t="s">
        <v>12</v>
      </c>
      <c r="O47" s="84" t="s">
        <v>2364</v>
      </c>
      <c r="P47" s="10" t="s">
        <v>13</v>
      </c>
      <c r="Q47" s="82"/>
      <c r="R47" s="10"/>
      <c r="S47" s="10"/>
      <c r="T47" s="10"/>
      <c r="U47" s="10"/>
      <c r="V47" s="82"/>
      <c r="W47" s="10"/>
      <c r="X47" s="10"/>
      <c r="Y47" s="10"/>
      <c r="Z47" s="10"/>
      <c r="AA47" s="10"/>
      <c r="AB47" s="10"/>
      <c r="AC47" s="10"/>
      <c r="AD47" s="82"/>
      <c r="AE47" s="83" t="s">
        <v>112</v>
      </c>
      <c r="AF47" s="83" t="s">
        <v>112</v>
      </c>
      <c r="AG47" s="82"/>
      <c r="AH47" s="83" t="s">
        <v>113</v>
      </c>
      <c r="AI47" s="86">
        <v>39933934000016</v>
      </c>
      <c r="AJ47" s="86"/>
      <c r="AK47" s="83" t="s">
        <v>2294</v>
      </c>
      <c r="AL47" s="82"/>
      <c r="AM47" s="10"/>
      <c r="AN47" s="10"/>
      <c r="AO47" s="10"/>
      <c r="AP47" s="10"/>
      <c r="AQ47" s="82"/>
      <c r="AR47" s="10"/>
      <c r="AS47" s="10"/>
      <c r="AT47" s="10"/>
      <c r="AU47" s="10"/>
      <c r="AV47" s="82"/>
      <c r="AW47" s="83" t="s">
        <v>113</v>
      </c>
      <c r="AX47" s="86">
        <v>39933934000016</v>
      </c>
      <c r="AY47" s="83" t="s">
        <v>114</v>
      </c>
      <c r="AZ47" s="87" t="s">
        <v>115</v>
      </c>
      <c r="BA47" s="82"/>
      <c r="BB47" s="10"/>
      <c r="BC47" s="10"/>
      <c r="BD47" s="10"/>
      <c r="BE47" s="10"/>
      <c r="BF47" s="82"/>
      <c r="BG47" s="10"/>
      <c r="BH47" s="10"/>
      <c r="BI47" s="10"/>
      <c r="BJ47" s="10"/>
      <c r="BK47" s="82"/>
      <c r="BL47" s="83" t="s">
        <v>113</v>
      </c>
      <c r="BM47" s="86">
        <v>39933934000016</v>
      </c>
      <c r="BN47" s="83" t="s">
        <v>114</v>
      </c>
      <c r="BO47" s="83"/>
      <c r="BP47" s="83" t="s">
        <v>215</v>
      </c>
      <c r="BQ47" s="82"/>
      <c r="BR47" s="10"/>
      <c r="BS47" s="10"/>
      <c r="BT47" s="10"/>
      <c r="BU47" s="10"/>
      <c r="BV47" s="82"/>
      <c r="BW47" s="108" t="s">
        <v>130</v>
      </c>
      <c r="BX47" s="86"/>
      <c r="BY47" s="83"/>
      <c r="BZ47" s="83"/>
      <c r="CA47" s="83" t="s">
        <v>491</v>
      </c>
      <c r="CB47" s="83" t="s">
        <v>294</v>
      </c>
      <c r="CC47" s="82"/>
      <c r="CD47" s="10"/>
      <c r="CE47" s="10"/>
      <c r="CF47" s="10"/>
      <c r="CG47" s="10"/>
    </row>
    <row r="48" spans="1:85" ht="15.75" customHeight="1">
      <c r="A48" s="1"/>
      <c r="B48" s="127" t="s">
        <v>506</v>
      </c>
      <c r="C48" s="128" t="s">
        <v>159</v>
      </c>
      <c r="D48" s="142"/>
      <c r="E48" s="91"/>
      <c r="F48" s="65"/>
      <c r="G48" s="91"/>
      <c r="H48" s="91"/>
      <c r="I48" s="91"/>
      <c r="J48" s="91"/>
      <c r="K48" s="91"/>
      <c r="L48" s="65"/>
      <c r="M48" s="91" t="s">
        <v>11</v>
      </c>
      <c r="N48" s="91" t="s">
        <v>12</v>
      </c>
      <c r="O48" s="92" t="s">
        <v>2364</v>
      </c>
      <c r="P48" s="91" t="s">
        <v>13</v>
      </c>
      <c r="Q48" s="65"/>
      <c r="R48" s="91"/>
      <c r="S48" s="91"/>
      <c r="T48" s="91"/>
      <c r="U48" s="91"/>
      <c r="V48" s="65"/>
      <c r="W48" s="91"/>
      <c r="X48" s="91"/>
      <c r="Y48" s="91"/>
      <c r="Z48" s="91"/>
      <c r="AA48" s="91"/>
      <c r="AB48" s="91"/>
      <c r="AC48" s="91"/>
      <c r="AD48" s="65"/>
      <c r="AE48" s="94" t="s">
        <v>112</v>
      </c>
      <c r="AF48" s="94" t="s">
        <v>112</v>
      </c>
      <c r="AG48" s="65"/>
      <c r="AH48" s="94" t="s">
        <v>113</v>
      </c>
      <c r="AI48" s="112">
        <v>39933934000016</v>
      </c>
      <c r="AJ48" s="91"/>
      <c r="AK48" s="94" t="s">
        <v>2294</v>
      </c>
      <c r="AL48" s="65"/>
      <c r="AM48" s="91"/>
      <c r="AN48" s="91"/>
      <c r="AO48" s="91"/>
      <c r="AP48" s="91"/>
      <c r="AQ48" s="65"/>
      <c r="AR48" s="91"/>
      <c r="AS48" s="91"/>
      <c r="AT48" s="91"/>
      <c r="AU48" s="91"/>
      <c r="AV48" s="65"/>
      <c r="AW48" s="94" t="s">
        <v>113</v>
      </c>
      <c r="AX48" s="112">
        <v>39933934000016</v>
      </c>
      <c r="AY48" s="94" t="s">
        <v>114</v>
      </c>
      <c r="AZ48" s="104" t="s">
        <v>115</v>
      </c>
      <c r="BA48" s="65"/>
      <c r="BB48" s="91"/>
      <c r="BC48" s="91"/>
      <c r="BD48" s="91"/>
      <c r="BE48" s="91"/>
      <c r="BF48" s="65"/>
      <c r="BG48" s="91"/>
      <c r="BH48" s="91"/>
      <c r="BI48" s="91"/>
      <c r="BJ48" s="91"/>
      <c r="BK48" s="65"/>
      <c r="BL48" s="94" t="s">
        <v>113</v>
      </c>
      <c r="BM48" s="112">
        <v>39933934000016</v>
      </c>
      <c r="BN48" s="94" t="s">
        <v>114</v>
      </c>
      <c r="BO48" s="112"/>
      <c r="BP48" s="94" t="s">
        <v>125</v>
      </c>
      <c r="BQ48" s="65"/>
      <c r="BR48" s="91"/>
      <c r="BS48" s="91"/>
      <c r="BT48" s="91"/>
      <c r="BU48" s="91"/>
      <c r="BV48" s="65"/>
      <c r="BW48" s="102" t="s">
        <v>130</v>
      </c>
      <c r="BX48" s="94"/>
      <c r="BY48" s="112"/>
      <c r="BZ48" s="91"/>
      <c r="CA48" s="94" t="s">
        <v>125</v>
      </c>
      <c r="CB48" s="94" t="s">
        <v>167</v>
      </c>
      <c r="CC48" s="65"/>
      <c r="CD48" s="91"/>
      <c r="CE48" s="91"/>
      <c r="CF48" s="91"/>
      <c r="CG48" s="91"/>
    </row>
    <row r="49" spans="1:85" ht="15.75" customHeight="1">
      <c r="A49" s="43"/>
      <c r="B49" s="153" t="s">
        <v>2365</v>
      </c>
      <c r="C49" s="130" t="s">
        <v>159</v>
      </c>
      <c r="D49" s="99" t="s">
        <v>508</v>
      </c>
      <c r="E49" s="10"/>
      <c r="F49" s="82"/>
      <c r="G49" s="83"/>
      <c r="H49" s="83"/>
      <c r="I49" s="83"/>
      <c r="J49" s="83"/>
      <c r="K49" s="83"/>
      <c r="L49" s="82"/>
      <c r="M49" s="10" t="s">
        <v>11</v>
      </c>
      <c r="N49" s="10" t="s">
        <v>12</v>
      </c>
      <c r="O49" s="84" t="s">
        <v>2366</v>
      </c>
      <c r="P49" s="10" t="s">
        <v>13</v>
      </c>
      <c r="Q49" s="82"/>
      <c r="R49" s="10"/>
      <c r="S49" s="10"/>
      <c r="T49" s="10"/>
      <c r="U49" s="10"/>
      <c r="V49" s="82"/>
      <c r="W49" s="10"/>
      <c r="X49" s="10"/>
      <c r="Y49" s="10"/>
      <c r="Z49" s="10"/>
      <c r="AA49" s="10"/>
      <c r="AB49" s="10"/>
      <c r="AC49" s="10"/>
      <c r="AD49" s="82"/>
      <c r="AE49" s="83" t="s">
        <v>112</v>
      </c>
      <c r="AF49" s="83" t="s">
        <v>112</v>
      </c>
      <c r="AG49" s="82"/>
      <c r="AH49" s="83" t="s">
        <v>113</v>
      </c>
      <c r="AI49" s="86">
        <v>39933934000016</v>
      </c>
      <c r="AJ49" s="86"/>
      <c r="AK49" s="83" t="s">
        <v>2294</v>
      </c>
      <c r="AL49" s="82"/>
      <c r="AM49" s="10"/>
      <c r="AN49" s="10"/>
      <c r="AO49" s="10"/>
      <c r="AP49" s="10"/>
      <c r="AQ49" s="82"/>
      <c r="AR49" s="10"/>
      <c r="AS49" s="10"/>
      <c r="AT49" s="10"/>
      <c r="AU49" s="10"/>
      <c r="AV49" s="82"/>
      <c r="AW49" s="83" t="s">
        <v>113</v>
      </c>
      <c r="AX49" s="86">
        <v>39933934000016</v>
      </c>
      <c r="AY49" s="83" t="s">
        <v>114</v>
      </c>
      <c r="AZ49" s="87" t="s">
        <v>115</v>
      </c>
      <c r="BA49" s="82"/>
      <c r="BB49" s="10"/>
      <c r="BC49" s="10"/>
      <c r="BD49" s="10"/>
      <c r="BE49" s="10"/>
      <c r="BF49" s="82"/>
      <c r="BG49" s="10"/>
      <c r="BH49" s="10"/>
      <c r="BI49" s="10"/>
      <c r="BJ49" s="10"/>
      <c r="BK49" s="82"/>
      <c r="BL49" s="83" t="s">
        <v>113</v>
      </c>
      <c r="BM49" s="86">
        <v>39933934000016</v>
      </c>
      <c r="BN49" s="83" t="s">
        <v>114</v>
      </c>
      <c r="BO49" s="83"/>
      <c r="BP49" s="83" t="s">
        <v>125</v>
      </c>
      <c r="BQ49" s="82"/>
      <c r="BR49" s="10"/>
      <c r="BS49" s="10"/>
      <c r="BT49" s="10"/>
      <c r="BU49" s="10"/>
      <c r="BV49" s="82"/>
      <c r="BW49" s="108" t="s">
        <v>130</v>
      </c>
      <c r="BX49" s="86"/>
      <c r="BY49" s="83"/>
      <c r="BZ49" s="83"/>
      <c r="CA49" s="83" t="s">
        <v>191</v>
      </c>
      <c r="CB49" s="83" t="s">
        <v>132</v>
      </c>
      <c r="CC49" s="82"/>
      <c r="CD49" s="10"/>
      <c r="CE49" s="10"/>
      <c r="CF49" s="10"/>
      <c r="CG49" s="10"/>
    </row>
    <row r="50" spans="1:85" ht="15.75" customHeight="1">
      <c r="A50" s="43"/>
      <c r="B50" s="149"/>
      <c r="C50" s="130" t="s">
        <v>159</v>
      </c>
      <c r="D50" s="99" t="s">
        <v>510</v>
      </c>
      <c r="E50" s="10"/>
      <c r="F50" s="82"/>
      <c r="G50" s="83"/>
      <c r="H50" s="83"/>
      <c r="I50" s="83"/>
      <c r="J50" s="83"/>
      <c r="K50" s="83"/>
      <c r="L50" s="82"/>
      <c r="M50" s="10" t="s">
        <v>11</v>
      </c>
      <c r="N50" s="10" t="s">
        <v>12</v>
      </c>
      <c r="O50" s="84" t="s">
        <v>2367</v>
      </c>
      <c r="P50" s="10" t="s">
        <v>13</v>
      </c>
      <c r="Q50" s="82"/>
      <c r="R50" s="10"/>
      <c r="S50" s="10"/>
      <c r="T50" s="10"/>
      <c r="U50" s="10"/>
      <c r="V50" s="82"/>
      <c r="W50" s="10"/>
      <c r="X50" s="10"/>
      <c r="Y50" s="10"/>
      <c r="Z50" s="10"/>
      <c r="AA50" s="10"/>
      <c r="AB50" s="10"/>
      <c r="AC50" s="10"/>
      <c r="AD50" s="82"/>
      <c r="AE50" s="83" t="s">
        <v>112</v>
      </c>
      <c r="AF50" s="83" t="s">
        <v>112</v>
      </c>
      <c r="AG50" s="82"/>
      <c r="AH50" s="83" t="s">
        <v>113</v>
      </c>
      <c r="AI50" s="86">
        <v>39933934000016</v>
      </c>
      <c r="AJ50" s="86"/>
      <c r="AK50" s="83" t="s">
        <v>2294</v>
      </c>
      <c r="AL50" s="82"/>
      <c r="AM50" s="10"/>
      <c r="AN50" s="10"/>
      <c r="AO50" s="10"/>
      <c r="AP50" s="10"/>
      <c r="AQ50" s="82"/>
      <c r="AR50" s="10"/>
      <c r="AS50" s="10"/>
      <c r="AT50" s="10"/>
      <c r="AU50" s="10"/>
      <c r="AV50" s="82"/>
      <c r="AW50" s="83" t="s">
        <v>113</v>
      </c>
      <c r="AX50" s="86">
        <v>39933934000016</v>
      </c>
      <c r="AY50" s="83" t="s">
        <v>114</v>
      </c>
      <c r="AZ50" s="87" t="s">
        <v>258</v>
      </c>
      <c r="BA50" s="82"/>
      <c r="BB50" s="10"/>
      <c r="BC50" s="10"/>
      <c r="BD50" s="10"/>
      <c r="BE50" s="10"/>
      <c r="BF50" s="82"/>
      <c r="BG50" s="10"/>
      <c r="BH50" s="10"/>
      <c r="BI50" s="10"/>
      <c r="BJ50" s="10"/>
      <c r="BK50" s="82"/>
      <c r="BL50" s="83" t="s">
        <v>113</v>
      </c>
      <c r="BM50" s="86">
        <v>39933934000016</v>
      </c>
      <c r="BN50" s="83" t="s">
        <v>114</v>
      </c>
      <c r="BO50" s="83"/>
      <c r="BP50" s="83" t="s">
        <v>125</v>
      </c>
      <c r="BQ50" s="82"/>
      <c r="BR50" s="10"/>
      <c r="BS50" s="10"/>
      <c r="BT50" s="10"/>
      <c r="BU50" s="10"/>
      <c r="BV50" s="82"/>
      <c r="BW50" s="108" t="s">
        <v>130</v>
      </c>
      <c r="BX50" s="86"/>
      <c r="BY50" s="83"/>
      <c r="BZ50" s="83"/>
      <c r="CA50" s="83" t="s">
        <v>191</v>
      </c>
      <c r="CB50" s="83" t="s">
        <v>132</v>
      </c>
      <c r="CC50" s="82"/>
      <c r="CD50" s="10"/>
      <c r="CE50" s="10"/>
      <c r="CF50" s="10"/>
      <c r="CG50" s="10"/>
    </row>
    <row r="51" spans="1:85" ht="15.75" customHeight="1">
      <c r="A51" s="1"/>
      <c r="B51" s="127" t="s">
        <v>512</v>
      </c>
      <c r="C51" s="128" t="s">
        <v>159</v>
      </c>
      <c r="D51" s="142"/>
      <c r="E51" s="91"/>
      <c r="F51" s="65"/>
      <c r="G51" s="94"/>
      <c r="H51" s="94"/>
      <c r="I51" s="94"/>
      <c r="J51" s="94"/>
      <c r="K51" s="94"/>
      <c r="L51" s="65"/>
      <c r="M51" s="91" t="s">
        <v>11</v>
      </c>
      <c r="N51" s="91" t="s">
        <v>12</v>
      </c>
      <c r="O51" s="92" t="s">
        <v>2368</v>
      </c>
      <c r="P51" s="91" t="s">
        <v>13</v>
      </c>
      <c r="Q51" s="65"/>
      <c r="R51" s="91"/>
      <c r="S51" s="91"/>
      <c r="T51" s="91"/>
      <c r="U51" s="91"/>
      <c r="V51" s="65"/>
      <c r="W51" s="91"/>
      <c r="X51" s="91"/>
      <c r="Y51" s="91"/>
      <c r="Z51" s="91"/>
      <c r="AA51" s="91"/>
      <c r="AB51" s="91"/>
      <c r="AC51" s="91"/>
      <c r="AD51" s="65"/>
      <c r="AE51" s="94" t="s">
        <v>112</v>
      </c>
      <c r="AF51" s="94" t="s">
        <v>112</v>
      </c>
      <c r="AG51" s="65"/>
      <c r="AH51" s="94" t="s">
        <v>113</v>
      </c>
      <c r="AI51" s="112">
        <v>39933934000016</v>
      </c>
      <c r="AJ51" s="112"/>
      <c r="AK51" s="94" t="s">
        <v>2294</v>
      </c>
      <c r="AL51" s="65"/>
      <c r="AM51" s="91"/>
      <c r="AN51" s="91"/>
      <c r="AO51" s="91"/>
      <c r="AP51" s="91"/>
      <c r="AQ51" s="65"/>
      <c r="AR51" s="91"/>
      <c r="AS51" s="91"/>
      <c r="AT51" s="91"/>
      <c r="AU51" s="91"/>
      <c r="AV51" s="65"/>
      <c r="AW51" s="94" t="s">
        <v>113</v>
      </c>
      <c r="AX51" s="112">
        <v>39933934000016</v>
      </c>
      <c r="AY51" s="94" t="s">
        <v>114</v>
      </c>
      <c r="AZ51" s="104" t="s">
        <v>258</v>
      </c>
      <c r="BA51" s="65"/>
      <c r="BB51" s="91"/>
      <c r="BC51" s="91"/>
      <c r="BD51" s="91"/>
      <c r="BE51" s="91"/>
      <c r="BF51" s="65"/>
      <c r="BG51" s="91"/>
      <c r="BH51" s="91"/>
      <c r="BI51" s="91"/>
      <c r="BJ51" s="91"/>
      <c r="BK51" s="65"/>
      <c r="BL51" s="94" t="s">
        <v>113</v>
      </c>
      <c r="BM51" s="112">
        <v>39933934000016</v>
      </c>
      <c r="BN51" s="94" t="s">
        <v>114</v>
      </c>
      <c r="BO51" s="94"/>
      <c r="BP51" s="94" t="s">
        <v>125</v>
      </c>
      <c r="BQ51" s="65"/>
      <c r="BR51" s="91"/>
      <c r="BS51" s="91"/>
      <c r="BT51" s="91"/>
      <c r="BU51" s="91"/>
      <c r="BV51" s="65"/>
      <c r="BW51" s="102" t="s">
        <v>130</v>
      </c>
      <c r="BX51" s="112">
        <v>33818576200048</v>
      </c>
      <c r="BY51" s="94" t="s">
        <v>490</v>
      </c>
      <c r="BZ51" s="94"/>
      <c r="CA51" s="94" t="s">
        <v>166</v>
      </c>
      <c r="CB51" s="94" t="s">
        <v>167</v>
      </c>
      <c r="CC51" s="65"/>
      <c r="CD51" s="91"/>
      <c r="CE51" s="91"/>
      <c r="CF51" s="91"/>
      <c r="CG51" s="91"/>
    </row>
    <row r="52" spans="1:85" ht="15.75" customHeight="1">
      <c r="A52" s="43"/>
      <c r="B52" s="129" t="s">
        <v>224</v>
      </c>
      <c r="C52" s="130" t="s">
        <v>225</v>
      </c>
      <c r="D52" s="141"/>
      <c r="E52" s="10"/>
      <c r="F52" s="82"/>
      <c r="G52" s="83" t="s">
        <v>112</v>
      </c>
      <c r="H52" s="83" t="s">
        <v>112</v>
      </c>
      <c r="I52" s="83" t="s">
        <v>112</v>
      </c>
      <c r="J52" s="83" t="s">
        <v>112</v>
      </c>
      <c r="K52" s="83" t="s">
        <v>112</v>
      </c>
      <c r="L52" s="82"/>
      <c r="M52" s="10" t="s">
        <v>11</v>
      </c>
      <c r="N52" s="10" t="s">
        <v>12</v>
      </c>
      <c r="O52" s="84" t="s">
        <v>2369</v>
      </c>
      <c r="P52" s="10" t="s">
        <v>13</v>
      </c>
      <c r="Q52" s="82"/>
      <c r="R52" s="10"/>
      <c r="S52" s="10"/>
      <c r="T52" s="10"/>
      <c r="U52" s="10"/>
      <c r="V52" s="82"/>
      <c r="W52" s="10"/>
      <c r="X52" s="10"/>
      <c r="Y52" s="10"/>
      <c r="Z52" s="10"/>
      <c r="AA52" s="10"/>
      <c r="AB52" s="10"/>
      <c r="AC52" s="10"/>
      <c r="AD52" s="82"/>
      <c r="AE52" s="83" t="s">
        <v>112</v>
      </c>
      <c r="AF52" s="83" t="s">
        <v>112</v>
      </c>
      <c r="AG52" s="82"/>
      <c r="AH52" s="83" t="s">
        <v>2338</v>
      </c>
      <c r="AI52" s="86">
        <v>55850281100182</v>
      </c>
      <c r="AJ52" s="86"/>
      <c r="AK52" s="83" t="s">
        <v>2339</v>
      </c>
      <c r="AL52" s="82"/>
      <c r="AM52" s="10"/>
      <c r="AN52" s="10"/>
      <c r="AO52" s="10"/>
      <c r="AP52" s="10"/>
      <c r="AQ52" s="82"/>
      <c r="AR52" s="10"/>
      <c r="AS52" s="10"/>
      <c r="AT52" s="10"/>
      <c r="AU52" s="10"/>
      <c r="AV52" s="82"/>
      <c r="AW52" s="131" t="s">
        <v>317</v>
      </c>
      <c r="AX52" s="86">
        <v>50390796600017</v>
      </c>
      <c r="AY52" s="131" t="s">
        <v>319</v>
      </c>
      <c r="AZ52" s="132" t="s">
        <v>320</v>
      </c>
      <c r="BA52" s="82"/>
      <c r="BB52" s="10"/>
      <c r="BC52" s="10"/>
      <c r="BD52" s="10"/>
      <c r="BE52" s="10"/>
      <c r="BF52" s="82"/>
      <c r="BG52" s="10"/>
      <c r="BH52" s="10"/>
      <c r="BI52" s="10"/>
      <c r="BJ52" s="10"/>
      <c r="BK52" s="82"/>
      <c r="BL52" s="87" t="s">
        <v>321</v>
      </c>
      <c r="BM52" s="116">
        <v>55850281100547</v>
      </c>
      <c r="BN52" s="87" t="s">
        <v>2340</v>
      </c>
      <c r="BO52" s="87"/>
      <c r="BP52" s="83" t="s">
        <v>165</v>
      </c>
      <c r="BQ52" s="82"/>
      <c r="BR52" s="10"/>
      <c r="BS52" s="10"/>
      <c r="BT52" s="10"/>
      <c r="BU52" s="10"/>
      <c r="BV52" s="82"/>
      <c r="BW52" s="87" t="s">
        <v>321</v>
      </c>
      <c r="BX52" s="116">
        <v>65382053001073</v>
      </c>
      <c r="BY52" s="87" t="s">
        <v>2340</v>
      </c>
      <c r="BZ52" s="87"/>
      <c r="CA52" s="83" t="s">
        <v>131</v>
      </c>
      <c r="CB52" s="83" t="s">
        <v>132</v>
      </c>
      <c r="CC52" s="82"/>
      <c r="CD52" s="10"/>
      <c r="CE52" s="10"/>
      <c r="CF52" s="10"/>
      <c r="CG52" s="10"/>
    </row>
    <row r="53" spans="1:85" ht="15.75" customHeight="1">
      <c r="A53" s="1"/>
      <c r="B53" s="136" t="s">
        <v>515</v>
      </c>
      <c r="C53" s="128" t="s">
        <v>242</v>
      </c>
      <c r="D53" s="142"/>
      <c r="E53" s="91"/>
      <c r="F53" s="65"/>
      <c r="G53" s="94"/>
      <c r="H53" s="94"/>
      <c r="I53" s="94"/>
      <c r="J53" s="94"/>
      <c r="K53" s="94"/>
      <c r="L53" s="65"/>
      <c r="M53" s="91" t="s">
        <v>11</v>
      </c>
      <c r="N53" s="91" t="s">
        <v>12</v>
      </c>
      <c r="O53" s="92" t="s">
        <v>2370</v>
      </c>
      <c r="P53" s="91" t="s">
        <v>13</v>
      </c>
      <c r="Q53" s="65"/>
      <c r="R53" s="91"/>
      <c r="S53" s="91"/>
      <c r="T53" s="91"/>
      <c r="U53" s="91"/>
      <c r="V53" s="65"/>
      <c r="W53" s="91"/>
      <c r="X53" s="91"/>
      <c r="Y53" s="91"/>
      <c r="Z53" s="91"/>
      <c r="AA53" s="91"/>
      <c r="AB53" s="91"/>
      <c r="AC53" s="91"/>
      <c r="AD53" s="65"/>
      <c r="AE53" s="94" t="s">
        <v>112</v>
      </c>
      <c r="AF53" s="94" t="s">
        <v>112</v>
      </c>
      <c r="AG53" s="65"/>
      <c r="AH53" s="94" t="s">
        <v>113</v>
      </c>
      <c r="AI53" s="112">
        <v>39933934000016</v>
      </c>
      <c r="AJ53" s="112"/>
      <c r="AK53" s="94" t="s">
        <v>2294</v>
      </c>
      <c r="AL53" s="65"/>
      <c r="AM53" s="91"/>
      <c r="AN53" s="91"/>
      <c r="AO53" s="91"/>
      <c r="AP53" s="91"/>
      <c r="AQ53" s="65"/>
      <c r="AR53" s="91"/>
      <c r="AS53" s="91"/>
      <c r="AT53" s="91"/>
      <c r="AU53" s="91"/>
      <c r="AV53" s="65"/>
      <c r="AW53" s="94" t="s">
        <v>113</v>
      </c>
      <c r="AX53" s="112">
        <v>39933934000016</v>
      </c>
      <c r="AY53" s="94" t="s">
        <v>114</v>
      </c>
      <c r="AZ53" s="104" t="s">
        <v>258</v>
      </c>
      <c r="BA53" s="65"/>
      <c r="BB53" s="91"/>
      <c r="BC53" s="91"/>
      <c r="BD53" s="91"/>
      <c r="BE53" s="91"/>
      <c r="BF53" s="65"/>
      <c r="BG53" s="91"/>
      <c r="BH53" s="91"/>
      <c r="BI53" s="91"/>
      <c r="BJ53" s="91"/>
      <c r="BK53" s="65"/>
      <c r="BL53" s="94" t="s">
        <v>113</v>
      </c>
      <c r="BM53" s="112">
        <v>39933934000016</v>
      </c>
      <c r="BN53" s="94" t="s">
        <v>114</v>
      </c>
      <c r="BO53" s="94"/>
      <c r="BP53" s="94" t="s">
        <v>517</v>
      </c>
      <c r="BQ53" s="65"/>
      <c r="BR53" s="91"/>
      <c r="BS53" s="91"/>
      <c r="BT53" s="91"/>
      <c r="BU53" s="91"/>
      <c r="BV53" s="65"/>
      <c r="BW53" s="94" t="s">
        <v>518</v>
      </c>
      <c r="BX53" s="104" t="s">
        <v>2371</v>
      </c>
      <c r="BY53" s="94" t="s">
        <v>519</v>
      </c>
      <c r="BZ53" s="94"/>
      <c r="CA53" s="94" t="s">
        <v>216</v>
      </c>
      <c r="CB53" s="105" t="s">
        <v>294</v>
      </c>
      <c r="CC53" s="65"/>
      <c r="CD53" s="91"/>
      <c r="CE53" s="91"/>
      <c r="CF53" s="91"/>
      <c r="CG53" s="91"/>
    </row>
    <row r="54" spans="1:85" ht="15.75" customHeight="1">
      <c r="A54" s="43"/>
      <c r="B54" s="153" t="s">
        <v>520</v>
      </c>
      <c r="C54" s="130" t="s">
        <v>521</v>
      </c>
      <c r="D54" s="141"/>
      <c r="E54" s="10"/>
      <c r="F54" s="82"/>
      <c r="G54" s="83" t="s">
        <v>112</v>
      </c>
      <c r="H54" s="83" t="s">
        <v>112</v>
      </c>
      <c r="I54" s="83" t="s">
        <v>112</v>
      </c>
      <c r="J54" s="83" t="s">
        <v>112</v>
      </c>
      <c r="K54" s="83" t="s">
        <v>112</v>
      </c>
      <c r="L54" s="82"/>
      <c r="M54" s="10" t="s">
        <v>11</v>
      </c>
      <c r="N54" s="10" t="s">
        <v>12</v>
      </c>
      <c r="O54" s="84" t="s">
        <v>2372</v>
      </c>
      <c r="P54" s="10" t="s">
        <v>13</v>
      </c>
      <c r="Q54" s="82"/>
      <c r="R54" s="10"/>
      <c r="S54" s="10"/>
      <c r="T54" s="10"/>
      <c r="U54" s="10"/>
      <c r="V54" s="82"/>
      <c r="W54" s="10"/>
      <c r="X54" s="10"/>
      <c r="Y54" s="10"/>
      <c r="Z54" s="10"/>
      <c r="AA54" s="10"/>
      <c r="AB54" s="10"/>
      <c r="AC54" s="10"/>
      <c r="AD54" s="82"/>
      <c r="AE54" s="83" t="s">
        <v>112</v>
      </c>
      <c r="AF54" s="83" t="s">
        <v>112</v>
      </c>
      <c r="AG54" s="82"/>
      <c r="AH54" s="83" t="s">
        <v>112</v>
      </c>
      <c r="AI54" s="86" t="s">
        <v>112</v>
      </c>
      <c r="AJ54" s="86"/>
      <c r="AK54" s="83" t="s">
        <v>112</v>
      </c>
      <c r="AL54" s="82"/>
      <c r="AM54" s="10"/>
      <c r="AN54" s="10"/>
      <c r="AO54" s="10"/>
      <c r="AP54" s="10"/>
      <c r="AQ54" s="82"/>
      <c r="AR54" s="10"/>
      <c r="AS54" s="10"/>
      <c r="AT54" s="10"/>
      <c r="AU54" s="10"/>
      <c r="AV54" s="82"/>
      <c r="AW54" s="131" t="s">
        <v>479</v>
      </c>
      <c r="AX54" s="86">
        <v>30002217500107</v>
      </c>
      <c r="AY54" s="131" t="s">
        <v>481</v>
      </c>
      <c r="AZ54" s="87" t="s">
        <v>2359</v>
      </c>
      <c r="BA54" s="82"/>
      <c r="BB54" s="10"/>
      <c r="BC54" s="10"/>
      <c r="BD54" s="10"/>
      <c r="BE54" s="10"/>
      <c r="BF54" s="82"/>
      <c r="BG54" s="10"/>
      <c r="BH54" s="10"/>
      <c r="BI54" s="10"/>
      <c r="BJ54" s="10"/>
      <c r="BK54" s="82"/>
      <c r="BL54" s="83" t="s">
        <v>479</v>
      </c>
      <c r="BM54" s="86">
        <v>30002217500107</v>
      </c>
      <c r="BN54" s="83" t="s">
        <v>481</v>
      </c>
      <c r="BO54" s="83"/>
      <c r="BP54" s="109" t="s">
        <v>215</v>
      </c>
      <c r="BQ54" s="82"/>
      <c r="BR54" s="10"/>
      <c r="BS54" s="10"/>
      <c r="BT54" s="10"/>
      <c r="BU54" s="10"/>
      <c r="BV54" s="82"/>
      <c r="BW54" s="83" t="s">
        <v>523</v>
      </c>
      <c r="BX54" s="86">
        <v>81750259400036</v>
      </c>
      <c r="BY54" s="83" t="s">
        <v>525</v>
      </c>
      <c r="BZ54" s="83"/>
      <c r="CA54" s="83" t="s">
        <v>526</v>
      </c>
      <c r="CB54" s="83" t="s">
        <v>527</v>
      </c>
      <c r="CC54" s="82"/>
      <c r="CD54" s="10"/>
      <c r="CE54" s="10"/>
      <c r="CF54" s="10"/>
      <c r="CG54" s="10"/>
    </row>
    <row r="55" spans="1:85" ht="15.75" customHeight="1">
      <c r="A55" s="43"/>
      <c r="B55" s="149"/>
      <c r="C55" s="130" t="s">
        <v>521</v>
      </c>
      <c r="D55" s="141"/>
      <c r="E55" s="10"/>
      <c r="F55" s="82"/>
      <c r="G55" s="83" t="s">
        <v>112</v>
      </c>
      <c r="H55" s="83" t="s">
        <v>112</v>
      </c>
      <c r="I55" s="83" t="s">
        <v>112</v>
      </c>
      <c r="J55" s="83" t="s">
        <v>112</v>
      </c>
      <c r="K55" s="83" t="s">
        <v>112</v>
      </c>
      <c r="L55" s="82"/>
      <c r="M55" s="10" t="s">
        <v>11</v>
      </c>
      <c r="N55" s="10" t="s">
        <v>12</v>
      </c>
      <c r="O55" s="84" t="s">
        <v>2373</v>
      </c>
      <c r="P55" s="10" t="s">
        <v>13</v>
      </c>
      <c r="Q55" s="82"/>
      <c r="R55" s="10"/>
      <c r="S55" s="10"/>
      <c r="T55" s="10"/>
      <c r="U55" s="10"/>
      <c r="V55" s="82"/>
      <c r="W55" s="10"/>
      <c r="X55" s="10"/>
      <c r="Y55" s="10"/>
      <c r="Z55" s="10"/>
      <c r="AA55" s="10"/>
      <c r="AB55" s="10"/>
      <c r="AC55" s="10"/>
      <c r="AD55" s="82"/>
      <c r="AE55" s="83" t="s">
        <v>112</v>
      </c>
      <c r="AF55" s="83" t="s">
        <v>112</v>
      </c>
      <c r="AG55" s="82"/>
      <c r="AH55" s="83" t="s">
        <v>112</v>
      </c>
      <c r="AI55" s="83" t="s">
        <v>112</v>
      </c>
      <c r="AJ55" s="83"/>
      <c r="AK55" s="83" t="s">
        <v>112</v>
      </c>
      <c r="AL55" s="82"/>
      <c r="AM55" s="10"/>
      <c r="AN55" s="10"/>
      <c r="AO55" s="10"/>
      <c r="AP55" s="10"/>
      <c r="AQ55" s="82"/>
      <c r="AR55" s="10"/>
      <c r="AS55" s="10"/>
      <c r="AT55" s="10"/>
      <c r="AU55" s="10"/>
      <c r="AV55" s="82"/>
      <c r="AW55" s="131" t="s">
        <v>479</v>
      </c>
      <c r="AX55" s="86">
        <v>30002217500107</v>
      </c>
      <c r="AY55" s="131" t="s">
        <v>481</v>
      </c>
      <c r="AZ55" s="87" t="s">
        <v>2359</v>
      </c>
      <c r="BA55" s="82"/>
      <c r="BB55" s="10"/>
      <c r="BC55" s="10"/>
      <c r="BD55" s="10"/>
      <c r="BE55" s="10"/>
      <c r="BF55" s="82"/>
      <c r="BG55" s="10"/>
      <c r="BH55" s="10"/>
      <c r="BI55" s="10"/>
      <c r="BJ55" s="10"/>
      <c r="BK55" s="82"/>
      <c r="BL55" s="83" t="s">
        <v>479</v>
      </c>
      <c r="BM55" s="86">
        <v>30002217500107</v>
      </c>
      <c r="BN55" s="83" t="s">
        <v>481</v>
      </c>
      <c r="BO55" s="83"/>
      <c r="BP55" s="109" t="s">
        <v>215</v>
      </c>
      <c r="BQ55" s="82"/>
      <c r="BR55" s="10"/>
      <c r="BS55" s="10"/>
      <c r="BT55" s="10"/>
      <c r="BU55" s="10"/>
      <c r="BV55" s="82"/>
      <c r="BW55" s="83" t="s">
        <v>529</v>
      </c>
      <c r="BX55" s="86">
        <v>20006787400079</v>
      </c>
      <c r="BY55" s="83" t="s">
        <v>531</v>
      </c>
      <c r="BZ55" s="83"/>
      <c r="CA55" s="83" t="s">
        <v>532</v>
      </c>
      <c r="CB55" s="83" t="s">
        <v>533</v>
      </c>
      <c r="CC55" s="82"/>
      <c r="CD55" s="10"/>
      <c r="CE55" s="10"/>
      <c r="CF55" s="10"/>
      <c r="CG55" s="10"/>
    </row>
    <row r="56" spans="1:85" ht="15.75" customHeight="1">
      <c r="A56" s="1"/>
      <c r="B56" s="136" t="s">
        <v>254</v>
      </c>
      <c r="C56" s="128" t="s">
        <v>255</v>
      </c>
      <c r="D56" s="142"/>
      <c r="E56" s="91"/>
      <c r="F56" s="65"/>
      <c r="G56" s="91"/>
      <c r="H56" s="91"/>
      <c r="I56" s="91"/>
      <c r="J56" s="91"/>
      <c r="K56" s="91"/>
      <c r="L56" s="65"/>
      <c r="M56" s="91" t="s">
        <v>11</v>
      </c>
      <c r="N56" s="91" t="s">
        <v>12</v>
      </c>
      <c r="O56" s="92" t="s">
        <v>2374</v>
      </c>
      <c r="P56" s="91" t="s">
        <v>13</v>
      </c>
      <c r="Q56" s="65"/>
      <c r="R56" s="91"/>
      <c r="S56" s="91"/>
      <c r="T56" s="91"/>
      <c r="U56" s="91"/>
      <c r="V56" s="65"/>
      <c r="W56" s="91"/>
      <c r="X56" s="91"/>
      <c r="Y56" s="91"/>
      <c r="Z56" s="91"/>
      <c r="AA56" s="91"/>
      <c r="AB56" s="91"/>
      <c r="AC56" s="91"/>
      <c r="AD56" s="65"/>
      <c r="AE56" s="94" t="s">
        <v>112</v>
      </c>
      <c r="AF56" s="94" t="s">
        <v>112</v>
      </c>
      <c r="AG56" s="65"/>
      <c r="AH56" s="94" t="s">
        <v>113</v>
      </c>
      <c r="AI56" s="112">
        <v>39933934000016</v>
      </c>
      <c r="AJ56" s="112"/>
      <c r="AK56" s="94" t="s">
        <v>2294</v>
      </c>
      <c r="AL56" s="65"/>
      <c r="AM56" s="91"/>
      <c r="AN56" s="91"/>
      <c r="AO56" s="91"/>
      <c r="AP56" s="91"/>
      <c r="AQ56" s="65"/>
      <c r="AR56" s="91"/>
      <c r="AS56" s="91"/>
      <c r="AT56" s="91"/>
      <c r="AU56" s="91"/>
      <c r="AV56" s="65"/>
      <c r="AW56" s="94" t="s">
        <v>113</v>
      </c>
      <c r="AX56" s="112">
        <v>39933934000016</v>
      </c>
      <c r="AY56" s="94" t="s">
        <v>114</v>
      </c>
      <c r="AZ56" s="104" t="s">
        <v>258</v>
      </c>
      <c r="BA56" s="65"/>
      <c r="BB56" s="91"/>
      <c r="BC56" s="91"/>
      <c r="BD56" s="91"/>
      <c r="BE56" s="91"/>
      <c r="BF56" s="65"/>
      <c r="BG56" s="91"/>
      <c r="BH56" s="91"/>
      <c r="BI56" s="91"/>
      <c r="BJ56" s="91"/>
      <c r="BK56" s="65"/>
      <c r="BL56" s="94" t="s">
        <v>113</v>
      </c>
      <c r="BM56" s="112">
        <v>39933934000016</v>
      </c>
      <c r="BN56" s="94" t="s">
        <v>114</v>
      </c>
      <c r="BO56" s="94"/>
      <c r="BP56" s="94" t="s">
        <v>125</v>
      </c>
      <c r="BQ56" s="65"/>
      <c r="BR56" s="91"/>
      <c r="BS56" s="91"/>
      <c r="BT56" s="91"/>
      <c r="BU56" s="91"/>
      <c r="BV56" s="65"/>
      <c r="BW56" s="102" t="s">
        <v>130</v>
      </c>
      <c r="BX56" s="112"/>
      <c r="BY56" s="94"/>
      <c r="BZ56" s="94"/>
      <c r="CA56" s="94" t="s">
        <v>166</v>
      </c>
      <c r="CB56" s="94" t="s">
        <v>167</v>
      </c>
      <c r="CC56" s="65"/>
      <c r="CD56" s="91"/>
      <c r="CE56" s="91"/>
      <c r="CF56" s="91"/>
      <c r="CG56" s="91"/>
    </row>
    <row r="57" spans="1:85" ht="15.75" customHeight="1">
      <c r="A57" s="43"/>
      <c r="B57" s="153" t="s">
        <v>535</v>
      </c>
      <c r="C57" s="130" t="s">
        <v>261</v>
      </c>
      <c r="D57" s="99" t="s">
        <v>536</v>
      </c>
      <c r="E57" s="10"/>
      <c r="F57" s="82"/>
      <c r="G57" s="10"/>
      <c r="H57" s="10"/>
      <c r="I57" s="10"/>
      <c r="J57" s="10"/>
      <c r="K57" s="10"/>
      <c r="L57" s="82"/>
      <c r="M57" s="10" t="s">
        <v>11</v>
      </c>
      <c r="N57" s="10" t="s">
        <v>12</v>
      </c>
      <c r="O57" s="84" t="s">
        <v>2375</v>
      </c>
      <c r="P57" s="10" t="s">
        <v>13</v>
      </c>
      <c r="Q57" s="82"/>
      <c r="R57" s="10"/>
      <c r="S57" s="10"/>
      <c r="T57" s="10"/>
      <c r="U57" s="10"/>
      <c r="V57" s="82"/>
      <c r="W57" s="10" t="s">
        <v>538</v>
      </c>
      <c r="X57" s="10"/>
      <c r="Y57" s="10"/>
      <c r="Z57" s="10"/>
      <c r="AA57" s="10"/>
      <c r="AB57" s="10"/>
      <c r="AC57" s="10"/>
      <c r="AD57" s="82"/>
      <c r="AE57" s="83" t="s">
        <v>112</v>
      </c>
      <c r="AF57" s="83" t="s">
        <v>112</v>
      </c>
      <c r="AG57" s="82"/>
      <c r="AH57" s="83" t="s">
        <v>113</v>
      </c>
      <c r="AI57" s="86">
        <v>39933934000016</v>
      </c>
      <c r="AJ57" s="86"/>
      <c r="AK57" s="83" t="s">
        <v>2294</v>
      </c>
      <c r="AL57" s="82"/>
      <c r="AM57" s="10"/>
      <c r="AN57" s="10"/>
      <c r="AO57" s="10"/>
      <c r="AP57" s="10"/>
      <c r="AQ57" s="82"/>
      <c r="AR57" s="10"/>
      <c r="AS57" s="10"/>
      <c r="AT57" s="10"/>
      <c r="AU57" s="10"/>
      <c r="AV57" s="82"/>
      <c r="AW57" s="83" t="s">
        <v>113</v>
      </c>
      <c r="AX57" s="86">
        <v>39933934000016</v>
      </c>
      <c r="AY57" s="83" t="s">
        <v>114</v>
      </c>
      <c r="AZ57" s="87" t="s">
        <v>258</v>
      </c>
      <c r="BA57" s="82"/>
      <c r="BB57" s="10"/>
      <c r="BC57" s="10"/>
      <c r="BD57" s="10"/>
      <c r="BE57" s="10"/>
      <c r="BF57" s="82"/>
      <c r="BG57" s="10"/>
      <c r="BH57" s="10"/>
      <c r="BI57" s="10"/>
      <c r="BJ57" s="10"/>
      <c r="BK57" s="82"/>
      <c r="BL57" s="83" t="s">
        <v>113</v>
      </c>
      <c r="BM57" s="86">
        <v>39933934000016</v>
      </c>
      <c r="BN57" s="83" t="s">
        <v>114</v>
      </c>
      <c r="BO57" s="83"/>
      <c r="BP57" s="83" t="s">
        <v>125</v>
      </c>
      <c r="BQ57" s="82"/>
      <c r="BR57" s="10"/>
      <c r="BS57" s="10"/>
      <c r="BT57" s="10"/>
      <c r="BU57" s="10"/>
      <c r="BV57" s="82"/>
      <c r="BW57" s="108" t="s">
        <v>130</v>
      </c>
      <c r="BX57" s="86"/>
      <c r="BY57" s="83"/>
      <c r="BZ57" s="83"/>
      <c r="CA57" s="83" t="s">
        <v>166</v>
      </c>
      <c r="CB57" s="83" t="s">
        <v>167</v>
      </c>
      <c r="CC57" s="82"/>
      <c r="CD57" s="10"/>
      <c r="CE57" s="10"/>
      <c r="CF57" s="10"/>
      <c r="CG57" s="10"/>
    </row>
    <row r="58" spans="1:85" ht="15.75" customHeight="1">
      <c r="A58" s="43"/>
      <c r="B58" s="154"/>
      <c r="C58" s="130" t="s">
        <v>261</v>
      </c>
      <c r="D58" s="99" t="s">
        <v>536</v>
      </c>
      <c r="E58" s="10"/>
      <c r="F58" s="82"/>
      <c r="G58" s="10"/>
      <c r="H58" s="10"/>
      <c r="I58" s="10"/>
      <c r="J58" s="10"/>
      <c r="K58" s="10"/>
      <c r="L58" s="82"/>
      <c r="M58" s="10" t="s">
        <v>11</v>
      </c>
      <c r="N58" s="10" t="s">
        <v>12</v>
      </c>
      <c r="O58" s="84" t="s">
        <v>2376</v>
      </c>
      <c r="P58" s="10" t="s">
        <v>13</v>
      </c>
      <c r="Q58" s="82"/>
      <c r="R58" s="10"/>
      <c r="S58" s="10"/>
      <c r="T58" s="10"/>
      <c r="U58" s="10"/>
      <c r="V58" s="82"/>
      <c r="W58" s="10" t="s">
        <v>538</v>
      </c>
      <c r="X58" s="10"/>
      <c r="Y58" s="10"/>
      <c r="Z58" s="10"/>
      <c r="AA58" s="10"/>
      <c r="AB58" s="10"/>
      <c r="AC58" s="10"/>
      <c r="AD58" s="82"/>
      <c r="AE58" s="83" t="s">
        <v>112</v>
      </c>
      <c r="AF58" s="83" t="s">
        <v>112</v>
      </c>
      <c r="AG58" s="82"/>
      <c r="AH58" s="83" t="s">
        <v>113</v>
      </c>
      <c r="AI58" s="86">
        <v>39933934000016</v>
      </c>
      <c r="AJ58" s="86"/>
      <c r="AK58" s="83" t="s">
        <v>2294</v>
      </c>
      <c r="AL58" s="82"/>
      <c r="AM58" s="10"/>
      <c r="AN58" s="10"/>
      <c r="AO58" s="10"/>
      <c r="AP58" s="10"/>
      <c r="AQ58" s="82"/>
      <c r="AR58" s="10"/>
      <c r="AS58" s="10"/>
      <c r="AT58" s="10"/>
      <c r="AU58" s="10"/>
      <c r="AV58" s="82"/>
      <c r="AW58" s="83" t="s">
        <v>113</v>
      </c>
      <c r="AX58" s="86">
        <v>39933934000016</v>
      </c>
      <c r="AY58" s="83" t="s">
        <v>114</v>
      </c>
      <c r="AZ58" s="87" t="s">
        <v>115</v>
      </c>
      <c r="BA58" s="82"/>
      <c r="BB58" s="10"/>
      <c r="BC58" s="10"/>
      <c r="BD58" s="10"/>
      <c r="BE58" s="10"/>
      <c r="BF58" s="82"/>
      <c r="BG58" s="10"/>
      <c r="BH58" s="10"/>
      <c r="BI58" s="10"/>
      <c r="BJ58" s="10"/>
      <c r="BK58" s="82"/>
      <c r="BL58" s="83" t="s">
        <v>113</v>
      </c>
      <c r="BM58" s="86">
        <v>39933934000016</v>
      </c>
      <c r="BN58" s="83" t="s">
        <v>114</v>
      </c>
      <c r="BO58" s="83"/>
      <c r="BP58" s="83" t="s">
        <v>125</v>
      </c>
      <c r="BQ58" s="82"/>
      <c r="BR58" s="10"/>
      <c r="BS58" s="10"/>
      <c r="BT58" s="10"/>
      <c r="BU58" s="10"/>
      <c r="BV58" s="82"/>
      <c r="BW58" s="108" t="s">
        <v>130</v>
      </c>
      <c r="BX58" s="86"/>
      <c r="BY58" s="83"/>
      <c r="BZ58" s="83"/>
      <c r="CA58" s="83" t="s">
        <v>166</v>
      </c>
      <c r="CB58" s="83" t="s">
        <v>167</v>
      </c>
      <c r="CC58" s="82"/>
      <c r="CD58" s="10"/>
      <c r="CE58" s="10"/>
      <c r="CF58" s="10"/>
      <c r="CG58" s="10"/>
    </row>
    <row r="59" spans="1:85" ht="15.75" customHeight="1">
      <c r="A59" s="43"/>
      <c r="B59" s="154"/>
      <c r="C59" s="130" t="s">
        <v>261</v>
      </c>
      <c r="D59" s="99" t="s">
        <v>540</v>
      </c>
      <c r="E59" s="10"/>
      <c r="F59" s="82"/>
      <c r="G59" s="10"/>
      <c r="H59" s="10"/>
      <c r="I59" s="10"/>
      <c r="J59" s="10"/>
      <c r="K59" s="10"/>
      <c r="L59" s="82"/>
      <c r="M59" s="10" t="s">
        <v>11</v>
      </c>
      <c r="N59" s="10" t="s">
        <v>12</v>
      </c>
      <c r="O59" s="84" t="s">
        <v>2377</v>
      </c>
      <c r="P59" s="10" t="s">
        <v>13</v>
      </c>
      <c r="Q59" s="82"/>
      <c r="R59" s="10"/>
      <c r="S59" s="10"/>
      <c r="T59" s="10"/>
      <c r="U59" s="10"/>
      <c r="V59" s="82"/>
      <c r="W59" s="10" t="s">
        <v>108</v>
      </c>
      <c r="X59" s="10"/>
      <c r="Y59" s="10"/>
      <c r="Z59" s="10"/>
      <c r="AA59" s="10"/>
      <c r="AB59" s="10"/>
      <c r="AC59" s="10"/>
      <c r="AD59" s="82"/>
      <c r="AE59" s="83" t="s">
        <v>112</v>
      </c>
      <c r="AF59" s="83" t="s">
        <v>112</v>
      </c>
      <c r="AG59" s="82"/>
      <c r="AH59" s="83" t="s">
        <v>113</v>
      </c>
      <c r="AI59" s="86">
        <v>39933934000016</v>
      </c>
      <c r="AJ59" s="86"/>
      <c r="AK59" s="83" t="s">
        <v>2294</v>
      </c>
      <c r="AL59" s="82"/>
      <c r="AM59" s="10"/>
      <c r="AN59" s="10"/>
      <c r="AO59" s="10"/>
      <c r="AP59" s="10"/>
      <c r="AQ59" s="82"/>
      <c r="AR59" s="10"/>
      <c r="AS59" s="10"/>
      <c r="AT59" s="10"/>
      <c r="AU59" s="10"/>
      <c r="AV59" s="82"/>
      <c r="AW59" s="83" t="s">
        <v>113</v>
      </c>
      <c r="AX59" s="86">
        <v>39933934000016</v>
      </c>
      <c r="AY59" s="83" t="s">
        <v>114</v>
      </c>
      <c r="AZ59" s="87" t="s">
        <v>258</v>
      </c>
      <c r="BA59" s="82"/>
      <c r="BB59" s="10"/>
      <c r="BC59" s="10"/>
      <c r="BD59" s="10"/>
      <c r="BE59" s="10"/>
      <c r="BF59" s="82"/>
      <c r="BG59" s="10"/>
      <c r="BH59" s="10"/>
      <c r="BI59" s="10"/>
      <c r="BJ59" s="10"/>
      <c r="BK59" s="82"/>
      <c r="BL59" s="83" t="s">
        <v>113</v>
      </c>
      <c r="BM59" s="86">
        <v>39933934000016</v>
      </c>
      <c r="BN59" s="83" t="s">
        <v>114</v>
      </c>
      <c r="BO59" s="83"/>
      <c r="BP59" s="83" t="s">
        <v>125</v>
      </c>
      <c r="BQ59" s="82"/>
      <c r="BR59" s="10"/>
      <c r="BS59" s="10"/>
      <c r="BT59" s="10"/>
      <c r="BU59" s="10"/>
      <c r="BV59" s="82"/>
      <c r="BW59" s="108" t="s">
        <v>130</v>
      </c>
      <c r="BX59" s="86"/>
      <c r="BY59" s="83"/>
      <c r="BZ59" s="83"/>
      <c r="CA59" s="83" t="s">
        <v>166</v>
      </c>
      <c r="CB59" s="83" t="s">
        <v>167</v>
      </c>
      <c r="CC59" s="82"/>
      <c r="CD59" s="10"/>
      <c r="CE59" s="10"/>
      <c r="CF59" s="10"/>
      <c r="CG59" s="10"/>
    </row>
    <row r="60" spans="1:85" ht="15.75" customHeight="1">
      <c r="A60" s="43"/>
      <c r="B60" s="149"/>
      <c r="C60" s="130" t="s">
        <v>261</v>
      </c>
      <c r="D60" s="99" t="s">
        <v>540</v>
      </c>
      <c r="E60" s="10"/>
      <c r="F60" s="82"/>
      <c r="G60" s="10"/>
      <c r="H60" s="10"/>
      <c r="I60" s="10"/>
      <c r="J60" s="10"/>
      <c r="K60" s="10"/>
      <c r="L60" s="82"/>
      <c r="M60" s="10" t="s">
        <v>11</v>
      </c>
      <c r="N60" s="10" t="s">
        <v>12</v>
      </c>
      <c r="O60" s="84" t="s">
        <v>2378</v>
      </c>
      <c r="P60" s="10" t="s">
        <v>13</v>
      </c>
      <c r="Q60" s="82"/>
      <c r="R60" s="10"/>
      <c r="S60" s="10"/>
      <c r="T60" s="10"/>
      <c r="U60" s="10"/>
      <c r="V60" s="82"/>
      <c r="W60" s="10" t="s">
        <v>108</v>
      </c>
      <c r="X60" s="10"/>
      <c r="Y60" s="10"/>
      <c r="Z60" s="10"/>
      <c r="AA60" s="10"/>
      <c r="AB60" s="10"/>
      <c r="AC60" s="10"/>
      <c r="AD60" s="82"/>
      <c r="AE60" s="83" t="s">
        <v>112</v>
      </c>
      <c r="AF60" s="83" t="s">
        <v>112</v>
      </c>
      <c r="AG60" s="82"/>
      <c r="AH60" s="83" t="s">
        <v>113</v>
      </c>
      <c r="AI60" s="86">
        <v>39933934000016</v>
      </c>
      <c r="AJ60" s="86"/>
      <c r="AK60" s="83" t="s">
        <v>2294</v>
      </c>
      <c r="AL60" s="82"/>
      <c r="AM60" s="10"/>
      <c r="AN60" s="10"/>
      <c r="AO60" s="10"/>
      <c r="AP60" s="10"/>
      <c r="AQ60" s="82"/>
      <c r="AR60" s="10"/>
      <c r="AS60" s="10"/>
      <c r="AT60" s="10"/>
      <c r="AU60" s="10"/>
      <c r="AV60" s="82"/>
      <c r="AW60" s="83" t="s">
        <v>113</v>
      </c>
      <c r="AX60" s="86">
        <v>39933934000016</v>
      </c>
      <c r="AY60" s="83" t="s">
        <v>114</v>
      </c>
      <c r="AZ60" s="87" t="s">
        <v>115</v>
      </c>
      <c r="BA60" s="82"/>
      <c r="BB60" s="10"/>
      <c r="BC60" s="10"/>
      <c r="BD60" s="10"/>
      <c r="BE60" s="10"/>
      <c r="BF60" s="82"/>
      <c r="BG60" s="10"/>
      <c r="BH60" s="10"/>
      <c r="BI60" s="10"/>
      <c r="BJ60" s="10"/>
      <c r="BK60" s="82"/>
      <c r="BL60" s="83" t="s">
        <v>113</v>
      </c>
      <c r="BM60" s="86">
        <v>39933934000016</v>
      </c>
      <c r="BN60" s="83" t="s">
        <v>114</v>
      </c>
      <c r="BO60" s="83"/>
      <c r="BP60" s="83" t="s">
        <v>125</v>
      </c>
      <c r="BQ60" s="82"/>
      <c r="BR60" s="10"/>
      <c r="BS60" s="10"/>
      <c r="BT60" s="10"/>
      <c r="BU60" s="10"/>
      <c r="BV60" s="82"/>
      <c r="BW60" s="108" t="s">
        <v>130</v>
      </c>
      <c r="BX60" s="86"/>
      <c r="BY60" s="83"/>
      <c r="BZ60" s="83"/>
      <c r="CA60" s="83" t="s">
        <v>166</v>
      </c>
      <c r="CB60" s="83" t="s">
        <v>167</v>
      </c>
      <c r="CC60" s="82"/>
      <c r="CD60" s="10"/>
      <c r="CE60" s="10"/>
      <c r="CF60" s="10"/>
      <c r="CG60" s="10"/>
    </row>
    <row r="61" spans="1:85" ht="15.75" customHeight="1">
      <c r="A61" s="1"/>
      <c r="B61" s="155" t="s">
        <v>543</v>
      </c>
      <c r="C61" s="128" t="s">
        <v>264</v>
      </c>
      <c r="D61" s="118" t="s">
        <v>544</v>
      </c>
      <c r="E61" s="91"/>
      <c r="F61" s="65"/>
      <c r="G61" s="91"/>
      <c r="H61" s="91"/>
      <c r="I61" s="91"/>
      <c r="J61" s="91"/>
      <c r="K61" s="91"/>
      <c r="L61" s="65"/>
      <c r="M61" s="91" t="s">
        <v>11</v>
      </c>
      <c r="N61" s="91" t="s">
        <v>12</v>
      </c>
      <c r="O61" s="92" t="s">
        <v>2379</v>
      </c>
      <c r="P61" s="91" t="s">
        <v>13</v>
      </c>
      <c r="Q61" s="65"/>
      <c r="R61" s="91"/>
      <c r="S61" s="91"/>
      <c r="T61" s="91"/>
      <c r="U61" s="91"/>
      <c r="V61" s="65"/>
      <c r="W61" s="91" t="s">
        <v>538</v>
      </c>
      <c r="X61" s="91"/>
      <c r="Y61" s="91"/>
      <c r="Z61" s="91"/>
      <c r="AA61" s="91"/>
      <c r="AB61" s="91"/>
      <c r="AC61" s="91"/>
      <c r="AD61" s="65"/>
      <c r="AE61" s="94" t="s">
        <v>112</v>
      </c>
      <c r="AF61" s="94" t="s">
        <v>112</v>
      </c>
      <c r="AG61" s="65"/>
      <c r="AH61" s="94" t="s">
        <v>113</v>
      </c>
      <c r="AI61" s="112">
        <v>39933934000016</v>
      </c>
      <c r="AJ61" s="112"/>
      <c r="AK61" s="94" t="s">
        <v>2294</v>
      </c>
      <c r="AL61" s="65"/>
      <c r="AM61" s="91"/>
      <c r="AN61" s="91"/>
      <c r="AO61" s="91"/>
      <c r="AP61" s="91"/>
      <c r="AQ61" s="65"/>
      <c r="AR61" s="91"/>
      <c r="AS61" s="91"/>
      <c r="AT61" s="91"/>
      <c r="AU61" s="91"/>
      <c r="AV61" s="65"/>
      <c r="AW61" s="94" t="s">
        <v>113</v>
      </c>
      <c r="AX61" s="112">
        <v>39933934000016</v>
      </c>
      <c r="AY61" s="94" t="s">
        <v>114</v>
      </c>
      <c r="AZ61" s="104" t="s">
        <v>115</v>
      </c>
      <c r="BA61" s="65"/>
      <c r="BB61" s="91"/>
      <c r="BC61" s="91"/>
      <c r="BD61" s="91"/>
      <c r="BE61" s="91"/>
      <c r="BF61" s="65"/>
      <c r="BG61" s="91"/>
      <c r="BH61" s="91"/>
      <c r="BI61" s="91"/>
      <c r="BJ61" s="91"/>
      <c r="BK61" s="65"/>
      <c r="BL61" s="94" t="s">
        <v>113</v>
      </c>
      <c r="BM61" s="112">
        <v>39933934000016</v>
      </c>
      <c r="BN61" s="94" t="s">
        <v>114</v>
      </c>
      <c r="BO61" s="94"/>
      <c r="BP61" s="94" t="s">
        <v>125</v>
      </c>
      <c r="BQ61" s="65"/>
      <c r="BR61" s="91"/>
      <c r="BS61" s="91"/>
      <c r="BT61" s="91"/>
      <c r="BU61" s="91"/>
      <c r="BV61" s="65"/>
      <c r="BW61" s="102" t="s">
        <v>130</v>
      </c>
      <c r="BX61" s="112"/>
      <c r="BY61" s="94"/>
      <c r="BZ61" s="94"/>
      <c r="CA61" s="94" t="s">
        <v>166</v>
      </c>
      <c r="CB61" s="94" t="s">
        <v>167</v>
      </c>
      <c r="CC61" s="65"/>
      <c r="CD61" s="91"/>
      <c r="CE61" s="91"/>
      <c r="CF61" s="91"/>
      <c r="CG61" s="91"/>
    </row>
    <row r="62" spans="1:85" ht="15.75" customHeight="1">
      <c r="A62" s="1"/>
      <c r="B62" s="149"/>
      <c r="C62" s="128" t="s">
        <v>264</v>
      </c>
      <c r="D62" s="118" t="s">
        <v>546</v>
      </c>
      <c r="E62" s="91"/>
      <c r="F62" s="65"/>
      <c r="G62" s="91"/>
      <c r="H62" s="91"/>
      <c r="I62" s="91"/>
      <c r="J62" s="91"/>
      <c r="K62" s="91"/>
      <c r="L62" s="65"/>
      <c r="M62" s="91" t="s">
        <v>11</v>
      </c>
      <c r="N62" s="91" t="s">
        <v>12</v>
      </c>
      <c r="O62" s="92" t="s">
        <v>2380</v>
      </c>
      <c r="P62" s="91" t="s">
        <v>13</v>
      </c>
      <c r="Q62" s="65"/>
      <c r="R62" s="91"/>
      <c r="S62" s="91"/>
      <c r="T62" s="91"/>
      <c r="U62" s="91"/>
      <c r="V62" s="65"/>
      <c r="W62" s="91" t="s">
        <v>108</v>
      </c>
      <c r="X62" s="91"/>
      <c r="Y62" s="91"/>
      <c r="Z62" s="91"/>
      <c r="AA62" s="91"/>
      <c r="AB62" s="91"/>
      <c r="AC62" s="91"/>
      <c r="AD62" s="65"/>
      <c r="AE62" s="94" t="s">
        <v>112</v>
      </c>
      <c r="AF62" s="94" t="s">
        <v>112</v>
      </c>
      <c r="AG62" s="65"/>
      <c r="AH62" s="94" t="s">
        <v>113</v>
      </c>
      <c r="AI62" s="112">
        <v>39933934000016</v>
      </c>
      <c r="AJ62" s="112"/>
      <c r="AK62" s="94" t="s">
        <v>2294</v>
      </c>
      <c r="AL62" s="65"/>
      <c r="AM62" s="91"/>
      <c r="AN62" s="91"/>
      <c r="AO62" s="91"/>
      <c r="AP62" s="91"/>
      <c r="AQ62" s="65"/>
      <c r="AR62" s="91"/>
      <c r="AS62" s="91"/>
      <c r="AT62" s="91"/>
      <c r="AU62" s="91"/>
      <c r="AV62" s="65"/>
      <c r="AW62" s="94" t="s">
        <v>113</v>
      </c>
      <c r="AX62" s="112">
        <v>39933934000016</v>
      </c>
      <c r="AY62" s="94" t="s">
        <v>114</v>
      </c>
      <c r="AZ62" s="104" t="s">
        <v>115</v>
      </c>
      <c r="BA62" s="65"/>
      <c r="BB62" s="91"/>
      <c r="BC62" s="91"/>
      <c r="BD62" s="91"/>
      <c r="BE62" s="91"/>
      <c r="BF62" s="65"/>
      <c r="BG62" s="91"/>
      <c r="BH62" s="91"/>
      <c r="BI62" s="91"/>
      <c r="BJ62" s="91"/>
      <c r="BK62" s="65"/>
      <c r="BL62" s="94" t="s">
        <v>113</v>
      </c>
      <c r="BM62" s="112">
        <v>39933934000016</v>
      </c>
      <c r="BN62" s="94" t="s">
        <v>114</v>
      </c>
      <c r="BO62" s="94"/>
      <c r="BP62" s="94" t="s">
        <v>215</v>
      </c>
      <c r="BQ62" s="65"/>
      <c r="BR62" s="91"/>
      <c r="BS62" s="91"/>
      <c r="BT62" s="91"/>
      <c r="BU62" s="91"/>
      <c r="BV62" s="65"/>
      <c r="BW62" s="102" t="s">
        <v>130</v>
      </c>
      <c r="BX62" s="112"/>
      <c r="BY62" s="94"/>
      <c r="BZ62" s="94"/>
      <c r="CA62" s="94" t="s">
        <v>491</v>
      </c>
      <c r="CB62" s="94" t="s">
        <v>294</v>
      </c>
      <c r="CC62" s="65"/>
      <c r="CD62" s="91"/>
      <c r="CE62" s="91"/>
      <c r="CF62" s="91"/>
      <c r="CG62" s="91"/>
    </row>
    <row r="63" spans="1:85" ht="15.75" customHeight="1">
      <c r="A63" s="43"/>
      <c r="B63" s="135" t="s">
        <v>548</v>
      </c>
      <c r="C63" s="130" t="s">
        <v>549</v>
      </c>
      <c r="D63" s="141"/>
      <c r="E63" s="10"/>
      <c r="F63" s="82"/>
      <c r="G63" s="83" t="s">
        <v>112</v>
      </c>
      <c r="H63" s="83" t="s">
        <v>112</v>
      </c>
      <c r="I63" s="83" t="s">
        <v>112</v>
      </c>
      <c r="J63" s="83" t="s">
        <v>112</v>
      </c>
      <c r="K63" s="83" t="s">
        <v>112</v>
      </c>
      <c r="L63" s="82"/>
      <c r="M63" s="10" t="s">
        <v>11</v>
      </c>
      <c r="N63" s="10" t="s">
        <v>12</v>
      </c>
      <c r="O63" s="84" t="s">
        <v>2381</v>
      </c>
      <c r="P63" s="10" t="s">
        <v>13</v>
      </c>
      <c r="Q63" s="82"/>
      <c r="R63" s="10"/>
      <c r="S63" s="10"/>
      <c r="T63" s="10"/>
      <c r="U63" s="10"/>
      <c r="V63" s="82"/>
      <c r="W63" s="10"/>
      <c r="X63" s="10"/>
      <c r="Y63" s="10"/>
      <c r="Z63" s="10"/>
      <c r="AA63" s="10"/>
      <c r="AB63" s="10"/>
      <c r="AC63" s="10"/>
      <c r="AD63" s="82"/>
      <c r="AE63" s="83" t="s">
        <v>112</v>
      </c>
      <c r="AF63" s="83" t="s">
        <v>112</v>
      </c>
      <c r="AG63" s="82"/>
      <c r="AH63" s="83" t="s">
        <v>2338</v>
      </c>
      <c r="AI63" s="116">
        <v>55850281100182</v>
      </c>
      <c r="AJ63" s="116"/>
      <c r="AK63" s="83" t="s">
        <v>2339</v>
      </c>
      <c r="AL63" s="82"/>
      <c r="AM63" s="10"/>
      <c r="AN63" s="10"/>
      <c r="AO63" s="10"/>
      <c r="AP63" s="10"/>
      <c r="AQ63" s="82"/>
      <c r="AR63" s="10"/>
      <c r="AS63" s="10"/>
      <c r="AT63" s="10"/>
      <c r="AU63" s="10"/>
      <c r="AV63" s="82"/>
      <c r="AW63" s="131" t="s">
        <v>317</v>
      </c>
      <c r="AX63" s="86">
        <v>50390796600017</v>
      </c>
      <c r="AY63" s="131" t="s">
        <v>319</v>
      </c>
      <c r="AZ63" s="132" t="s">
        <v>320</v>
      </c>
      <c r="BA63" s="82"/>
      <c r="BB63" s="10"/>
      <c r="BC63" s="10"/>
      <c r="BD63" s="10"/>
      <c r="BE63" s="10"/>
      <c r="BF63" s="82"/>
      <c r="BG63" s="10"/>
      <c r="BH63" s="10"/>
      <c r="BI63" s="10"/>
      <c r="BJ63" s="10"/>
      <c r="BK63" s="82"/>
      <c r="BL63" s="87" t="s">
        <v>321</v>
      </c>
      <c r="BM63" s="116">
        <v>55850281100547</v>
      </c>
      <c r="BN63" s="87" t="s">
        <v>2340</v>
      </c>
      <c r="BO63" s="87"/>
      <c r="BP63" s="83" t="s">
        <v>165</v>
      </c>
      <c r="BQ63" s="82"/>
      <c r="BR63" s="10"/>
      <c r="BS63" s="10"/>
      <c r="BT63" s="10"/>
      <c r="BU63" s="10"/>
      <c r="BV63" s="82"/>
      <c r="BW63" s="87" t="s">
        <v>321</v>
      </c>
      <c r="BX63" s="116">
        <v>65382053001073</v>
      </c>
      <c r="BY63" s="87" t="s">
        <v>2340</v>
      </c>
      <c r="BZ63" s="87"/>
      <c r="CA63" s="83" t="s">
        <v>131</v>
      </c>
      <c r="CB63" s="83" t="s">
        <v>132</v>
      </c>
      <c r="CC63" s="82"/>
      <c r="CD63" s="10"/>
      <c r="CE63" s="10"/>
      <c r="CF63" s="10"/>
      <c r="CG63" s="10"/>
    </row>
    <row r="64" spans="1:85" ht="15.75" customHeight="1">
      <c r="A64" s="1"/>
      <c r="B64" s="155" t="s">
        <v>551</v>
      </c>
      <c r="C64" s="128" t="s">
        <v>219</v>
      </c>
      <c r="D64" s="118" t="s">
        <v>552</v>
      </c>
      <c r="E64" s="91"/>
      <c r="F64" s="65"/>
      <c r="G64" s="94" t="s">
        <v>112</v>
      </c>
      <c r="H64" s="94" t="s">
        <v>112</v>
      </c>
      <c r="I64" s="94" t="s">
        <v>112</v>
      </c>
      <c r="J64" s="94" t="s">
        <v>112</v>
      </c>
      <c r="K64" s="94" t="s">
        <v>112</v>
      </c>
      <c r="L64" s="65"/>
      <c r="M64" s="91" t="s">
        <v>11</v>
      </c>
      <c r="N64" s="91" t="s">
        <v>12</v>
      </c>
      <c r="O64" s="92" t="s">
        <v>2382</v>
      </c>
      <c r="P64" s="91" t="s">
        <v>13</v>
      </c>
      <c r="Q64" s="65"/>
      <c r="R64" s="91"/>
      <c r="S64" s="91"/>
      <c r="T64" s="91"/>
      <c r="U64" s="91"/>
      <c r="V64" s="65"/>
      <c r="W64" s="91" t="s">
        <v>305</v>
      </c>
      <c r="X64" s="91"/>
      <c r="Y64" s="91"/>
      <c r="Z64" s="91"/>
      <c r="AA64" s="91"/>
      <c r="AB64" s="91"/>
      <c r="AC64" s="91"/>
      <c r="AD64" s="65"/>
      <c r="AE64" s="94" t="s">
        <v>112</v>
      </c>
      <c r="AF64" s="94" t="s">
        <v>112</v>
      </c>
      <c r="AG64" s="65"/>
      <c r="AH64" s="94" t="s">
        <v>325</v>
      </c>
      <c r="AI64" s="112">
        <v>50472678700030</v>
      </c>
      <c r="AJ64" s="112"/>
      <c r="AK64" s="104" t="s">
        <v>2296</v>
      </c>
      <c r="AL64" s="65"/>
      <c r="AM64" s="91"/>
      <c r="AN64" s="91"/>
      <c r="AO64" s="91"/>
      <c r="AP64" s="91"/>
      <c r="AQ64" s="65"/>
      <c r="AR64" s="91"/>
      <c r="AS64" s="91"/>
      <c r="AT64" s="91"/>
      <c r="AU64" s="91"/>
      <c r="AV64" s="65"/>
      <c r="AW64" s="133" t="s">
        <v>325</v>
      </c>
      <c r="AX64" s="112">
        <v>50472678700030</v>
      </c>
      <c r="AY64" s="133" t="s">
        <v>326</v>
      </c>
      <c r="AZ64" s="134" t="s">
        <v>2296</v>
      </c>
      <c r="BA64" s="65"/>
      <c r="BB64" s="91"/>
      <c r="BC64" s="91"/>
      <c r="BD64" s="91"/>
      <c r="BE64" s="91"/>
      <c r="BF64" s="65"/>
      <c r="BG64" s="91"/>
      <c r="BH64" s="91"/>
      <c r="BI64" s="91"/>
      <c r="BJ64" s="91"/>
      <c r="BK64" s="65"/>
      <c r="BL64" s="94" t="s">
        <v>163</v>
      </c>
      <c r="BM64" s="119">
        <v>30223694800030</v>
      </c>
      <c r="BN64" s="94" t="s">
        <v>330</v>
      </c>
      <c r="BO64" s="94"/>
      <c r="BP64" s="94" t="s">
        <v>125</v>
      </c>
      <c r="BQ64" s="65"/>
      <c r="BR64" s="91"/>
      <c r="BS64" s="91"/>
      <c r="BT64" s="91"/>
      <c r="BU64" s="91"/>
      <c r="BV64" s="65"/>
      <c r="BW64" s="94" t="s">
        <v>163</v>
      </c>
      <c r="BX64" s="119">
        <v>30223694800030</v>
      </c>
      <c r="BY64" s="94" t="s">
        <v>330</v>
      </c>
      <c r="BZ64" s="94"/>
      <c r="CA64" s="94" t="s">
        <v>146</v>
      </c>
      <c r="CB64" s="94" t="s">
        <v>132</v>
      </c>
      <c r="CC64" s="65"/>
      <c r="CD64" s="91"/>
      <c r="CE64" s="91"/>
      <c r="CF64" s="91"/>
      <c r="CG64" s="91"/>
    </row>
    <row r="65" spans="1:85" ht="15.75" customHeight="1">
      <c r="A65" s="1"/>
      <c r="B65" s="149"/>
      <c r="C65" s="128" t="s">
        <v>219</v>
      </c>
      <c r="D65" s="118" t="s">
        <v>554</v>
      </c>
      <c r="E65" s="91"/>
      <c r="F65" s="65"/>
      <c r="G65" s="94" t="s">
        <v>112</v>
      </c>
      <c r="H65" s="94" t="s">
        <v>112</v>
      </c>
      <c r="I65" s="94" t="s">
        <v>112</v>
      </c>
      <c r="J65" s="94" t="s">
        <v>112</v>
      </c>
      <c r="K65" s="94" t="s">
        <v>112</v>
      </c>
      <c r="L65" s="65"/>
      <c r="M65" s="91" t="s">
        <v>11</v>
      </c>
      <c r="N65" s="91" t="s">
        <v>12</v>
      </c>
      <c r="O65" s="92" t="s">
        <v>2383</v>
      </c>
      <c r="P65" s="91" t="s">
        <v>13</v>
      </c>
      <c r="Q65" s="65"/>
      <c r="R65" s="91"/>
      <c r="S65" s="91"/>
      <c r="T65" s="91"/>
      <c r="U65" s="91"/>
      <c r="V65" s="65"/>
      <c r="W65" s="91" t="s">
        <v>267</v>
      </c>
      <c r="X65" s="91"/>
      <c r="Y65" s="91"/>
      <c r="Z65" s="91"/>
      <c r="AA65" s="91"/>
      <c r="AB65" s="91"/>
      <c r="AC65" s="91"/>
      <c r="AD65" s="65"/>
      <c r="AE65" s="94" t="s">
        <v>112</v>
      </c>
      <c r="AF65" s="94" t="s">
        <v>112</v>
      </c>
      <c r="AG65" s="65"/>
      <c r="AH65" s="94" t="s">
        <v>325</v>
      </c>
      <c r="AI65" s="112">
        <v>50472678700030</v>
      </c>
      <c r="AJ65" s="112"/>
      <c r="AK65" s="104" t="s">
        <v>2296</v>
      </c>
      <c r="AL65" s="65"/>
      <c r="AM65" s="91"/>
      <c r="AN65" s="91"/>
      <c r="AO65" s="91"/>
      <c r="AP65" s="91"/>
      <c r="AQ65" s="65"/>
      <c r="AR65" s="91"/>
      <c r="AS65" s="91"/>
      <c r="AT65" s="91"/>
      <c r="AU65" s="91"/>
      <c r="AV65" s="65"/>
      <c r="AW65" s="133" t="s">
        <v>325</v>
      </c>
      <c r="AX65" s="112">
        <v>50472678700030</v>
      </c>
      <c r="AY65" s="133" t="s">
        <v>326</v>
      </c>
      <c r="AZ65" s="134" t="s">
        <v>2296</v>
      </c>
      <c r="BA65" s="65"/>
      <c r="BB65" s="91"/>
      <c r="BC65" s="91"/>
      <c r="BD65" s="91"/>
      <c r="BE65" s="91"/>
      <c r="BF65" s="65"/>
      <c r="BG65" s="91"/>
      <c r="BH65" s="91"/>
      <c r="BI65" s="91"/>
      <c r="BJ65" s="91"/>
      <c r="BK65" s="65"/>
      <c r="BL65" s="94" t="s">
        <v>327</v>
      </c>
      <c r="BM65" s="119">
        <v>35238105700038</v>
      </c>
      <c r="BN65" s="94" t="s">
        <v>328</v>
      </c>
      <c r="BO65" s="94"/>
      <c r="BP65" s="94" t="s">
        <v>146</v>
      </c>
      <c r="BQ65" s="65"/>
      <c r="BR65" s="91"/>
      <c r="BS65" s="91"/>
      <c r="BT65" s="91"/>
      <c r="BU65" s="91"/>
      <c r="BV65" s="65"/>
      <c r="BW65" s="94" t="s">
        <v>327</v>
      </c>
      <c r="BX65" s="119">
        <v>35238105700038</v>
      </c>
      <c r="BY65" s="94" t="s">
        <v>328</v>
      </c>
      <c r="BZ65" s="94"/>
      <c r="CA65" s="94" t="s">
        <v>146</v>
      </c>
      <c r="CB65" s="94" t="s">
        <v>132</v>
      </c>
      <c r="CC65" s="65"/>
      <c r="CD65" s="91"/>
      <c r="CE65" s="91"/>
      <c r="CF65" s="91"/>
      <c r="CG65" s="91"/>
    </row>
    <row r="66" spans="1:85" ht="15.75" customHeight="1">
      <c r="A66" s="43"/>
      <c r="B66" s="129" t="s">
        <v>556</v>
      </c>
      <c r="C66" s="130" t="s">
        <v>557</v>
      </c>
      <c r="D66" s="141"/>
      <c r="E66" s="10"/>
      <c r="F66" s="82"/>
      <c r="G66" s="83" t="s">
        <v>112</v>
      </c>
      <c r="H66" s="83" t="s">
        <v>112</v>
      </c>
      <c r="I66" s="83" t="s">
        <v>112</v>
      </c>
      <c r="J66" s="83" t="s">
        <v>112</v>
      </c>
      <c r="K66" s="83" t="s">
        <v>112</v>
      </c>
      <c r="L66" s="82"/>
      <c r="M66" s="10" t="s">
        <v>11</v>
      </c>
      <c r="N66" s="10" t="s">
        <v>12</v>
      </c>
      <c r="O66" s="84" t="s">
        <v>2384</v>
      </c>
      <c r="P66" s="10" t="s">
        <v>13</v>
      </c>
      <c r="Q66" s="82"/>
      <c r="R66" s="10"/>
      <c r="S66" s="10"/>
      <c r="T66" s="10"/>
      <c r="U66" s="10"/>
      <c r="V66" s="82"/>
      <c r="W66" s="10"/>
      <c r="X66" s="10"/>
      <c r="Y66" s="10"/>
      <c r="Z66" s="10"/>
      <c r="AA66" s="10"/>
      <c r="AB66" s="10"/>
      <c r="AC66" s="10"/>
      <c r="AD66" s="82"/>
      <c r="AE66" s="83" t="s">
        <v>112</v>
      </c>
      <c r="AF66" s="83" t="s">
        <v>112</v>
      </c>
      <c r="AG66" s="82"/>
      <c r="AH66" s="83" t="s">
        <v>325</v>
      </c>
      <c r="AI66" s="86">
        <v>50472678700030</v>
      </c>
      <c r="AJ66" s="86"/>
      <c r="AK66" s="87" t="s">
        <v>2296</v>
      </c>
      <c r="AL66" s="82"/>
      <c r="AM66" s="10"/>
      <c r="AN66" s="10"/>
      <c r="AO66" s="10"/>
      <c r="AP66" s="10"/>
      <c r="AQ66" s="82"/>
      <c r="AR66" s="10"/>
      <c r="AS66" s="10"/>
      <c r="AT66" s="10"/>
      <c r="AU66" s="10"/>
      <c r="AV66" s="82"/>
      <c r="AW66" s="131" t="s">
        <v>325</v>
      </c>
      <c r="AX66" s="86">
        <v>50472678700030</v>
      </c>
      <c r="AY66" s="131" t="s">
        <v>326</v>
      </c>
      <c r="AZ66" s="132" t="s">
        <v>2296</v>
      </c>
      <c r="BA66" s="82"/>
      <c r="BB66" s="10"/>
      <c r="BC66" s="10"/>
      <c r="BD66" s="10"/>
      <c r="BE66" s="10"/>
      <c r="BF66" s="82"/>
      <c r="BG66" s="10"/>
      <c r="BH66" s="10"/>
      <c r="BI66" s="10"/>
      <c r="BJ66" s="10"/>
      <c r="BK66" s="82"/>
      <c r="BL66" s="132" t="s">
        <v>497</v>
      </c>
      <c r="BM66" s="116">
        <v>53457434800015</v>
      </c>
      <c r="BN66" s="132" t="s">
        <v>499</v>
      </c>
      <c r="BO66" s="132"/>
      <c r="BP66" s="109" t="s">
        <v>191</v>
      </c>
      <c r="BQ66" s="82"/>
      <c r="BR66" s="10"/>
      <c r="BS66" s="10"/>
      <c r="BT66" s="10"/>
      <c r="BU66" s="10"/>
      <c r="BV66" s="82"/>
      <c r="BW66" s="132" t="s">
        <v>497</v>
      </c>
      <c r="BX66" s="116">
        <v>53457434800015</v>
      </c>
      <c r="BY66" s="132" t="s">
        <v>499</v>
      </c>
      <c r="BZ66" s="132"/>
      <c r="CA66" s="109" t="s">
        <v>191</v>
      </c>
      <c r="CB66" s="83" t="s">
        <v>132</v>
      </c>
      <c r="CC66" s="82"/>
      <c r="CD66" s="10"/>
      <c r="CE66" s="10"/>
      <c r="CF66" s="10"/>
      <c r="CG66" s="10"/>
    </row>
    <row r="67" spans="1:85" ht="15.75" customHeight="1">
      <c r="A67" s="1"/>
      <c r="B67" s="127" t="s">
        <v>559</v>
      </c>
      <c r="C67" s="128" t="s">
        <v>560</v>
      </c>
      <c r="D67" s="118" t="s">
        <v>559</v>
      </c>
      <c r="E67" s="91"/>
      <c r="F67" s="65"/>
      <c r="G67" s="94" t="s">
        <v>112</v>
      </c>
      <c r="H67" s="94" t="s">
        <v>112</v>
      </c>
      <c r="I67" s="94" t="s">
        <v>112</v>
      </c>
      <c r="J67" s="94" t="s">
        <v>112</v>
      </c>
      <c r="K67" s="94" t="s">
        <v>112</v>
      </c>
      <c r="L67" s="65"/>
      <c r="M67" s="91" t="s">
        <v>11</v>
      </c>
      <c r="N67" s="91" t="s">
        <v>12</v>
      </c>
      <c r="O67" s="92" t="s">
        <v>2385</v>
      </c>
      <c r="P67" s="91" t="s">
        <v>13</v>
      </c>
      <c r="Q67" s="65"/>
      <c r="R67" s="91"/>
      <c r="S67" s="91"/>
      <c r="T67" s="91"/>
      <c r="U67" s="91"/>
      <c r="V67" s="65"/>
      <c r="W67" s="91"/>
      <c r="X67" s="91"/>
      <c r="Y67" s="91"/>
      <c r="Z67" s="91"/>
      <c r="AA67" s="91"/>
      <c r="AB67" s="91"/>
      <c r="AC67" s="91"/>
      <c r="AD67" s="65"/>
      <c r="AE67" s="94" t="s">
        <v>112</v>
      </c>
      <c r="AF67" s="94" t="s">
        <v>112</v>
      </c>
      <c r="AG67" s="65"/>
      <c r="AH67" s="94" t="s">
        <v>112</v>
      </c>
      <c r="AI67" s="112" t="s">
        <v>112</v>
      </c>
      <c r="AJ67" s="112"/>
      <c r="AK67" s="94" t="s">
        <v>112</v>
      </c>
      <c r="AL67" s="65"/>
      <c r="AM67" s="91"/>
      <c r="AN67" s="91"/>
      <c r="AO67" s="91"/>
      <c r="AP67" s="91"/>
      <c r="AQ67" s="65"/>
      <c r="AR67" s="91"/>
      <c r="AS67" s="91"/>
      <c r="AT67" s="91"/>
      <c r="AU67" s="91"/>
      <c r="AV67" s="65"/>
      <c r="AW67" s="133" t="s">
        <v>479</v>
      </c>
      <c r="AX67" s="112">
        <v>30002217500107</v>
      </c>
      <c r="AY67" s="133" t="s">
        <v>481</v>
      </c>
      <c r="AZ67" s="104" t="s">
        <v>2359</v>
      </c>
      <c r="BA67" s="65"/>
      <c r="BB67" s="91"/>
      <c r="BC67" s="91"/>
      <c r="BD67" s="91"/>
      <c r="BE67" s="91"/>
      <c r="BF67" s="65"/>
      <c r="BG67" s="91"/>
      <c r="BH67" s="91"/>
      <c r="BI67" s="91"/>
      <c r="BJ67" s="91"/>
      <c r="BK67" s="65"/>
      <c r="BL67" s="94" t="s">
        <v>479</v>
      </c>
      <c r="BM67" s="112">
        <v>30002217500107</v>
      </c>
      <c r="BN67" s="94" t="s">
        <v>481</v>
      </c>
      <c r="BO67" s="94"/>
      <c r="BP67" s="105" t="s">
        <v>165</v>
      </c>
      <c r="BQ67" s="65"/>
      <c r="BR67" s="91"/>
      <c r="BS67" s="91"/>
      <c r="BT67" s="91"/>
      <c r="BU67" s="91"/>
      <c r="BV67" s="65"/>
      <c r="BW67" s="94" t="s">
        <v>562</v>
      </c>
      <c r="BX67" s="119">
        <v>38535103600012</v>
      </c>
      <c r="BY67" s="94" t="s">
        <v>564</v>
      </c>
      <c r="BZ67" s="94"/>
      <c r="CA67" s="94" t="s">
        <v>146</v>
      </c>
      <c r="CB67" s="94" t="s">
        <v>132</v>
      </c>
      <c r="CC67" s="65"/>
      <c r="CD67" s="91"/>
      <c r="CE67" s="91"/>
      <c r="CF67" s="91"/>
      <c r="CG67" s="91"/>
    </row>
    <row r="68" spans="1:85" ht="15.75" customHeight="1">
      <c r="A68" s="43"/>
      <c r="B68" s="135" t="s">
        <v>565</v>
      </c>
      <c r="C68" s="143" t="s">
        <v>2278</v>
      </c>
      <c r="D68" s="99" t="s">
        <v>565</v>
      </c>
      <c r="E68" s="10"/>
      <c r="F68" s="82"/>
      <c r="G68" s="83" t="s">
        <v>112</v>
      </c>
      <c r="H68" s="83" t="s">
        <v>112</v>
      </c>
      <c r="I68" s="83" t="s">
        <v>112</v>
      </c>
      <c r="J68" s="83" t="s">
        <v>112</v>
      </c>
      <c r="K68" s="83" t="s">
        <v>112</v>
      </c>
      <c r="L68" s="82"/>
      <c r="M68" s="10" t="s">
        <v>11</v>
      </c>
      <c r="N68" s="10" t="s">
        <v>12</v>
      </c>
      <c r="O68" s="84" t="s">
        <v>2386</v>
      </c>
      <c r="P68" s="10" t="s">
        <v>13</v>
      </c>
      <c r="Q68" s="82"/>
      <c r="R68" s="10"/>
      <c r="S68" s="10"/>
      <c r="T68" s="10"/>
      <c r="U68" s="10"/>
      <c r="V68" s="82"/>
      <c r="W68" s="10"/>
      <c r="X68" s="10"/>
      <c r="Y68" s="10"/>
      <c r="Z68" s="10"/>
      <c r="AA68" s="10"/>
      <c r="AB68" s="10"/>
      <c r="AC68" s="10"/>
      <c r="AD68" s="82"/>
      <c r="AE68" s="83" t="s">
        <v>112</v>
      </c>
      <c r="AF68" s="83" t="s">
        <v>112</v>
      </c>
      <c r="AG68" s="82"/>
      <c r="AH68" s="83" t="s">
        <v>112</v>
      </c>
      <c r="AI68" s="86" t="s">
        <v>112</v>
      </c>
      <c r="AJ68" s="86"/>
      <c r="AK68" s="83" t="s">
        <v>112</v>
      </c>
      <c r="AL68" s="82"/>
      <c r="AM68" s="10"/>
      <c r="AN68" s="10"/>
      <c r="AO68" s="10"/>
      <c r="AP68" s="10"/>
      <c r="AQ68" s="82"/>
      <c r="AR68" s="10"/>
      <c r="AS68" s="10"/>
      <c r="AT68" s="10"/>
      <c r="AU68" s="10"/>
      <c r="AV68" s="82"/>
      <c r="AW68" s="131" t="s">
        <v>479</v>
      </c>
      <c r="AX68" s="86">
        <v>30002217500107</v>
      </c>
      <c r="AY68" s="131" t="s">
        <v>481</v>
      </c>
      <c r="AZ68" s="87" t="s">
        <v>2359</v>
      </c>
      <c r="BA68" s="82"/>
      <c r="BB68" s="10"/>
      <c r="BC68" s="10"/>
      <c r="BD68" s="10"/>
      <c r="BE68" s="10"/>
      <c r="BF68" s="82"/>
      <c r="BG68" s="10"/>
      <c r="BH68" s="10"/>
      <c r="BI68" s="10"/>
      <c r="BJ68" s="10"/>
      <c r="BK68" s="82"/>
      <c r="BL68" s="83" t="s">
        <v>479</v>
      </c>
      <c r="BM68" s="86">
        <v>30002217500107</v>
      </c>
      <c r="BN68" s="83" t="s">
        <v>481</v>
      </c>
      <c r="BO68" s="83"/>
      <c r="BP68" s="109" t="s">
        <v>165</v>
      </c>
      <c r="BQ68" s="82"/>
      <c r="BR68" s="10"/>
      <c r="BS68" s="10"/>
      <c r="BT68" s="10"/>
      <c r="BU68" s="10"/>
      <c r="BV68" s="82"/>
      <c r="BW68" s="83" t="s">
        <v>562</v>
      </c>
      <c r="BX68" s="116">
        <v>38535103600012</v>
      </c>
      <c r="BY68" s="83" t="s">
        <v>564</v>
      </c>
      <c r="BZ68" s="83"/>
      <c r="CA68" s="83" t="s">
        <v>146</v>
      </c>
      <c r="CB68" s="83" t="s">
        <v>132</v>
      </c>
      <c r="CC68" s="82"/>
      <c r="CD68" s="10"/>
      <c r="CE68" s="10"/>
      <c r="CF68" s="10"/>
      <c r="CG68" s="10"/>
    </row>
    <row r="69" spans="1:85" ht="15.75" customHeight="1">
      <c r="A69" s="43"/>
      <c r="B69" s="36"/>
      <c r="C69" s="43"/>
      <c r="D69" s="36"/>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row>
    <row r="70" spans="1:85" ht="15.75" customHeight="1">
      <c r="A70" s="43"/>
      <c r="B70" s="36"/>
      <c r="C70" s="43"/>
      <c r="D70" s="36"/>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row>
    <row r="71" spans="1:85" ht="15.75" customHeight="1">
      <c r="A71" s="43"/>
      <c r="B71" s="36"/>
      <c r="C71" s="43"/>
      <c r="D71" s="36"/>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row>
    <row r="72" spans="1:85" ht="15.75" customHeight="1">
      <c r="A72" s="43"/>
      <c r="B72" s="36"/>
      <c r="C72" s="43"/>
      <c r="D72" s="36"/>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row>
    <row r="73" spans="1:85" ht="15.75" customHeight="1">
      <c r="A73" s="43"/>
      <c r="B73" s="36"/>
      <c r="C73" s="43"/>
      <c r="D73" s="36"/>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row>
    <row r="74" spans="1:85" ht="15.75" customHeight="1">
      <c r="A74" s="43"/>
      <c r="B74" s="36"/>
      <c r="C74" s="43"/>
      <c r="D74" s="36"/>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row>
    <row r="75" spans="1:85" ht="15.75" customHeight="1">
      <c r="A75" s="43"/>
      <c r="B75" s="36"/>
      <c r="C75" s="43"/>
      <c r="D75" s="36"/>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row>
    <row r="76" spans="1:85" ht="15.75" customHeight="1">
      <c r="A76" s="43"/>
      <c r="B76" s="36"/>
      <c r="C76" s="43"/>
      <c r="D76" s="36"/>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row>
    <row r="77" spans="1:85" ht="15.75" customHeight="1">
      <c r="A77" s="43"/>
      <c r="B77" s="36"/>
      <c r="C77" s="43"/>
      <c r="D77" s="36"/>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row>
    <row r="78" spans="1:85" ht="15.75" customHeight="1">
      <c r="A78" s="43"/>
      <c r="B78" s="36"/>
      <c r="C78" s="43"/>
      <c r="D78" s="36"/>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row>
    <row r="79" spans="1:85" ht="15.75" customHeight="1">
      <c r="A79" s="43"/>
      <c r="B79" s="36"/>
      <c r="C79" s="43"/>
      <c r="D79" s="36"/>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row>
    <row r="80" spans="1:85" ht="15.75" customHeight="1">
      <c r="A80" s="43"/>
      <c r="B80" s="36"/>
      <c r="C80" s="43"/>
      <c r="D80" s="36"/>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row>
    <row r="81" spans="1:85" ht="15.75" customHeight="1">
      <c r="A81" s="43"/>
      <c r="B81" s="36"/>
      <c r="C81" s="43"/>
      <c r="D81" s="36"/>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row>
    <row r="82" spans="1:85" ht="15.75" customHeight="1">
      <c r="A82" s="43"/>
      <c r="B82" s="36"/>
      <c r="C82" s="43"/>
      <c r="D82" s="36"/>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row>
    <row r="83" spans="1:85" ht="15.75" customHeight="1">
      <c r="A83" s="43"/>
      <c r="B83" s="36"/>
      <c r="C83" s="43"/>
      <c r="D83" s="36"/>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row>
    <row r="84" spans="1:85" ht="15.75" customHeight="1">
      <c r="A84" s="43"/>
      <c r="B84" s="36"/>
      <c r="C84" s="43"/>
      <c r="D84" s="36"/>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row>
    <row r="85" spans="1:85" ht="15.75" customHeight="1">
      <c r="A85" s="43"/>
      <c r="B85" s="36"/>
      <c r="C85" s="43"/>
      <c r="D85" s="36"/>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row>
    <row r="86" spans="1:85" ht="15.75" customHeight="1">
      <c r="A86" s="43"/>
      <c r="B86" s="36"/>
      <c r="C86" s="43"/>
      <c r="D86" s="36"/>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row>
    <row r="87" spans="1:85" ht="15.75" customHeight="1">
      <c r="A87" s="43"/>
      <c r="B87" s="36"/>
      <c r="C87" s="43"/>
      <c r="D87" s="36"/>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row>
    <row r="88" spans="1:85" ht="15.75" customHeight="1">
      <c r="A88" s="43"/>
      <c r="B88" s="36"/>
      <c r="C88" s="43"/>
      <c r="D88" s="36"/>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row>
    <row r="89" spans="1:85" ht="15.75" customHeight="1">
      <c r="A89" s="43"/>
      <c r="B89" s="36"/>
      <c r="C89" s="43"/>
      <c r="D89" s="36"/>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row>
    <row r="90" spans="1:85" ht="15.75" customHeight="1">
      <c r="A90" s="43"/>
      <c r="B90" s="36"/>
      <c r="C90" s="43"/>
      <c r="D90" s="36"/>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row>
    <row r="91" spans="1:85" ht="15.75" customHeight="1">
      <c r="A91" s="43"/>
      <c r="B91" s="36"/>
      <c r="C91" s="43"/>
      <c r="D91" s="36"/>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row>
    <row r="92" spans="1:85" ht="15.75" customHeight="1">
      <c r="A92" s="43"/>
      <c r="B92" s="36"/>
      <c r="C92" s="43"/>
      <c r="D92" s="36"/>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row>
    <row r="93" spans="1:85" ht="15.75" customHeight="1">
      <c r="A93" s="43"/>
      <c r="B93" s="36"/>
      <c r="C93" s="43"/>
      <c r="D93" s="36"/>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row>
    <row r="94" spans="1:85" ht="15.75" customHeight="1">
      <c r="A94" s="43"/>
      <c r="B94" s="36"/>
      <c r="C94" s="43"/>
      <c r="D94" s="36"/>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row>
    <row r="95" spans="1:85" ht="15.75" customHeight="1">
      <c r="A95" s="43"/>
      <c r="B95" s="36"/>
      <c r="C95" s="43"/>
      <c r="D95" s="36"/>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row>
    <row r="96" spans="1:85" ht="15.75" customHeight="1">
      <c r="A96" s="43"/>
      <c r="B96" s="36"/>
      <c r="C96" s="43"/>
      <c r="D96" s="36"/>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row>
    <row r="97" spans="1:85" ht="15.75" customHeight="1">
      <c r="A97" s="43"/>
      <c r="B97" s="36"/>
      <c r="C97" s="43"/>
      <c r="D97" s="36"/>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row>
    <row r="98" spans="1:85" ht="15.75" customHeight="1">
      <c r="A98" s="43"/>
      <c r="B98" s="36"/>
      <c r="C98" s="43"/>
      <c r="D98" s="36"/>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row>
    <row r="99" spans="1:85" ht="15.75" customHeight="1">
      <c r="A99" s="43"/>
      <c r="B99" s="36"/>
      <c r="C99" s="43"/>
      <c r="D99" s="36"/>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row>
    <row r="100" spans="1:85" ht="15.75" customHeight="1">
      <c r="A100" s="43"/>
      <c r="B100" s="36"/>
      <c r="C100" s="43"/>
      <c r="D100" s="36"/>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row>
    <row r="101" spans="1:85" ht="15.75" customHeight="1">
      <c r="A101" s="43"/>
      <c r="B101" s="36"/>
      <c r="C101" s="43"/>
      <c r="D101" s="36"/>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row>
    <row r="102" spans="1:85" ht="15.75" customHeight="1">
      <c r="A102" s="43"/>
      <c r="B102" s="36"/>
      <c r="C102" s="43"/>
      <c r="D102" s="36"/>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row>
    <row r="103" spans="1:85" ht="15.75" customHeight="1">
      <c r="A103" s="43"/>
      <c r="B103" s="36"/>
      <c r="C103" s="43"/>
      <c r="D103" s="36"/>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row>
    <row r="104" spans="1:85" ht="15.75" customHeight="1">
      <c r="A104" s="43"/>
      <c r="B104" s="36"/>
      <c r="C104" s="43"/>
      <c r="D104" s="36"/>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row>
    <row r="105" spans="1:85" ht="15.75" customHeight="1">
      <c r="A105" s="43"/>
      <c r="B105" s="36"/>
      <c r="C105" s="43"/>
      <c r="D105" s="36"/>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row>
    <row r="106" spans="1:85" ht="15.75" customHeight="1">
      <c r="A106" s="43"/>
      <c r="B106" s="36"/>
      <c r="C106" s="43"/>
      <c r="D106" s="36"/>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row>
    <row r="107" spans="1:85" ht="15.75" customHeight="1">
      <c r="A107" s="43"/>
      <c r="B107" s="36"/>
      <c r="C107" s="43"/>
      <c r="D107" s="36"/>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row>
    <row r="108" spans="1:85" ht="15.75" customHeight="1">
      <c r="B108" s="36"/>
      <c r="D108" s="36"/>
      <c r="F108" s="43"/>
      <c r="L108" s="43"/>
      <c r="Q108" s="43"/>
      <c r="V108" s="43"/>
      <c r="AD108" s="43"/>
      <c r="AG108" s="43"/>
      <c r="AL108" s="43"/>
      <c r="AQ108" s="43"/>
      <c r="AV108" s="43"/>
      <c r="BA108" s="43"/>
      <c r="BF108" s="43"/>
      <c r="BK108" s="43"/>
      <c r="BQ108" s="43"/>
      <c r="BV108" s="43"/>
      <c r="CC108" s="43"/>
    </row>
    <row r="109" spans="1:85" ht="15.75" customHeight="1">
      <c r="B109" s="36"/>
      <c r="D109" s="36"/>
      <c r="F109" s="43"/>
      <c r="L109" s="43"/>
      <c r="Q109" s="43"/>
      <c r="V109" s="43"/>
      <c r="AD109" s="43"/>
      <c r="AG109" s="43"/>
      <c r="AL109" s="43"/>
      <c r="AQ109" s="43"/>
      <c r="AV109" s="43"/>
      <c r="BA109" s="43"/>
      <c r="BF109" s="43"/>
      <c r="BK109" s="43"/>
      <c r="BQ109" s="43"/>
      <c r="BV109" s="43"/>
      <c r="CC109" s="43"/>
    </row>
    <row r="110" spans="1:85" ht="15.75" customHeight="1">
      <c r="B110" s="36"/>
      <c r="D110" s="36"/>
      <c r="F110" s="43"/>
      <c r="L110" s="43"/>
      <c r="Q110" s="43"/>
      <c r="V110" s="43"/>
      <c r="AD110" s="43"/>
      <c r="AG110" s="43"/>
      <c r="AL110" s="43"/>
      <c r="AQ110" s="43"/>
      <c r="AV110" s="43"/>
      <c r="BA110" s="43"/>
      <c r="BF110" s="43"/>
      <c r="BK110" s="43"/>
      <c r="BQ110" s="43"/>
      <c r="BV110" s="43"/>
      <c r="CC110" s="43"/>
    </row>
    <row r="111" spans="1:85" ht="15.75" customHeight="1">
      <c r="B111" s="36"/>
      <c r="D111" s="36"/>
      <c r="F111" s="43"/>
      <c r="L111" s="43"/>
      <c r="Q111" s="43"/>
      <c r="V111" s="43"/>
      <c r="AD111" s="43"/>
      <c r="AG111" s="43"/>
      <c r="AL111" s="43"/>
      <c r="AQ111" s="43"/>
      <c r="AV111" s="43"/>
      <c r="BA111" s="43"/>
      <c r="BF111" s="43"/>
      <c r="BK111" s="43"/>
      <c r="BQ111" s="43"/>
      <c r="BV111" s="43"/>
      <c r="CC111" s="43"/>
    </row>
    <row r="112" spans="1:85" ht="15.75" customHeight="1">
      <c r="B112" s="36"/>
      <c r="D112" s="36"/>
      <c r="F112" s="43"/>
      <c r="L112" s="43"/>
      <c r="Q112" s="43"/>
      <c r="V112" s="43"/>
      <c r="AD112" s="43"/>
      <c r="AG112" s="43"/>
      <c r="AL112" s="43"/>
      <c r="AQ112" s="43"/>
      <c r="AV112" s="43"/>
      <c r="BA112" s="43"/>
      <c r="BF112" s="43"/>
      <c r="BK112" s="43"/>
      <c r="BQ112" s="43"/>
      <c r="BV112" s="43"/>
      <c r="CC112" s="43"/>
    </row>
    <row r="113" spans="2:81" ht="15.75" customHeight="1">
      <c r="B113" s="36"/>
      <c r="D113" s="36"/>
      <c r="F113" s="43"/>
      <c r="L113" s="43"/>
      <c r="Q113" s="43"/>
      <c r="V113" s="43"/>
      <c r="AD113" s="43"/>
      <c r="AG113" s="43"/>
      <c r="AL113" s="43"/>
      <c r="AQ113" s="43"/>
      <c r="AV113" s="43"/>
      <c r="BA113" s="43"/>
      <c r="BF113" s="43"/>
      <c r="BK113" s="43"/>
      <c r="BQ113" s="43"/>
      <c r="BV113" s="43"/>
      <c r="CC113" s="43"/>
    </row>
    <row r="114" spans="2:81" ht="15.75" customHeight="1">
      <c r="B114" s="36"/>
      <c r="D114" s="36"/>
      <c r="F114" s="43"/>
      <c r="L114" s="43"/>
      <c r="Q114" s="43"/>
      <c r="V114" s="43"/>
      <c r="AD114" s="43"/>
      <c r="AG114" s="43"/>
      <c r="AL114" s="43"/>
      <c r="AQ114" s="43"/>
      <c r="AV114" s="43"/>
      <c r="BA114" s="43"/>
      <c r="BF114" s="43"/>
      <c r="BK114" s="43"/>
      <c r="BQ114" s="43"/>
      <c r="BV114" s="43"/>
      <c r="CC114" s="43"/>
    </row>
    <row r="115" spans="2:81" ht="15.75" customHeight="1">
      <c r="B115" s="36"/>
      <c r="D115" s="36"/>
      <c r="F115" s="43"/>
      <c r="L115" s="43"/>
      <c r="Q115" s="43"/>
      <c r="V115" s="43"/>
      <c r="AD115" s="43"/>
      <c r="AG115" s="43"/>
      <c r="AL115" s="43"/>
      <c r="AQ115" s="43"/>
      <c r="AV115" s="43"/>
      <c r="BA115" s="43"/>
      <c r="BF115" s="43"/>
      <c r="BK115" s="43"/>
      <c r="BQ115" s="43"/>
      <c r="BV115" s="43"/>
      <c r="CC115" s="43"/>
    </row>
    <row r="116" spans="2:81" ht="15.75" customHeight="1">
      <c r="B116" s="36"/>
      <c r="D116" s="36"/>
      <c r="F116" s="43"/>
      <c r="L116" s="43"/>
      <c r="Q116" s="43"/>
      <c r="V116" s="43"/>
      <c r="AD116" s="43"/>
      <c r="AG116" s="43"/>
      <c r="AL116" s="43"/>
      <c r="AQ116" s="43"/>
      <c r="AV116" s="43"/>
      <c r="BA116" s="43"/>
      <c r="BF116" s="43"/>
      <c r="BK116" s="43"/>
      <c r="BQ116" s="43"/>
      <c r="BV116" s="43"/>
      <c r="CC116" s="43"/>
    </row>
    <row r="117" spans="2:81" ht="15.75" customHeight="1">
      <c r="B117" s="36"/>
      <c r="D117" s="36"/>
      <c r="F117" s="43"/>
      <c r="L117" s="43"/>
      <c r="Q117" s="43"/>
      <c r="V117" s="43"/>
      <c r="AD117" s="43"/>
      <c r="AG117" s="43"/>
      <c r="AL117" s="43"/>
      <c r="AQ117" s="43"/>
      <c r="AV117" s="43"/>
      <c r="BA117" s="43"/>
      <c r="BF117" s="43"/>
      <c r="BK117" s="43"/>
      <c r="BQ117" s="43"/>
      <c r="BV117" s="43"/>
      <c r="CC117" s="43"/>
    </row>
    <row r="118" spans="2:81" ht="15.75" customHeight="1">
      <c r="B118" s="36"/>
      <c r="D118" s="36"/>
      <c r="F118" s="43"/>
      <c r="L118" s="43"/>
      <c r="Q118" s="43"/>
      <c r="V118" s="43"/>
      <c r="AD118" s="43"/>
      <c r="AG118" s="43"/>
      <c r="AL118" s="43"/>
      <c r="AQ118" s="43"/>
      <c r="AV118" s="43"/>
      <c r="BA118" s="43"/>
      <c r="BF118" s="43"/>
      <c r="BK118" s="43"/>
      <c r="BQ118" s="43"/>
      <c r="BV118" s="43"/>
      <c r="CC118" s="43"/>
    </row>
    <row r="119" spans="2:81" ht="15.75" customHeight="1">
      <c r="B119" s="36"/>
      <c r="D119" s="36"/>
      <c r="F119" s="43"/>
      <c r="L119" s="43"/>
      <c r="Q119" s="43"/>
      <c r="V119" s="43"/>
      <c r="AD119" s="43"/>
      <c r="AG119" s="43"/>
      <c r="AL119" s="43"/>
      <c r="AQ119" s="43"/>
      <c r="AV119" s="43"/>
      <c r="BA119" s="43"/>
      <c r="BF119" s="43"/>
      <c r="BK119" s="43"/>
      <c r="BQ119" s="43"/>
      <c r="BV119" s="43"/>
      <c r="CC119" s="43"/>
    </row>
    <row r="120" spans="2:81" ht="15.75" customHeight="1">
      <c r="B120" s="36"/>
      <c r="D120" s="36"/>
      <c r="F120" s="43"/>
      <c r="L120" s="43"/>
      <c r="Q120" s="43"/>
      <c r="V120" s="43"/>
      <c r="AD120" s="43"/>
      <c r="AG120" s="43"/>
      <c r="AL120" s="43"/>
      <c r="AQ120" s="43"/>
      <c r="AV120" s="43"/>
      <c r="BA120" s="43"/>
      <c r="BF120" s="43"/>
      <c r="BK120" s="43"/>
      <c r="BQ120" s="43"/>
      <c r="BV120" s="43"/>
      <c r="CC120" s="43"/>
    </row>
    <row r="121" spans="2:81" ht="15.75" customHeight="1">
      <c r="B121" s="36"/>
      <c r="D121" s="36"/>
      <c r="F121" s="43"/>
      <c r="L121" s="43"/>
      <c r="Q121" s="43"/>
      <c r="V121" s="43"/>
      <c r="AD121" s="43"/>
      <c r="AG121" s="43"/>
      <c r="AL121" s="43"/>
      <c r="AQ121" s="43"/>
      <c r="AV121" s="43"/>
      <c r="BA121" s="43"/>
      <c r="BF121" s="43"/>
      <c r="BK121" s="43"/>
      <c r="BQ121" s="43"/>
      <c r="BV121" s="43"/>
      <c r="CC121" s="43"/>
    </row>
    <row r="122" spans="2:81" ht="15.75" customHeight="1">
      <c r="B122" s="36"/>
      <c r="D122" s="36"/>
      <c r="F122" s="43"/>
      <c r="L122" s="43"/>
      <c r="Q122" s="43"/>
      <c r="V122" s="43"/>
      <c r="AD122" s="43"/>
      <c r="AG122" s="43"/>
      <c r="AL122" s="43"/>
      <c r="AQ122" s="43"/>
      <c r="AV122" s="43"/>
      <c r="BA122" s="43"/>
      <c r="BF122" s="43"/>
      <c r="BK122" s="43"/>
      <c r="BQ122" s="43"/>
      <c r="BV122" s="43"/>
      <c r="CC122" s="43"/>
    </row>
    <row r="123" spans="2:81" ht="15.75" customHeight="1">
      <c r="B123" s="36"/>
      <c r="D123" s="36"/>
      <c r="F123" s="43"/>
      <c r="L123" s="43"/>
      <c r="Q123" s="43"/>
      <c r="V123" s="43"/>
      <c r="AD123" s="43"/>
      <c r="AG123" s="43"/>
      <c r="AL123" s="43"/>
      <c r="AQ123" s="43"/>
      <c r="AV123" s="43"/>
      <c r="BA123" s="43"/>
      <c r="BF123" s="43"/>
      <c r="BK123" s="43"/>
      <c r="BQ123" s="43"/>
      <c r="BV123" s="43"/>
      <c r="CC123" s="43"/>
    </row>
    <row r="124" spans="2:81" ht="15.75" customHeight="1">
      <c r="B124" s="36"/>
      <c r="D124" s="36"/>
      <c r="F124" s="43"/>
      <c r="L124" s="43"/>
      <c r="Q124" s="43"/>
      <c r="V124" s="43"/>
      <c r="AD124" s="43"/>
      <c r="AG124" s="43"/>
      <c r="AL124" s="43"/>
      <c r="AQ124" s="43"/>
      <c r="AV124" s="43"/>
      <c r="BA124" s="43"/>
      <c r="BF124" s="43"/>
      <c r="BK124" s="43"/>
      <c r="BQ124" s="43"/>
      <c r="BV124" s="43"/>
      <c r="CC124" s="43"/>
    </row>
    <row r="125" spans="2:81" ht="15.75" customHeight="1">
      <c r="B125" s="36"/>
      <c r="D125" s="36"/>
      <c r="F125" s="43"/>
      <c r="L125" s="43"/>
      <c r="Q125" s="43"/>
      <c r="V125" s="43"/>
      <c r="AD125" s="43"/>
      <c r="AG125" s="43"/>
      <c r="AL125" s="43"/>
      <c r="AQ125" s="43"/>
      <c r="AV125" s="43"/>
      <c r="BA125" s="43"/>
      <c r="BF125" s="43"/>
      <c r="BK125" s="43"/>
      <c r="BQ125" s="43"/>
      <c r="BV125" s="43"/>
      <c r="CC125" s="43"/>
    </row>
    <row r="126" spans="2:81" ht="15.75" customHeight="1">
      <c r="B126" s="36"/>
      <c r="D126" s="36"/>
      <c r="F126" s="43"/>
      <c r="L126" s="43"/>
      <c r="Q126" s="43"/>
      <c r="V126" s="43"/>
      <c r="AD126" s="43"/>
      <c r="AG126" s="43"/>
      <c r="AL126" s="43"/>
      <c r="AQ126" s="43"/>
      <c r="AV126" s="43"/>
      <c r="BA126" s="43"/>
      <c r="BF126" s="43"/>
      <c r="BK126" s="43"/>
      <c r="BQ126" s="43"/>
      <c r="BV126" s="43"/>
      <c r="CC126" s="43"/>
    </row>
    <row r="127" spans="2:81" ht="15.75" customHeight="1">
      <c r="B127" s="36"/>
      <c r="D127" s="36"/>
      <c r="F127" s="43"/>
      <c r="L127" s="43"/>
      <c r="Q127" s="43"/>
      <c r="V127" s="43"/>
      <c r="AD127" s="43"/>
      <c r="AG127" s="43"/>
      <c r="AL127" s="43"/>
      <c r="AQ127" s="43"/>
      <c r="AV127" s="43"/>
      <c r="BA127" s="43"/>
      <c r="BF127" s="43"/>
      <c r="BK127" s="43"/>
      <c r="BQ127" s="43"/>
      <c r="BV127" s="43"/>
      <c r="CC127" s="43"/>
    </row>
    <row r="128" spans="2:81" ht="15.75" customHeight="1">
      <c r="B128" s="36"/>
      <c r="D128" s="36"/>
      <c r="F128" s="43"/>
      <c r="L128" s="43"/>
      <c r="Q128" s="43"/>
      <c r="V128" s="43"/>
      <c r="AD128" s="43"/>
      <c r="AG128" s="43"/>
      <c r="AL128" s="43"/>
      <c r="AQ128" s="43"/>
      <c r="AV128" s="43"/>
      <c r="BA128" s="43"/>
      <c r="BF128" s="43"/>
      <c r="BK128" s="43"/>
      <c r="BQ128" s="43"/>
      <c r="BV128" s="43"/>
      <c r="CC128" s="43"/>
    </row>
    <row r="129" spans="2:81" ht="15.75" customHeight="1">
      <c r="B129" s="36"/>
      <c r="D129" s="36"/>
      <c r="F129" s="43"/>
      <c r="L129" s="43"/>
      <c r="Q129" s="43"/>
      <c r="V129" s="43"/>
      <c r="AD129" s="43"/>
      <c r="AG129" s="43"/>
      <c r="AL129" s="43"/>
      <c r="AQ129" s="43"/>
      <c r="AV129" s="43"/>
      <c r="BA129" s="43"/>
      <c r="BF129" s="43"/>
      <c r="BK129" s="43"/>
      <c r="BQ129" s="43"/>
      <c r="BV129" s="43"/>
      <c r="CC129" s="43"/>
    </row>
    <row r="130" spans="2:81" ht="15.75" customHeight="1">
      <c r="B130" s="36"/>
      <c r="D130" s="36"/>
      <c r="F130" s="43"/>
      <c r="L130" s="43"/>
      <c r="Q130" s="43"/>
      <c r="V130" s="43"/>
      <c r="AD130" s="43"/>
      <c r="AG130" s="43"/>
      <c r="AL130" s="43"/>
      <c r="AQ130" s="43"/>
      <c r="AV130" s="43"/>
      <c r="BA130" s="43"/>
      <c r="BF130" s="43"/>
      <c r="BK130" s="43"/>
      <c r="BQ130" s="43"/>
      <c r="BV130" s="43"/>
      <c r="CC130" s="43"/>
    </row>
    <row r="131" spans="2:81" ht="15.75" customHeight="1">
      <c r="B131" s="36"/>
      <c r="D131" s="36"/>
      <c r="F131" s="43"/>
      <c r="L131" s="43"/>
      <c r="Q131" s="43"/>
      <c r="V131" s="43"/>
      <c r="AD131" s="43"/>
      <c r="AG131" s="43"/>
      <c r="AL131" s="43"/>
      <c r="AQ131" s="43"/>
      <c r="AV131" s="43"/>
      <c r="BA131" s="43"/>
      <c r="BF131" s="43"/>
      <c r="BK131" s="43"/>
      <c r="BQ131" s="43"/>
      <c r="BV131" s="43"/>
      <c r="CC131" s="43"/>
    </row>
    <row r="132" spans="2:81" ht="15.75" customHeight="1">
      <c r="B132" s="36"/>
      <c r="D132" s="36"/>
      <c r="F132" s="43"/>
      <c r="L132" s="43"/>
      <c r="Q132" s="43"/>
      <c r="V132" s="43"/>
      <c r="AD132" s="43"/>
      <c r="AG132" s="43"/>
      <c r="AL132" s="43"/>
      <c r="AQ132" s="43"/>
      <c r="AV132" s="43"/>
      <c r="BA132" s="43"/>
      <c r="BF132" s="43"/>
      <c r="BK132" s="43"/>
      <c r="BQ132" s="43"/>
      <c r="BV132" s="43"/>
      <c r="CC132" s="43"/>
    </row>
    <row r="133" spans="2:81" ht="15.75" customHeight="1">
      <c r="B133" s="36"/>
      <c r="D133" s="36"/>
      <c r="F133" s="43"/>
      <c r="L133" s="43"/>
      <c r="Q133" s="43"/>
      <c r="V133" s="43"/>
      <c r="AD133" s="43"/>
      <c r="AG133" s="43"/>
      <c r="AL133" s="43"/>
      <c r="AQ133" s="43"/>
      <c r="AV133" s="43"/>
      <c r="BA133" s="43"/>
      <c r="BF133" s="43"/>
      <c r="BK133" s="43"/>
      <c r="BQ133" s="43"/>
      <c r="BV133" s="43"/>
      <c r="CC133" s="43"/>
    </row>
    <row r="134" spans="2:81" ht="15.75" customHeight="1">
      <c r="B134" s="36"/>
      <c r="D134" s="36"/>
      <c r="F134" s="43"/>
      <c r="L134" s="43"/>
      <c r="Q134" s="43"/>
      <c r="V134" s="43"/>
      <c r="AD134" s="43"/>
      <c r="AG134" s="43"/>
      <c r="AL134" s="43"/>
      <c r="AQ134" s="43"/>
      <c r="AV134" s="43"/>
      <c r="BA134" s="43"/>
      <c r="BF134" s="43"/>
      <c r="BK134" s="43"/>
      <c r="BQ134" s="43"/>
      <c r="BV134" s="43"/>
      <c r="CC134" s="43"/>
    </row>
    <row r="135" spans="2:81" ht="15.75" customHeight="1">
      <c r="B135" s="36"/>
      <c r="D135" s="36"/>
      <c r="F135" s="43"/>
      <c r="L135" s="43"/>
      <c r="Q135" s="43"/>
      <c r="V135" s="43"/>
      <c r="AD135" s="43"/>
      <c r="AG135" s="43"/>
      <c r="AL135" s="43"/>
      <c r="AQ135" s="43"/>
      <c r="AV135" s="43"/>
      <c r="BA135" s="43"/>
      <c r="BF135" s="43"/>
      <c r="BK135" s="43"/>
      <c r="BQ135" s="43"/>
      <c r="BV135" s="43"/>
      <c r="CC135" s="43"/>
    </row>
    <row r="136" spans="2:81" ht="15.75" customHeight="1">
      <c r="B136" s="36"/>
      <c r="D136" s="36"/>
      <c r="F136" s="43"/>
      <c r="L136" s="43"/>
      <c r="Q136" s="43"/>
      <c r="V136" s="43"/>
      <c r="AD136" s="43"/>
      <c r="AG136" s="43"/>
      <c r="AL136" s="43"/>
      <c r="AQ136" s="43"/>
      <c r="AV136" s="43"/>
      <c r="BA136" s="43"/>
      <c r="BF136" s="43"/>
      <c r="BK136" s="43"/>
      <c r="BQ136" s="43"/>
      <c r="BV136" s="43"/>
      <c r="CC136" s="43"/>
    </row>
    <row r="137" spans="2:81" ht="15.75" customHeight="1">
      <c r="B137" s="36"/>
      <c r="D137" s="36"/>
      <c r="F137" s="43"/>
      <c r="L137" s="43"/>
      <c r="Q137" s="43"/>
      <c r="V137" s="43"/>
      <c r="AD137" s="43"/>
      <c r="AG137" s="43"/>
      <c r="AL137" s="43"/>
      <c r="AQ137" s="43"/>
      <c r="AV137" s="43"/>
      <c r="BA137" s="43"/>
      <c r="BF137" s="43"/>
      <c r="BK137" s="43"/>
      <c r="BQ137" s="43"/>
      <c r="BV137" s="43"/>
      <c r="CC137" s="43"/>
    </row>
    <row r="138" spans="2:81" ht="15.75" customHeight="1">
      <c r="B138" s="36"/>
      <c r="D138" s="36"/>
      <c r="F138" s="43"/>
      <c r="L138" s="43"/>
      <c r="Q138" s="43"/>
      <c r="V138" s="43"/>
      <c r="AD138" s="43"/>
      <c r="AG138" s="43"/>
      <c r="AL138" s="43"/>
      <c r="AQ138" s="43"/>
      <c r="AV138" s="43"/>
      <c r="BA138" s="43"/>
      <c r="BF138" s="43"/>
      <c r="BK138" s="43"/>
      <c r="BQ138" s="43"/>
      <c r="BV138" s="43"/>
      <c r="CC138" s="43"/>
    </row>
    <row r="139" spans="2:81" ht="15.75" customHeight="1">
      <c r="B139" s="36"/>
      <c r="D139" s="36"/>
      <c r="F139" s="43"/>
      <c r="L139" s="43"/>
      <c r="Q139" s="43"/>
      <c r="V139" s="43"/>
      <c r="AD139" s="43"/>
      <c r="AG139" s="43"/>
      <c r="AL139" s="43"/>
      <c r="AQ139" s="43"/>
      <c r="AV139" s="43"/>
      <c r="BA139" s="43"/>
      <c r="BF139" s="43"/>
      <c r="BK139" s="43"/>
      <c r="BQ139" s="43"/>
      <c r="BV139" s="43"/>
      <c r="CC139" s="43"/>
    </row>
    <row r="140" spans="2:81" ht="15.75" customHeight="1">
      <c r="B140" s="36"/>
      <c r="D140" s="36"/>
      <c r="F140" s="43"/>
      <c r="L140" s="43"/>
      <c r="Q140" s="43"/>
      <c r="V140" s="43"/>
      <c r="AD140" s="43"/>
      <c r="AG140" s="43"/>
      <c r="AL140" s="43"/>
      <c r="AQ140" s="43"/>
      <c r="AV140" s="43"/>
      <c r="BA140" s="43"/>
      <c r="BF140" s="43"/>
      <c r="BK140" s="43"/>
      <c r="BQ140" s="43"/>
      <c r="BV140" s="43"/>
      <c r="CC140" s="43"/>
    </row>
    <row r="141" spans="2:81" ht="15.75" customHeight="1">
      <c r="B141" s="36"/>
      <c r="D141" s="36"/>
      <c r="F141" s="43"/>
      <c r="L141" s="43"/>
      <c r="Q141" s="43"/>
      <c r="V141" s="43"/>
      <c r="AD141" s="43"/>
      <c r="AG141" s="43"/>
      <c r="AL141" s="43"/>
      <c r="AQ141" s="43"/>
      <c r="AV141" s="43"/>
      <c r="BA141" s="43"/>
      <c r="BF141" s="43"/>
      <c r="BK141" s="43"/>
      <c r="BQ141" s="43"/>
      <c r="BV141" s="43"/>
      <c r="CC141" s="43"/>
    </row>
    <row r="142" spans="2:81" ht="15.75" customHeight="1">
      <c r="B142" s="36"/>
      <c r="D142" s="36"/>
      <c r="F142" s="43"/>
      <c r="L142" s="43"/>
      <c r="Q142" s="43"/>
      <c r="V142" s="43"/>
      <c r="AD142" s="43"/>
      <c r="AG142" s="43"/>
      <c r="AL142" s="43"/>
      <c r="AQ142" s="43"/>
      <c r="AV142" s="43"/>
      <c r="BA142" s="43"/>
      <c r="BF142" s="43"/>
      <c r="BK142" s="43"/>
      <c r="BQ142" s="43"/>
      <c r="BV142" s="43"/>
      <c r="CC142" s="43"/>
    </row>
    <row r="143" spans="2:81" ht="15.75" customHeight="1">
      <c r="B143" s="36"/>
      <c r="D143" s="36"/>
      <c r="F143" s="43"/>
      <c r="L143" s="43"/>
      <c r="Q143" s="43"/>
      <c r="V143" s="43"/>
      <c r="AD143" s="43"/>
      <c r="AG143" s="43"/>
      <c r="AL143" s="43"/>
      <c r="AQ143" s="43"/>
      <c r="AV143" s="43"/>
      <c r="BA143" s="43"/>
      <c r="BF143" s="43"/>
      <c r="BK143" s="43"/>
      <c r="BQ143" s="43"/>
      <c r="BV143" s="43"/>
      <c r="CC143" s="43"/>
    </row>
    <row r="144" spans="2:81" ht="15.75" customHeight="1">
      <c r="B144" s="36"/>
      <c r="D144" s="36"/>
      <c r="F144" s="43"/>
      <c r="L144" s="43"/>
      <c r="Q144" s="43"/>
      <c r="V144" s="43"/>
      <c r="AD144" s="43"/>
      <c r="AG144" s="43"/>
      <c r="AL144" s="43"/>
      <c r="AQ144" s="43"/>
      <c r="AV144" s="43"/>
      <c r="BA144" s="43"/>
      <c r="BF144" s="43"/>
      <c r="BK144" s="43"/>
      <c r="BQ144" s="43"/>
      <c r="BV144" s="43"/>
      <c r="CC144" s="43"/>
    </row>
    <row r="145" spans="2:81" ht="15.75" customHeight="1">
      <c r="B145" s="36"/>
      <c r="D145" s="36"/>
      <c r="F145" s="43"/>
      <c r="L145" s="43"/>
      <c r="Q145" s="43"/>
      <c r="V145" s="43"/>
      <c r="AD145" s="43"/>
      <c r="AG145" s="43"/>
      <c r="AL145" s="43"/>
      <c r="AQ145" s="43"/>
      <c r="AV145" s="43"/>
      <c r="BA145" s="43"/>
      <c r="BF145" s="43"/>
      <c r="BK145" s="43"/>
      <c r="BQ145" s="43"/>
      <c r="BV145" s="43"/>
      <c r="CC145" s="43"/>
    </row>
    <row r="146" spans="2:81" ht="15.75" customHeight="1">
      <c r="B146" s="36"/>
      <c r="D146" s="36"/>
      <c r="F146" s="43"/>
      <c r="L146" s="43"/>
      <c r="Q146" s="43"/>
      <c r="V146" s="43"/>
      <c r="AD146" s="43"/>
      <c r="AG146" s="43"/>
      <c r="AL146" s="43"/>
      <c r="AQ146" s="43"/>
      <c r="AV146" s="43"/>
      <c r="BA146" s="43"/>
      <c r="BF146" s="43"/>
      <c r="BK146" s="43"/>
      <c r="BQ146" s="43"/>
      <c r="BV146" s="43"/>
      <c r="CC146" s="43"/>
    </row>
    <row r="147" spans="2:81" ht="15.75" customHeight="1">
      <c r="B147" s="36"/>
      <c r="D147" s="36"/>
      <c r="F147" s="43"/>
      <c r="L147" s="43"/>
      <c r="Q147" s="43"/>
      <c r="V147" s="43"/>
      <c r="AD147" s="43"/>
      <c r="AG147" s="43"/>
      <c r="AL147" s="43"/>
      <c r="AQ147" s="43"/>
      <c r="AV147" s="43"/>
      <c r="BA147" s="43"/>
      <c r="BF147" s="43"/>
      <c r="BK147" s="43"/>
      <c r="BQ147" s="43"/>
      <c r="BV147" s="43"/>
      <c r="CC147" s="43"/>
    </row>
    <row r="148" spans="2:81" ht="15.75" customHeight="1">
      <c r="B148" s="36"/>
      <c r="D148" s="36"/>
      <c r="F148" s="43"/>
      <c r="L148" s="43"/>
      <c r="Q148" s="43"/>
      <c r="V148" s="43"/>
      <c r="AD148" s="43"/>
      <c r="AG148" s="43"/>
      <c r="AL148" s="43"/>
      <c r="AQ148" s="43"/>
      <c r="AV148" s="43"/>
      <c r="BA148" s="43"/>
      <c r="BF148" s="43"/>
      <c r="BK148" s="43"/>
      <c r="BQ148" s="43"/>
      <c r="BV148" s="43"/>
      <c r="CC148" s="43"/>
    </row>
    <row r="149" spans="2:81" ht="15.75" customHeight="1">
      <c r="B149" s="36"/>
      <c r="D149" s="36"/>
      <c r="F149" s="43"/>
      <c r="L149" s="43"/>
      <c r="Q149" s="43"/>
      <c r="V149" s="43"/>
      <c r="AD149" s="43"/>
      <c r="AG149" s="43"/>
      <c r="AL149" s="43"/>
      <c r="AQ149" s="43"/>
      <c r="AV149" s="43"/>
      <c r="BA149" s="43"/>
      <c r="BF149" s="43"/>
      <c r="BK149" s="43"/>
      <c r="BQ149" s="43"/>
      <c r="BV149" s="43"/>
      <c r="CC149" s="43"/>
    </row>
    <row r="150" spans="2:81" ht="15.75" customHeight="1">
      <c r="B150" s="36"/>
      <c r="D150" s="36"/>
      <c r="F150" s="43"/>
      <c r="L150" s="43"/>
      <c r="Q150" s="43"/>
      <c r="V150" s="43"/>
      <c r="AD150" s="43"/>
      <c r="AG150" s="43"/>
      <c r="AL150" s="43"/>
      <c r="AQ150" s="43"/>
      <c r="AV150" s="43"/>
      <c r="BA150" s="43"/>
      <c r="BF150" s="43"/>
      <c r="BK150" s="43"/>
      <c r="BQ150" s="43"/>
      <c r="BV150" s="43"/>
      <c r="CC150" s="43"/>
    </row>
    <row r="151" spans="2:81" ht="15.75" customHeight="1">
      <c r="B151" s="36"/>
      <c r="D151" s="36"/>
      <c r="F151" s="43"/>
      <c r="L151" s="43"/>
      <c r="Q151" s="43"/>
      <c r="V151" s="43"/>
      <c r="AD151" s="43"/>
      <c r="AG151" s="43"/>
      <c r="AL151" s="43"/>
      <c r="AQ151" s="43"/>
      <c r="AV151" s="43"/>
      <c r="BA151" s="43"/>
      <c r="BF151" s="43"/>
      <c r="BK151" s="43"/>
      <c r="BQ151" s="43"/>
      <c r="BV151" s="43"/>
      <c r="CC151" s="43"/>
    </row>
    <row r="152" spans="2:81" ht="15.75" customHeight="1">
      <c r="B152" s="36"/>
      <c r="D152" s="36"/>
      <c r="F152" s="43"/>
      <c r="L152" s="43"/>
      <c r="Q152" s="43"/>
      <c r="V152" s="43"/>
      <c r="AD152" s="43"/>
      <c r="AG152" s="43"/>
      <c r="AL152" s="43"/>
      <c r="AQ152" s="43"/>
      <c r="AV152" s="43"/>
      <c r="BA152" s="43"/>
      <c r="BF152" s="43"/>
      <c r="BK152" s="43"/>
      <c r="BQ152" s="43"/>
      <c r="BV152" s="43"/>
      <c r="CC152" s="43"/>
    </row>
    <row r="153" spans="2:81" ht="15.75" customHeight="1">
      <c r="B153" s="36"/>
      <c r="D153" s="36"/>
      <c r="F153" s="43"/>
      <c r="L153" s="43"/>
      <c r="Q153" s="43"/>
      <c r="V153" s="43"/>
      <c r="AD153" s="43"/>
      <c r="AG153" s="43"/>
      <c r="AL153" s="43"/>
      <c r="AQ153" s="43"/>
      <c r="AV153" s="43"/>
      <c r="BA153" s="43"/>
      <c r="BF153" s="43"/>
      <c r="BK153" s="43"/>
      <c r="BQ153" s="43"/>
      <c r="BV153" s="43"/>
      <c r="CC153" s="43"/>
    </row>
    <row r="154" spans="2:81" ht="15.75" customHeight="1">
      <c r="B154" s="36"/>
      <c r="D154" s="36"/>
      <c r="F154" s="43"/>
      <c r="L154" s="43"/>
      <c r="Q154" s="43"/>
      <c r="V154" s="43"/>
      <c r="AD154" s="43"/>
      <c r="AG154" s="43"/>
      <c r="AL154" s="43"/>
      <c r="AQ154" s="43"/>
      <c r="AV154" s="43"/>
      <c r="BA154" s="43"/>
      <c r="BF154" s="43"/>
      <c r="BK154" s="43"/>
      <c r="BQ154" s="43"/>
      <c r="BV154" s="43"/>
      <c r="CC154" s="43"/>
    </row>
    <row r="155" spans="2:81" ht="15.75" customHeight="1">
      <c r="B155" s="36"/>
      <c r="D155" s="36"/>
      <c r="F155" s="43"/>
      <c r="L155" s="43"/>
      <c r="Q155" s="43"/>
      <c r="V155" s="43"/>
      <c r="AD155" s="43"/>
      <c r="AG155" s="43"/>
      <c r="AL155" s="43"/>
      <c r="AQ155" s="43"/>
      <c r="AV155" s="43"/>
      <c r="BA155" s="43"/>
      <c r="BF155" s="43"/>
      <c r="BK155" s="43"/>
      <c r="BQ155" s="43"/>
      <c r="BV155" s="43"/>
      <c r="CC155" s="43"/>
    </row>
    <row r="156" spans="2:81" ht="15.75" customHeight="1">
      <c r="B156" s="36"/>
      <c r="D156" s="36"/>
      <c r="F156" s="43"/>
      <c r="L156" s="43"/>
      <c r="Q156" s="43"/>
      <c r="V156" s="43"/>
      <c r="AD156" s="43"/>
      <c r="AG156" s="43"/>
      <c r="AL156" s="43"/>
      <c r="AQ156" s="43"/>
      <c r="AV156" s="43"/>
      <c r="BA156" s="43"/>
      <c r="BF156" s="43"/>
      <c r="BK156" s="43"/>
      <c r="BQ156" s="43"/>
      <c r="BV156" s="43"/>
      <c r="CC156" s="43"/>
    </row>
    <row r="157" spans="2:81" ht="15.75" customHeight="1">
      <c r="B157" s="36"/>
      <c r="D157" s="36"/>
      <c r="F157" s="43"/>
      <c r="L157" s="43"/>
      <c r="Q157" s="43"/>
      <c r="V157" s="43"/>
      <c r="AD157" s="43"/>
      <c r="AG157" s="43"/>
      <c r="AL157" s="43"/>
      <c r="AQ157" s="43"/>
      <c r="AV157" s="43"/>
      <c r="BA157" s="43"/>
      <c r="BF157" s="43"/>
      <c r="BK157" s="43"/>
      <c r="BQ157" s="43"/>
      <c r="BV157" s="43"/>
      <c r="CC157" s="43"/>
    </row>
    <row r="158" spans="2:81" ht="15.75" customHeight="1">
      <c r="B158" s="36"/>
      <c r="D158" s="36"/>
      <c r="F158" s="43"/>
      <c r="L158" s="43"/>
      <c r="Q158" s="43"/>
      <c r="V158" s="43"/>
      <c r="AD158" s="43"/>
      <c r="AG158" s="43"/>
      <c r="AL158" s="43"/>
      <c r="AQ158" s="43"/>
      <c r="AV158" s="43"/>
      <c r="BA158" s="43"/>
      <c r="BF158" s="43"/>
      <c r="BK158" s="43"/>
      <c r="BQ158" s="43"/>
      <c r="BV158" s="43"/>
      <c r="CC158" s="43"/>
    </row>
    <row r="159" spans="2:81" ht="15.75" customHeight="1">
      <c r="B159" s="36"/>
      <c r="D159" s="36"/>
      <c r="F159" s="43"/>
      <c r="L159" s="43"/>
      <c r="Q159" s="43"/>
      <c r="V159" s="43"/>
      <c r="AD159" s="43"/>
      <c r="AG159" s="43"/>
      <c r="AL159" s="43"/>
      <c r="AQ159" s="43"/>
      <c r="AV159" s="43"/>
      <c r="BA159" s="43"/>
      <c r="BF159" s="43"/>
      <c r="BK159" s="43"/>
      <c r="BQ159" s="43"/>
      <c r="BV159" s="43"/>
      <c r="CC159" s="43"/>
    </row>
    <row r="160" spans="2:81" ht="15.75" customHeight="1">
      <c r="B160" s="36"/>
      <c r="D160" s="36"/>
      <c r="F160" s="43"/>
      <c r="L160" s="43"/>
      <c r="Q160" s="43"/>
      <c r="V160" s="43"/>
      <c r="AD160" s="43"/>
      <c r="AG160" s="43"/>
      <c r="AL160" s="43"/>
      <c r="AQ160" s="43"/>
      <c r="AV160" s="43"/>
      <c r="BA160" s="43"/>
      <c r="BF160" s="43"/>
      <c r="BK160" s="43"/>
      <c r="BQ160" s="43"/>
      <c r="BV160" s="43"/>
      <c r="CC160" s="43"/>
    </row>
    <row r="161" spans="2:81" ht="15.75" customHeight="1">
      <c r="B161" s="36"/>
      <c r="D161" s="36"/>
      <c r="F161" s="43"/>
      <c r="L161" s="43"/>
      <c r="Q161" s="43"/>
      <c r="V161" s="43"/>
      <c r="AD161" s="43"/>
      <c r="AG161" s="43"/>
      <c r="AL161" s="43"/>
      <c r="AQ161" s="43"/>
      <c r="AV161" s="43"/>
      <c r="BA161" s="43"/>
      <c r="BF161" s="43"/>
      <c r="BK161" s="43"/>
      <c r="BQ161" s="43"/>
      <c r="BV161" s="43"/>
      <c r="CC161" s="43"/>
    </row>
    <row r="162" spans="2:81" ht="15.75" customHeight="1">
      <c r="B162" s="36"/>
      <c r="D162" s="36"/>
      <c r="F162" s="43"/>
      <c r="L162" s="43"/>
      <c r="Q162" s="43"/>
      <c r="V162" s="43"/>
      <c r="AD162" s="43"/>
      <c r="AG162" s="43"/>
      <c r="AL162" s="43"/>
      <c r="AQ162" s="43"/>
      <c r="AV162" s="43"/>
      <c r="BA162" s="43"/>
      <c r="BF162" s="43"/>
      <c r="BK162" s="43"/>
      <c r="BQ162" s="43"/>
      <c r="BV162" s="43"/>
      <c r="CC162" s="43"/>
    </row>
    <row r="163" spans="2:81" ht="15.75" customHeight="1">
      <c r="B163" s="36"/>
      <c r="D163" s="36"/>
      <c r="F163" s="43"/>
      <c r="L163" s="43"/>
      <c r="Q163" s="43"/>
      <c r="V163" s="43"/>
      <c r="AD163" s="43"/>
      <c r="AG163" s="43"/>
      <c r="AL163" s="43"/>
      <c r="AQ163" s="43"/>
      <c r="AV163" s="43"/>
      <c r="BA163" s="43"/>
      <c r="BF163" s="43"/>
      <c r="BK163" s="43"/>
      <c r="BQ163" s="43"/>
      <c r="BV163" s="43"/>
      <c r="CC163" s="43"/>
    </row>
    <row r="164" spans="2:81" ht="15.75" customHeight="1">
      <c r="B164" s="36"/>
      <c r="D164" s="36"/>
      <c r="F164" s="43"/>
      <c r="L164" s="43"/>
      <c r="Q164" s="43"/>
      <c r="V164" s="43"/>
      <c r="AD164" s="43"/>
      <c r="AG164" s="43"/>
      <c r="AL164" s="43"/>
      <c r="AQ164" s="43"/>
      <c r="AV164" s="43"/>
      <c r="BA164" s="43"/>
      <c r="BF164" s="43"/>
      <c r="BK164" s="43"/>
      <c r="BQ164" s="43"/>
      <c r="BV164" s="43"/>
      <c r="CC164" s="43"/>
    </row>
    <row r="165" spans="2:81" ht="15.75" customHeight="1">
      <c r="B165" s="36"/>
      <c r="D165" s="36"/>
      <c r="F165" s="43"/>
      <c r="L165" s="43"/>
      <c r="Q165" s="43"/>
      <c r="V165" s="43"/>
      <c r="AD165" s="43"/>
      <c r="AG165" s="43"/>
      <c r="AL165" s="43"/>
      <c r="AQ165" s="43"/>
      <c r="AV165" s="43"/>
      <c r="BA165" s="43"/>
      <c r="BF165" s="43"/>
      <c r="BK165" s="43"/>
      <c r="BQ165" s="43"/>
      <c r="BV165" s="43"/>
      <c r="CC165" s="43"/>
    </row>
    <row r="166" spans="2:81" ht="15.75" customHeight="1">
      <c r="B166" s="36"/>
      <c r="D166" s="36"/>
      <c r="F166" s="43"/>
      <c r="L166" s="43"/>
      <c r="Q166" s="43"/>
      <c r="V166" s="43"/>
      <c r="AD166" s="43"/>
      <c r="AG166" s="43"/>
      <c r="AL166" s="43"/>
      <c r="AQ166" s="43"/>
      <c r="AV166" s="43"/>
      <c r="BA166" s="43"/>
      <c r="BF166" s="43"/>
      <c r="BK166" s="43"/>
      <c r="BQ166" s="43"/>
      <c r="BV166" s="43"/>
      <c r="CC166" s="43"/>
    </row>
    <row r="167" spans="2:81" ht="15.75" customHeight="1">
      <c r="B167" s="36"/>
      <c r="D167" s="36"/>
      <c r="F167" s="43"/>
      <c r="L167" s="43"/>
      <c r="Q167" s="43"/>
      <c r="V167" s="43"/>
      <c r="AD167" s="43"/>
      <c r="AG167" s="43"/>
      <c r="AL167" s="43"/>
      <c r="AQ167" s="43"/>
      <c r="AV167" s="43"/>
      <c r="BA167" s="43"/>
      <c r="BF167" s="43"/>
      <c r="BK167" s="43"/>
      <c r="BQ167" s="43"/>
      <c r="BV167" s="43"/>
      <c r="CC167" s="43"/>
    </row>
    <row r="168" spans="2:81" ht="15.75" customHeight="1">
      <c r="B168" s="36"/>
      <c r="D168" s="36"/>
      <c r="F168" s="43"/>
      <c r="L168" s="43"/>
      <c r="Q168" s="43"/>
      <c r="V168" s="43"/>
      <c r="AD168" s="43"/>
      <c r="AG168" s="43"/>
      <c r="AL168" s="43"/>
      <c r="AQ168" s="43"/>
      <c r="AV168" s="43"/>
      <c r="BA168" s="43"/>
      <c r="BF168" s="43"/>
      <c r="BK168" s="43"/>
      <c r="BQ168" s="43"/>
      <c r="BV168" s="43"/>
      <c r="CC168" s="43"/>
    </row>
    <row r="169" spans="2:81" ht="15.75" customHeight="1">
      <c r="B169" s="36"/>
      <c r="D169" s="36"/>
      <c r="F169" s="43"/>
      <c r="L169" s="43"/>
      <c r="Q169" s="43"/>
      <c r="V169" s="43"/>
      <c r="AD169" s="43"/>
      <c r="AG169" s="43"/>
      <c r="AL169" s="43"/>
      <c r="AQ169" s="43"/>
      <c r="AV169" s="43"/>
      <c r="BA169" s="43"/>
      <c r="BF169" s="43"/>
      <c r="BK169" s="43"/>
      <c r="BQ169" s="43"/>
      <c r="BV169" s="43"/>
      <c r="CC169" s="43"/>
    </row>
    <row r="170" spans="2:81" ht="15.75" customHeight="1">
      <c r="B170" s="36"/>
      <c r="D170" s="36"/>
      <c r="F170" s="43"/>
      <c r="L170" s="43"/>
      <c r="Q170" s="43"/>
      <c r="V170" s="43"/>
      <c r="AD170" s="43"/>
      <c r="AG170" s="43"/>
      <c r="AL170" s="43"/>
      <c r="AQ170" s="43"/>
      <c r="AV170" s="43"/>
      <c r="BA170" s="43"/>
      <c r="BF170" s="43"/>
      <c r="BK170" s="43"/>
      <c r="BQ170" s="43"/>
      <c r="BV170" s="43"/>
      <c r="CC170" s="43"/>
    </row>
    <row r="171" spans="2:81" ht="15.75" customHeight="1">
      <c r="B171" s="36"/>
      <c r="D171" s="36"/>
      <c r="F171" s="43"/>
      <c r="L171" s="43"/>
      <c r="Q171" s="43"/>
      <c r="V171" s="43"/>
      <c r="AD171" s="43"/>
      <c r="AG171" s="43"/>
      <c r="AL171" s="43"/>
      <c r="AQ171" s="43"/>
      <c r="AV171" s="43"/>
      <c r="BA171" s="43"/>
      <c r="BF171" s="43"/>
      <c r="BK171" s="43"/>
      <c r="BQ171" s="43"/>
      <c r="BV171" s="43"/>
      <c r="CC171" s="43"/>
    </row>
    <row r="172" spans="2:81" ht="15.75" customHeight="1">
      <c r="B172" s="36"/>
      <c r="D172" s="36"/>
      <c r="F172" s="43"/>
      <c r="L172" s="43"/>
      <c r="Q172" s="43"/>
      <c r="V172" s="43"/>
      <c r="AD172" s="43"/>
      <c r="AG172" s="43"/>
      <c r="AL172" s="43"/>
      <c r="AQ172" s="43"/>
      <c r="AV172" s="43"/>
      <c r="BA172" s="43"/>
      <c r="BF172" s="43"/>
      <c r="BK172" s="43"/>
      <c r="BQ172" s="43"/>
      <c r="BV172" s="43"/>
      <c r="CC172" s="43"/>
    </row>
    <row r="173" spans="2:81" ht="15.75" customHeight="1">
      <c r="B173" s="36"/>
      <c r="D173" s="36"/>
      <c r="F173" s="43"/>
      <c r="L173" s="43"/>
      <c r="Q173" s="43"/>
      <c r="V173" s="43"/>
      <c r="AD173" s="43"/>
      <c r="AG173" s="43"/>
      <c r="AL173" s="43"/>
      <c r="AQ173" s="43"/>
      <c r="AV173" s="43"/>
      <c r="BA173" s="43"/>
      <c r="BF173" s="43"/>
      <c r="BK173" s="43"/>
      <c r="BQ173" s="43"/>
      <c r="BV173" s="43"/>
      <c r="CC173" s="43"/>
    </row>
    <row r="174" spans="2:81" ht="15.75" customHeight="1">
      <c r="B174" s="36"/>
      <c r="D174" s="36"/>
      <c r="F174" s="43"/>
      <c r="L174" s="43"/>
      <c r="Q174" s="43"/>
      <c r="V174" s="43"/>
      <c r="AD174" s="43"/>
      <c r="AG174" s="43"/>
      <c r="AL174" s="43"/>
      <c r="AQ174" s="43"/>
      <c r="AV174" s="43"/>
      <c r="BA174" s="43"/>
      <c r="BF174" s="43"/>
      <c r="BK174" s="43"/>
      <c r="BQ174" s="43"/>
      <c r="BV174" s="43"/>
      <c r="CC174" s="43"/>
    </row>
    <row r="175" spans="2:81" ht="15.75" customHeight="1">
      <c r="B175" s="36"/>
      <c r="D175" s="36"/>
      <c r="F175" s="43"/>
      <c r="L175" s="43"/>
      <c r="Q175" s="43"/>
      <c r="V175" s="43"/>
      <c r="AD175" s="43"/>
      <c r="AG175" s="43"/>
      <c r="AL175" s="43"/>
      <c r="AQ175" s="43"/>
      <c r="AV175" s="43"/>
      <c r="BA175" s="43"/>
      <c r="BF175" s="43"/>
      <c r="BK175" s="43"/>
      <c r="BQ175" s="43"/>
      <c r="BV175" s="43"/>
      <c r="CC175" s="43"/>
    </row>
    <row r="176" spans="2:81" ht="15.75" customHeight="1">
      <c r="B176" s="36"/>
      <c r="D176" s="36"/>
      <c r="F176" s="43"/>
      <c r="L176" s="43"/>
      <c r="Q176" s="43"/>
      <c r="V176" s="43"/>
      <c r="AD176" s="43"/>
      <c r="AG176" s="43"/>
      <c r="AL176" s="43"/>
      <c r="AQ176" s="43"/>
      <c r="AV176" s="43"/>
      <c r="BA176" s="43"/>
      <c r="BF176" s="43"/>
      <c r="BK176" s="43"/>
      <c r="BQ176" s="43"/>
      <c r="BV176" s="43"/>
      <c r="CC176" s="43"/>
    </row>
    <row r="177" spans="2:81" ht="15.75" customHeight="1">
      <c r="B177" s="36"/>
      <c r="D177" s="36"/>
      <c r="F177" s="43"/>
      <c r="L177" s="43"/>
      <c r="Q177" s="43"/>
      <c r="V177" s="43"/>
      <c r="AD177" s="43"/>
      <c r="AG177" s="43"/>
      <c r="AL177" s="43"/>
      <c r="AQ177" s="43"/>
      <c r="AV177" s="43"/>
      <c r="BA177" s="43"/>
      <c r="BF177" s="43"/>
      <c r="BK177" s="43"/>
      <c r="BQ177" s="43"/>
      <c r="BV177" s="43"/>
      <c r="CC177" s="43"/>
    </row>
    <row r="178" spans="2:81" ht="15.75" customHeight="1">
      <c r="B178" s="36"/>
      <c r="D178" s="36"/>
      <c r="F178" s="43"/>
      <c r="L178" s="43"/>
      <c r="Q178" s="43"/>
      <c r="V178" s="43"/>
      <c r="AD178" s="43"/>
      <c r="AG178" s="43"/>
      <c r="AL178" s="43"/>
      <c r="AQ178" s="43"/>
      <c r="AV178" s="43"/>
      <c r="BA178" s="43"/>
      <c r="BF178" s="43"/>
      <c r="BK178" s="43"/>
      <c r="BQ178" s="43"/>
      <c r="BV178" s="43"/>
      <c r="CC178" s="43"/>
    </row>
    <row r="179" spans="2:81" ht="15.75" customHeight="1">
      <c r="B179" s="36"/>
      <c r="D179" s="36"/>
      <c r="F179" s="43"/>
      <c r="L179" s="43"/>
      <c r="Q179" s="43"/>
      <c r="V179" s="43"/>
      <c r="AD179" s="43"/>
      <c r="AG179" s="43"/>
      <c r="AL179" s="43"/>
      <c r="AQ179" s="43"/>
      <c r="AV179" s="43"/>
      <c r="BA179" s="43"/>
      <c r="BF179" s="43"/>
      <c r="BK179" s="43"/>
      <c r="BQ179" s="43"/>
      <c r="BV179" s="43"/>
      <c r="CC179" s="43"/>
    </row>
    <row r="180" spans="2:81" ht="15.75" customHeight="1">
      <c r="B180" s="36"/>
      <c r="D180" s="36"/>
      <c r="F180" s="43"/>
      <c r="L180" s="43"/>
      <c r="Q180" s="43"/>
      <c r="V180" s="43"/>
      <c r="AD180" s="43"/>
      <c r="AG180" s="43"/>
      <c r="AL180" s="43"/>
      <c r="AQ180" s="43"/>
      <c r="AV180" s="43"/>
      <c r="BA180" s="43"/>
      <c r="BF180" s="43"/>
      <c r="BK180" s="43"/>
      <c r="BQ180" s="43"/>
      <c r="BV180" s="43"/>
      <c r="CC180" s="43"/>
    </row>
    <row r="181" spans="2:81" ht="15.75" customHeight="1">
      <c r="B181" s="36"/>
      <c r="D181" s="36"/>
      <c r="F181" s="43"/>
      <c r="L181" s="43"/>
      <c r="Q181" s="43"/>
      <c r="V181" s="43"/>
      <c r="AD181" s="43"/>
      <c r="AG181" s="43"/>
      <c r="AL181" s="43"/>
      <c r="AQ181" s="43"/>
      <c r="AV181" s="43"/>
      <c r="BA181" s="43"/>
      <c r="BF181" s="43"/>
      <c r="BK181" s="43"/>
      <c r="BQ181" s="43"/>
      <c r="BV181" s="43"/>
      <c r="CC181" s="43"/>
    </row>
    <row r="182" spans="2:81" ht="15.75" customHeight="1">
      <c r="B182" s="36"/>
      <c r="D182" s="36"/>
      <c r="F182" s="43"/>
      <c r="L182" s="43"/>
      <c r="Q182" s="43"/>
      <c r="V182" s="43"/>
      <c r="AD182" s="43"/>
      <c r="AG182" s="43"/>
      <c r="AL182" s="43"/>
      <c r="AQ182" s="43"/>
      <c r="AV182" s="43"/>
      <c r="BA182" s="43"/>
      <c r="BF182" s="43"/>
      <c r="BK182" s="43"/>
      <c r="BQ182" s="43"/>
      <c r="BV182" s="43"/>
      <c r="CC182" s="43"/>
    </row>
    <row r="183" spans="2:81" ht="15.75" customHeight="1">
      <c r="B183" s="36"/>
      <c r="D183" s="36"/>
      <c r="F183" s="43"/>
      <c r="L183" s="43"/>
      <c r="Q183" s="43"/>
      <c r="V183" s="43"/>
      <c r="AD183" s="43"/>
      <c r="AG183" s="43"/>
      <c r="AL183" s="43"/>
      <c r="AQ183" s="43"/>
      <c r="AV183" s="43"/>
      <c r="BA183" s="43"/>
      <c r="BF183" s="43"/>
      <c r="BK183" s="43"/>
      <c r="BQ183" s="43"/>
      <c r="BV183" s="43"/>
      <c r="CC183" s="43"/>
    </row>
    <row r="184" spans="2:81" ht="15.75" customHeight="1">
      <c r="B184" s="36"/>
      <c r="D184" s="36"/>
      <c r="F184" s="43"/>
      <c r="L184" s="43"/>
      <c r="Q184" s="43"/>
      <c r="V184" s="43"/>
      <c r="AD184" s="43"/>
      <c r="AG184" s="43"/>
      <c r="AL184" s="43"/>
      <c r="AQ184" s="43"/>
      <c r="AV184" s="43"/>
      <c r="BA184" s="43"/>
      <c r="BF184" s="43"/>
      <c r="BK184" s="43"/>
      <c r="BQ184" s="43"/>
      <c r="BV184" s="43"/>
      <c r="CC184" s="43"/>
    </row>
    <row r="185" spans="2:81" ht="15.75" customHeight="1">
      <c r="B185" s="36"/>
      <c r="D185" s="36"/>
      <c r="F185" s="43"/>
      <c r="L185" s="43"/>
      <c r="Q185" s="43"/>
      <c r="V185" s="43"/>
      <c r="AD185" s="43"/>
      <c r="AG185" s="43"/>
      <c r="AL185" s="43"/>
      <c r="AQ185" s="43"/>
      <c r="AV185" s="43"/>
      <c r="BA185" s="43"/>
      <c r="BF185" s="43"/>
      <c r="BK185" s="43"/>
      <c r="BQ185" s="43"/>
      <c r="BV185" s="43"/>
      <c r="CC185" s="43"/>
    </row>
    <row r="186" spans="2:81" ht="15.75" customHeight="1">
      <c r="B186" s="36"/>
      <c r="D186" s="36"/>
      <c r="F186" s="43"/>
      <c r="L186" s="43"/>
      <c r="Q186" s="43"/>
      <c r="V186" s="43"/>
      <c r="AD186" s="43"/>
      <c r="AG186" s="43"/>
      <c r="AL186" s="43"/>
      <c r="AQ186" s="43"/>
      <c r="AV186" s="43"/>
      <c r="BA186" s="43"/>
      <c r="BF186" s="43"/>
      <c r="BK186" s="43"/>
      <c r="BQ186" s="43"/>
      <c r="BV186" s="43"/>
      <c r="CC186" s="43"/>
    </row>
    <row r="187" spans="2:81" ht="15.75" customHeight="1">
      <c r="B187" s="36"/>
      <c r="D187" s="36"/>
      <c r="F187" s="43"/>
      <c r="L187" s="43"/>
      <c r="Q187" s="43"/>
      <c r="V187" s="43"/>
      <c r="AD187" s="43"/>
      <c r="AG187" s="43"/>
      <c r="AL187" s="43"/>
      <c r="AQ187" s="43"/>
      <c r="AV187" s="43"/>
      <c r="BA187" s="43"/>
      <c r="BF187" s="43"/>
      <c r="BK187" s="43"/>
      <c r="BQ187" s="43"/>
      <c r="BV187" s="43"/>
      <c r="CC187" s="43"/>
    </row>
    <row r="188" spans="2:81" ht="15.75" customHeight="1">
      <c r="B188" s="36"/>
      <c r="D188" s="36"/>
      <c r="F188" s="43"/>
      <c r="L188" s="43"/>
      <c r="Q188" s="43"/>
      <c r="V188" s="43"/>
      <c r="AD188" s="43"/>
      <c r="AG188" s="43"/>
      <c r="AL188" s="43"/>
      <c r="AQ188" s="43"/>
      <c r="AV188" s="43"/>
      <c r="BA188" s="43"/>
      <c r="BF188" s="43"/>
      <c r="BK188" s="43"/>
      <c r="BQ188" s="43"/>
      <c r="BV188" s="43"/>
      <c r="CC188" s="43"/>
    </row>
    <row r="189" spans="2:81" ht="15.75" customHeight="1">
      <c r="B189" s="36"/>
      <c r="D189" s="36"/>
      <c r="F189" s="43"/>
      <c r="L189" s="43"/>
      <c r="Q189" s="43"/>
      <c r="V189" s="43"/>
      <c r="AD189" s="43"/>
      <c r="AG189" s="43"/>
      <c r="AL189" s="43"/>
      <c r="AQ189" s="43"/>
      <c r="AV189" s="43"/>
      <c r="BA189" s="43"/>
      <c r="BF189" s="43"/>
      <c r="BK189" s="43"/>
      <c r="BQ189" s="43"/>
      <c r="BV189" s="43"/>
      <c r="CC189" s="43"/>
    </row>
    <row r="190" spans="2:81" ht="15.75" customHeight="1">
      <c r="B190" s="36"/>
      <c r="D190" s="36"/>
      <c r="F190" s="43"/>
      <c r="L190" s="43"/>
      <c r="Q190" s="43"/>
      <c r="V190" s="43"/>
      <c r="AD190" s="43"/>
      <c r="AG190" s="43"/>
      <c r="AL190" s="43"/>
      <c r="AQ190" s="43"/>
      <c r="AV190" s="43"/>
      <c r="BA190" s="43"/>
      <c r="BF190" s="43"/>
      <c r="BK190" s="43"/>
      <c r="BQ190" s="43"/>
      <c r="BV190" s="43"/>
      <c r="CC190" s="43"/>
    </row>
    <row r="191" spans="2:81" ht="15.75" customHeight="1">
      <c r="B191" s="36"/>
      <c r="D191" s="36"/>
      <c r="F191" s="43"/>
      <c r="L191" s="43"/>
      <c r="Q191" s="43"/>
      <c r="V191" s="43"/>
      <c r="AD191" s="43"/>
      <c r="AG191" s="43"/>
      <c r="AL191" s="43"/>
      <c r="AQ191" s="43"/>
      <c r="AV191" s="43"/>
      <c r="BA191" s="43"/>
      <c r="BF191" s="43"/>
      <c r="BK191" s="43"/>
      <c r="BQ191" s="43"/>
      <c r="BV191" s="43"/>
      <c r="CC191" s="43"/>
    </row>
    <row r="192" spans="2:81" ht="15.75" customHeight="1">
      <c r="B192" s="36"/>
      <c r="D192" s="36"/>
      <c r="F192" s="43"/>
      <c r="L192" s="43"/>
      <c r="Q192" s="43"/>
      <c r="V192" s="43"/>
      <c r="AD192" s="43"/>
      <c r="AG192" s="43"/>
      <c r="AL192" s="43"/>
      <c r="AQ192" s="43"/>
      <c r="AV192" s="43"/>
      <c r="BA192" s="43"/>
      <c r="BF192" s="43"/>
      <c r="BK192" s="43"/>
      <c r="BQ192" s="43"/>
      <c r="BV192" s="43"/>
      <c r="CC192" s="43"/>
    </row>
    <row r="193" spans="2:81" ht="15.75" customHeight="1">
      <c r="B193" s="36"/>
      <c r="D193" s="36"/>
      <c r="F193" s="43"/>
      <c r="L193" s="43"/>
      <c r="Q193" s="43"/>
      <c r="V193" s="43"/>
      <c r="AD193" s="43"/>
      <c r="AG193" s="43"/>
      <c r="AL193" s="43"/>
      <c r="AQ193" s="43"/>
      <c r="AV193" s="43"/>
      <c r="BA193" s="43"/>
      <c r="BF193" s="43"/>
      <c r="BK193" s="43"/>
      <c r="BQ193" s="43"/>
      <c r="BV193" s="43"/>
      <c r="CC193" s="43"/>
    </row>
    <row r="194" spans="2:81" ht="15.75" customHeight="1">
      <c r="B194" s="36"/>
      <c r="D194" s="36"/>
      <c r="F194" s="43"/>
      <c r="L194" s="43"/>
      <c r="Q194" s="43"/>
      <c r="V194" s="43"/>
      <c r="AD194" s="43"/>
      <c r="AG194" s="43"/>
      <c r="AL194" s="43"/>
      <c r="AQ194" s="43"/>
      <c r="AV194" s="43"/>
      <c r="BA194" s="43"/>
      <c r="BF194" s="43"/>
      <c r="BK194" s="43"/>
      <c r="BQ194" s="43"/>
      <c r="BV194" s="43"/>
      <c r="CC194" s="43"/>
    </row>
    <row r="195" spans="2:81" ht="15.75" customHeight="1">
      <c r="B195" s="36"/>
      <c r="D195" s="36"/>
      <c r="F195" s="43"/>
      <c r="L195" s="43"/>
      <c r="Q195" s="43"/>
      <c r="V195" s="43"/>
      <c r="AD195" s="43"/>
      <c r="AG195" s="43"/>
      <c r="AL195" s="43"/>
      <c r="AQ195" s="43"/>
      <c r="AV195" s="43"/>
      <c r="BA195" s="43"/>
      <c r="BF195" s="43"/>
      <c r="BK195" s="43"/>
      <c r="BQ195" s="43"/>
      <c r="BV195" s="43"/>
      <c r="CC195" s="43"/>
    </row>
    <row r="196" spans="2:81" ht="15.75" customHeight="1">
      <c r="B196" s="36"/>
      <c r="D196" s="36"/>
      <c r="F196" s="43"/>
      <c r="L196" s="43"/>
      <c r="Q196" s="43"/>
      <c r="V196" s="43"/>
      <c r="AD196" s="43"/>
      <c r="AG196" s="43"/>
      <c r="AL196" s="43"/>
      <c r="AQ196" s="43"/>
      <c r="AV196" s="43"/>
      <c r="BA196" s="43"/>
      <c r="BF196" s="43"/>
      <c r="BK196" s="43"/>
      <c r="BQ196" s="43"/>
      <c r="BV196" s="43"/>
      <c r="CC196" s="43"/>
    </row>
    <row r="197" spans="2:81" ht="15.75" customHeight="1">
      <c r="B197" s="36"/>
      <c r="D197" s="36"/>
      <c r="F197" s="43"/>
      <c r="L197" s="43"/>
      <c r="Q197" s="43"/>
      <c r="V197" s="43"/>
      <c r="AD197" s="43"/>
      <c r="AG197" s="43"/>
      <c r="AL197" s="43"/>
      <c r="AQ197" s="43"/>
      <c r="AV197" s="43"/>
      <c r="BA197" s="43"/>
      <c r="BF197" s="43"/>
      <c r="BK197" s="43"/>
      <c r="BQ197" s="43"/>
      <c r="BV197" s="43"/>
      <c r="CC197" s="43"/>
    </row>
    <row r="198" spans="2:81" ht="15.75" customHeight="1">
      <c r="B198" s="36"/>
      <c r="D198" s="36"/>
      <c r="F198" s="43"/>
      <c r="L198" s="43"/>
      <c r="Q198" s="43"/>
      <c r="V198" s="43"/>
      <c r="AD198" s="43"/>
      <c r="AG198" s="43"/>
      <c r="AL198" s="43"/>
      <c r="AQ198" s="43"/>
      <c r="AV198" s="43"/>
      <c r="BA198" s="43"/>
      <c r="BF198" s="43"/>
      <c r="BK198" s="43"/>
      <c r="BQ198" s="43"/>
      <c r="BV198" s="43"/>
      <c r="CC198" s="43"/>
    </row>
    <row r="199" spans="2:81" ht="15.75" customHeight="1">
      <c r="B199" s="36"/>
      <c r="D199" s="36"/>
      <c r="F199" s="43"/>
      <c r="L199" s="43"/>
      <c r="Q199" s="43"/>
      <c r="V199" s="43"/>
      <c r="AD199" s="43"/>
      <c r="AG199" s="43"/>
      <c r="AL199" s="43"/>
      <c r="AQ199" s="43"/>
      <c r="AV199" s="43"/>
      <c r="BA199" s="43"/>
      <c r="BF199" s="43"/>
      <c r="BK199" s="43"/>
      <c r="BQ199" s="43"/>
      <c r="BV199" s="43"/>
      <c r="CC199" s="43"/>
    </row>
    <row r="200" spans="2:81" ht="15.75" customHeight="1">
      <c r="B200" s="36"/>
      <c r="D200" s="36"/>
      <c r="F200" s="43"/>
      <c r="L200" s="43"/>
      <c r="Q200" s="43"/>
      <c r="V200" s="43"/>
      <c r="AD200" s="43"/>
      <c r="AG200" s="43"/>
      <c r="AL200" s="43"/>
      <c r="AQ200" s="43"/>
      <c r="AV200" s="43"/>
      <c r="BA200" s="43"/>
      <c r="BF200" s="43"/>
      <c r="BK200" s="43"/>
      <c r="BQ200" s="43"/>
      <c r="BV200" s="43"/>
      <c r="CC200" s="43"/>
    </row>
    <row r="201" spans="2:81" ht="15.75" customHeight="1">
      <c r="B201" s="36"/>
      <c r="D201" s="36"/>
      <c r="F201" s="43"/>
      <c r="L201" s="43"/>
      <c r="Q201" s="43"/>
      <c r="V201" s="43"/>
      <c r="AD201" s="43"/>
      <c r="AG201" s="43"/>
      <c r="AL201" s="43"/>
      <c r="AQ201" s="43"/>
      <c r="AV201" s="43"/>
      <c r="BA201" s="43"/>
      <c r="BF201" s="43"/>
      <c r="BK201" s="43"/>
      <c r="BQ201" s="43"/>
      <c r="BV201" s="43"/>
      <c r="CC201" s="43"/>
    </row>
    <row r="202" spans="2:81" ht="15.75" customHeight="1">
      <c r="B202" s="36"/>
      <c r="D202" s="36"/>
      <c r="F202" s="43"/>
      <c r="L202" s="43"/>
      <c r="Q202" s="43"/>
      <c r="V202" s="43"/>
      <c r="AD202" s="43"/>
      <c r="AG202" s="43"/>
      <c r="AL202" s="43"/>
      <c r="AQ202" s="43"/>
      <c r="AV202" s="43"/>
      <c r="BA202" s="43"/>
      <c r="BF202" s="43"/>
      <c r="BK202" s="43"/>
      <c r="BQ202" s="43"/>
      <c r="BV202" s="43"/>
      <c r="CC202" s="43"/>
    </row>
    <row r="203" spans="2:81" ht="15.75" customHeight="1">
      <c r="B203" s="36"/>
      <c r="D203" s="36"/>
      <c r="F203" s="43"/>
      <c r="L203" s="43"/>
      <c r="Q203" s="43"/>
      <c r="V203" s="43"/>
      <c r="AD203" s="43"/>
      <c r="AG203" s="43"/>
      <c r="AL203" s="43"/>
      <c r="AQ203" s="43"/>
      <c r="AV203" s="43"/>
      <c r="BA203" s="43"/>
      <c r="BF203" s="43"/>
      <c r="BK203" s="43"/>
      <c r="BQ203" s="43"/>
      <c r="BV203" s="43"/>
      <c r="CC203" s="43"/>
    </row>
    <row r="204" spans="2:81" ht="15.75" customHeight="1">
      <c r="B204" s="36"/>
      <c r="D204" s="36"/>
      <c r="F204" s="43"/>
      <c r="L204" s="43"/>
      <c r="Q204" s="43"/>
      <c r="V204" s="43"/>
      <c r="AD204" s="43"/>
      <c r="AG204" s="43"/>
      <c r="AL204" s="43"/>
      <c r="AQ204" s="43"/>
      <c r="AV204" s="43"/>
      <c r="BA204" s="43"/>
      <c r="BF204" s="43"/>
      <c r="BK204" s="43"/>
      <c r="BQ204" s="43"/>
      <c r="BV204" s="43"/>
      <c r="CC204" s="43"/>
    </row>
    <row r="205" spans="2:81" ht="15.75" customHeight="1">
      <c r="B205" s="36"/>
      <c r="D205" s="36"/>
      <c r="F205" s="43"/>
      <c r="L205" s="43"/>
      <c r="Q205" s="43"/>
      <c r="V205" s="43"/>
      <c r="AD205" s="43"/>
      <c r="AG205" s="43"/>
      <c r="AL205" s="43"/>
      <c r="AQ205" s="43"/>
      <c r="AV205" s="43"/>
      <c r="BA205" s="43"/>
      <c r="BF205" s="43"/>
      <c r="BK205" s="43"/>
      <c r="BQ205" s="43"/>
      <c r="BV205" s="43"/>
      <c r="CC205" s="43"/>
    </row>
    <row r="206" spans="2:81" ht="15.75" customHeight="1">
      <c r="B206" s="36"/>
      <c r="D206" s="36"/>
      <c r="F206" s="43"/>
      <c r="L206" s="43"/>
      <c r="Q206" s="43"/>
      <c r="V206" s="43"/>
      <c r="AD206" s="43"/>
      <c r="AG206" s="43"/>
      <c r="AL206" s="43"/>
      <c r="AQ206" s="43"/>
      <c r="AV206" s="43"/>
      <c r="BA206" s="43"/>
      <c r="BF206" s="43"/>
      <c r="BK206" s="43"/>
      <c r="BQ206" s="43"/>
      <c r="BV206" s="43"/>
      <c r="CC206" s="43"/>
    </row>
    <row r="207" spans="2:81" ht="15.75" customHeight="1">
      <c r="B207" s="36"/>
      <c r="D207" s="36"/>
      <c r="F207" s="43"/>
      <c r="L207" s="43"/>
      <c r="Q207" s="43"/>
      <c r="V207" s="43"/>
      <c r="AD207" s="43"/>
      <c r="AG207" s="43"/>
      <c r="AL207" s="43"/>
      <c r="AQ207" s="43"/>
      <c r="AV207" s="43"/>
      <c r="BA207" s="43"/>
      <c r="BF207" s="43"/>
      <c r="BK207" s="43"/>
      <c r="BQ207" s="43"/>
      <c r="BV207" s="43"/>
      <c r="CC207" s="43"/>
    </row>
    <row r="208" spans="2:81" ht="15.75" customHeight="1">
      <c r="B208" s="36"/>
      <c r="D208" s="36"/>
      <c r="F208" s="43"/>
      <c r="L208" s="43"/>
      <c r="Q208" s="43"/>
      <c r="V208" s="43"/>
      <c r="AD208" s="43"/>
      <c r="AG208" s="43"/>
      <c r="AL208" s="43"/>
      <c r="AQ208" s="43"/>
      <c r="AV208" s="43"/>
      <c r="BA208" s="43"/>
      <c r="BF208" s="43"/>
      <c r="BK208" s="43"/>
      <c r="BQ208" s="43"/>
      <c r="BV208" s="43"/>
      <c r="CC208" s="43"/>
    </row>
    <row r="209" spans="2:81" ht="15.75" customHeight="1">
      <c r="B209" s="36"/>
      <c r="D209" s="36"/>
      <c r="F209" s="43"/>
      <c r="L209" s="43"/>
      <c r="Q209" s="43"/>
      <c r="V209" s="43"/>
      <c r="AD209" s="43"/>
      <c r="AG209" s="43"/>
      <c r="AL209" s="43"/>
      <c r="AQ209" s="43"/>
      <c r="AV209" s="43"/>
      <c r="BA209" s="43"/>
      <c r="BF209" s="43"/>
      <c r="BK209" s="43"/>
      <c r="BQ209" s="43"/>
      <c r="BV209" s="43"/>
      <c r="CC209" s="43"/>
    </row>
    <row r="210" spans="2:81" ht="15.75" customHeight="1">
      <c r="B210" s="36"/>
      <c r="D210" s="36"/>
      <c r="F210" s="43"/>
      <c r="L210" s="43"/>
      <c r="Q210" s="43"/>
      <c r="V210" s="43"/>
      <c r="AD210" s="43"/>
      <c r="AG210" s="43"/>
      <c r="AL210" s="43"/>
      <c r="AQ210" s="43"/>
      <c r="AV210" s="43"/>
      <c r="BA210" s="43"/>
      <c r="BF210" s="43"/>
      <c r="BK210" s="43"/>
      <c r="BQ210" s="43"/>
      <c r="BV210" s="43"/>
      <c r="CC210" s="43"/>
    </row>
    <row r="211" spans="2:81" ht="15.75" customHeight="1">
      <c r="B211" s="36"/>
      <c r="D211" s="36"/>
      <c r="F211" s="43"/>
      <c r="L211" s="43"/>
      <c r="Q211" s="43"/>
      <c r="V211" s="43"/>
      <c r="AD211" s="43"/>
      <c r="AG211" s="43"/>
      <c r="AL211" s="43"/>
      <c r="AQ211" s="43"/>
      <c r="AV211" s="43"/>
      <c r="BA211" s="43"/>
      <c r="BF211" s="43"/>
      <c r="BK211" s="43"/>
      <c r="BQ211" s="43"/>
      <c r="BV211" s="43"/>
      <c r="CC211" s="43"/>
    </row>
    <row r="212" spans="2:81" ht="15.75" customHeight="1">
      <c r="B212" s="36"/>
      <c r="D212" s="36"/>
      <c r="F212" s="43"/>
      <c r="L212" s="43"/>
      <c r="Q212" s="43"/>
      <c r="V212" s="43"/>
      <c r="AD212" s="43"/>
      <c r="AG212" s="43"/>
      <c r="AL212" s="43"/>
      <c r="AQ212" s="43"/>
      <c r="AV212" s="43"/>
      <c r="BA212" s="43"/>
      <c r="BF212" s="43"/>
      <c r="BK212" s="43"/>
      <c r="BQ212" s="43"/>
      <c r="BV212" s="43"/>
      <c r="CC212" s="43"/>
    </row>
    <row r="213" spans="2:81" ht="15.75" customHeight="1">
      <c r="B213" s="36"/>
      <c r="D213" s="36"/>
      <c r="F213" s="43"/>
      <c r="L213" s="43"/>
      <c r="Q213" s="43"/>
      <c r="V213" s="43"/>
      <c r="AD213" s="43"/>
      <c r="AG213" s="43"/>
      <c r="AL213" s="43"/>
      <c r="AQ213" s="43"/>
      <c r="AV213" s="43"/>
      <c r="BA213" s="43"/>
      <c r="BF213" s="43"/>
      <c r="BK213" s="43"/>
      <c r="BQ213" s="43"/>
      <c r="BV213" s="43"/>
      <c r="CC213" s="43"/>
    </row>
    <row r="214" spans="2:81" ht="15.75" customHeight="1">
      <c r="B214" s="36"/>
      <c r="D214" s="36"/>
      <c r="F214" s="43"/>
      <c r="L214" s="43"/>
      <c r="Q214" s="43"/>
      <c r="V214" s="43"/>
      <c r="AD214" s="43"/>
      <c r="AG214" s="43"/>
      <c r="AL214" s="43"/>
      <c r="AQ214" s="43"/>
      <c r="AV214" s="43"/>
      <c r="BA214" s="43"/>
      <c r="BF214" s="43"/>
      <c r="BK214" s="43"/>
      <c r="BQ214" s="43"/>
      <c r="BV214" s="43"/>
      <c r="CC214" s="43"/>
    </row>
    <row r="215" spans="2:81" ht="15.75" customHeight="1">
      <c r="B215" s="36"/>
      <c r="D215" s="36"/>
      <c r="F215" s="43"/>
      <c r="L215" s="43"/>
      <c r="Q215" s="43"/>
      <c r="V215" s="43"/>
      <c r="AD215" s="43"/>
      <c r="AG215" s="43"/>
      <c r="AL215" s="43"/>
      <c r="AQ215" s="43"/>
      <c r="AV215" s="43"/>
      <c r="BA215" s="43"/>
      <c r="BF215" s="43"/>
      <c r="BK215" s="43"/>
      <c r="BQ215" s="43"/>
      <c r="BV215" s="43"/>
      <c r="CC215" s="43"/>
    </row>
    <row r="216" spans="2:81" ht="15.75" customHeight="1">
      <c r="B216" s="36"/>
      <c r="D216" s="36"/>
      <c r="F216" s="43"/>
      <c r="L216" s="43"/>
      <c r="Q216" s="43"/>
      <c r="V216" s="43"/>
      <c r="AD216" s="43"/>
      <c r="AG216" s="43"/>
      <c r="AL216" s="43"/>
      <c r="AQ216" s="43"/>
      <c r="AV216" s="43"/>
      <c r="BA216" s="43"/>
      <c r="BF216" s="43"/>
      <c r="BK216" s="43"/>
      <c r="BQ216" s="43"/>
      <c r="BV216" s="43"/>
      <c r="CC216" s="43"/>
    </row>
    <row r="217" spans="2:81" ht="15.75" customHeight="1">
      <c r="B217" s="36"/>
      <c r="D217" s="36"/>
      <c r="F217" s="43"/>
      <c r="L217" s="43"/>
      <c r="Q217" s="43"/>
      <c r="V217" s="43"/>
      <c r="AD217" s="43"/>
      <c r="AG217" s="43"/>
      <c r="AL217" s="43"/>
      <c r="AQ217" s="43"/>
      <c r="AV217" s="43"/>
      <c r="BA217" s="43"/>
      <c r="BF217" s="43"/>
      <c r="BK217" s="43"/>
      <c r="BQ217" s="43"/>
      <c r="BV217" s="43"/>
      <c r="CC217" s="43"/>
    </row>
    <row r="218" spans="2:81" ht="15.75" customHeight="1">
      <c r="B218" s="36"/>
      <c r="D218" s="36"/>
      <c r="F218" s="43"/>
      <c r="L218" s="43"/>
      <c r="Q218" s="43"/>
      <c r="V218" s="43"/>
      <c r="AD218" s="43"/>
      <c r="AG218" s="43"/>
      <c r="AL218" s="43"/>
      <c r="AQ218" s="43"/>
      <c r="AV218" s="43"/>
      <c r="BA218" s="43"/>
      <c r="BF218" s="43"/>
      <c r="BK218" s="43"/>
      <c r="BQ218" s="43"/>
      <c r="BV218" s="43"/>
      <c r="CC218" s="43"/>
    </row>
    <row r="219" spans="2:81" ht="15.75" customHeight="1">
      <c r="B219" s="36"/>
      <c r="D219" s="36"/>
      <c r="F219" s="43"/>
      <c r="L219" s="43"/>
      <c r="Q219" s="43"/>
      <c r="V219" s="43"/>
      <c r="AD219" s="43"/>
      <c r="AG219" s="43"/>
      <c r="AL219" s="43"/>
      <c r="AQ219" s="43"/>
      <c r="AV219" s="43"/>
      <c r="BA219" s="43"/>
      <c r="BF219" s="43"/>
      <c r="BK219" s="43"/>
      <c r="BQ219" s="43"/>
      <c r="BV219" s="43"/>
      <c r="CC219" s="43"/>
    </row>
    <row r="220" spans="2:81" ht="15.75" customHeight="1">
      <c r="B220" s="36"/>
      <c r="D220" s="36"/>
      <c r="F220" s="43"/>
      <c r="L220" s="43"/>
      <c r="Q220" s="43"/>
      <c r="V220" s="43"/>
      <c r="AD220" s="43"/>
      <c r="AG220" s="43"/>
      <c r="AL220" s="43"/>
      <c r="AQ220" s="43"/>
      <c r="AV220" s="43"/>
      <c r="BA220" s="43"/>
      <c r="BF220" s="43"/>
      <c r="BK220" s="43"/>
      <c r="BQ220" s="43"/>
      <c r="BV220" s="43"/>
      <c r="CC220" s="43"/>
    </row>
    <row r="221" spans="2:81" ht="15.75" customHeight="1">
      <c r="B221" s="36"/>
      <c r="D221" s="36"/>
      <c r="F221" s="43"/>
      <c r="L221" s="43"/>
      <c r="Q221" s="43"/>
      <c r="V221" s="43"/>
      <c r="AD221" s="43"/>
      <c r="AG221" s="43"/>
      <c r="AL221" s="43"/>
      <c r="AQ221" s="43"/>
      <c r="AV221" s="43"/>
      <c r="BA221" s="43"/>
      <c r="BF221" s="43"/>
      <c r="BK221" s="43"/>
      <c r="BQ221" s="43"/>
      <c r="BV221" s="43"/>
      <c r="CC221" s="43"/>
    </row>
    <row r="222" spans="2:81" ht="15.75" customHeight="1">
      <c r="B222" s="36"/>
      <c r="D222" s="36"/>
      <c r="F222" s="43"/>
      <c r="L222" s="43"/>
      <c r="Q222" s="43"/>
      <c r="V222" s="43"/>
      <c r="AD222" s="43"/>
      <c r="AG222" s="43"/>
      <c r="AL222" s="43"/>
      <c r="AQ222" s="43"/>
      <c r="AV222" s="43"/>
      <c r="BA222" s="43"/>
      <c r="BF222" s="43"/>
      <c r="BK222" s="43"/>
      <c r="BQ222" s="43"/>
      <c r="BV222" s="43"/>
      <c r="CC222" s="43"/>
    </row>
    <row r="223" spans="2:81" ht="15.75" customHeight="1">
      <c r="B223" s="36"/>
      <c r="D223" s="36"/>
      <c r="F223" s="43"/>
      <c r="L223" s="43"/>
      <c r="Q223" s="43"/>
      <c r="V223" s="43"/>
      <c r="AD223" s="43"/>
      <c r="AG223" s="43"/>
      <c r="AL223" s="43"/>
      <c r="AQ223" s="43"/>
      <c r="AV223" s="43"/>
      <c r="BA223" s="43"/>
      <c r="BF223" s="43"/>
      <c r="BK223" s="43"/>
      <c r="BQ223" s="43"/>
      <c r="BV223" s="43"/>
      <c r="CC223" s="43"/>
    </row>
    <row r="224" spans="2:81" ht="15.75" customHeight="1">
      <c r="B224" s="36"/>
      <c r="D224" s="36"/>
      <c r="F224" s="43"/>
      <c r="L224" s="43"/>
      <c r="Q224" s="43"/>
      <c r="V224" s="43"/>
      <c r="AD224" s="43"/>
      <c r="AG224" s="43"/>
      <c r="AL224" s="43"/>
      <c r="AQ224" s="43"/>
      <c r="AV224" s="43"/>
      <c r="BA224" s="43"/>
      <c r="BF224" s="43"/>
      <c r="BK224" s="43"/>
      <c r="BQ224" s="43"/>
      <c r="BV224" s="43"/>
      <c r="CC224" s="43"/>
    </row>
    <row r="225" spans="2:81" ht="15.75" customHeight="1">
      <c r="B225" s="36"/>
      <c r="D225" s="36"/>
      <c r="F225" s="43"/>
      <c r="L225" s="43"/>
      <c r="Q225" s="43"/>
      <c r="V225" s="43"/>
      <c r="AD225" s="43"/>
      <c r="AG225" s="43"/>
      <c r="AL225" s="43"/>
      <c r="AQ225" s="43"/>
      <c r="AV225" s="43"/>
      <c r="BA225" s="43"/>
      <c r="BF225" s="43"/>
      <c r="BK225" s="43"/>
      <c r="BQ225" s="43"/>
      <c r="BV225" s="43"/>
      <c r="CC225" s="43"/>
    </row>
    <row r="226" spans="2:81" ht="15.75" customHeight="1">
      <c r="B226" s="36"/>
      <c r="D226" s="36"/>
      <c r="F226" s="43"/>
      <c r="L226" s="43"/>
      <c r="Q226" s="43"/>
      <c r="V226" s="43"/>
      <c r="AD226" s="43"/>
      <c r="AG226" s="43"/>
      <c r="AL226" s="43"/>
      <c r="AQ226" s="43"/>
      <c r="AV226" s="43"/>
      <c r="BA226" s="43"/>
      <c r="BF226" s="43"/>
      <c r="BK226" s="43"/>
      <c r="BQ226" s="43"/>
      <c r="BV226" s="43"/>
      <c r="CC226" s="43"/>
    </row>
    <row r="227" spans="2:81" ht="15.75" customHeight="1">
      <c r="B227" s="36"/>
      <c r="D227" s="36"/>
      <c r="F227" s="43"/>
      <c r="L227" s="43"/>
      <c r="Q227" s="43"/>
      <c r="V227" s="43"/>
      <c r="AD227" s="43"/>
      <c r="AG227" s="43"/>
      <c r="AL227" s="43"/>
      <c r="AQ227" s="43"/>
      <c r="AV227" s="43"/>
      <c r="BA227" s="43"/>
      <c r="BF227" s="43"/>
      <c r="BK227" s="43"/>
      <c r="BQ227" s="43"/>
      <c r="BV227" s="43"/>
      <c r="CC227" s="43"/>
    </row>
    <row r="228" spans="2:81" ht="15.75" customHeight="1">
      <c r="B228" s="36"/>
      <c r="D228" s="36"/>
      <c r="F228" s="43"/>
      <c r="L228" s="43"/>
      <c r="Q228" s="43"/>
      <c r="V228" s="43"/>
      <c r="AD228" s="43"/>
      <c r="AG228" s="43"/>
      <c r="AL228" s="43"/>
      <c r="AQ228" s="43"/>
      <c r="AV228" s="43"/>
      <c r="BA228" s="43"/>
      <c r="BF228" s="43"/>
      <c r="BK228" s="43"/>
      <c r="BQ228" s="43"/>
      <c r="BV228" s="43"/>
      <c r="CC228" s="43"/>
    </row>
    <row r="229" spans="2:81" ht="15.75" customHeight="1">
      <c r="B229" s="36"/>
      <c r="D229" s="36"/>
      <c r="F229" s="43"/>
      <c r="L229" s="43"/>
      <c r="Q229" s="43"/>
      <c r="V229" s="43"/>
      <c r="AD229" s="43"/>
      <c r="AG229" s="43"/>
      <c r="AL229" s="43"/>
      <c r="AQ229" s="43"/>
      <c r="AV229" s="43"/>
      <c r="BA229" s="43"/>
      <c r="BF229" s="43"/>
      <c r="BK229" s="43"/>
      <c r="BQ229" s="43"/>
      <c r="BV229" s="43"/>
      <c r="CC229" s="43"/>
    </row>
    <row r="230" spans="2:81" ht="15.75" customHeight="1">
      <c r="B230" s="36"/>
      <c r="D230" s="36"/>
      <c r="F230" s="43"/>
      <c r="L230" s="43"/>
      <c r="Q230" s="43"/>
      <c r="V230" s="43"/>
      <c r="AD230" s="43"/>
      <c r="AG230" s="43"/>
      <c r="AL230" s="43"/>
      <c r="AQ230" s="43"/>
      <c r="AV230" s="43"/>
      <c r="BA230" s="43"/>
      <c r="BF230" s="43"/>
      <c r="BK230" s="43"/>
      <c r="BQ230" s="43"/>
      <c r="BV230" s="43"/>
      <c r="CC230" s="43"/>
    </row>
    <row r="231" spans="2:81" ht="15.75" customHeight="1">
      <c r="B231" s="36"/>
      <c r="D231" s="36"/>
      <c r="F231" s="43"/>
      <c r="L231" s="43"/>
      <c r="Q231" s="43"/>
      <c r="V231" s="43"/>
      <c r="AD231" s="43"/>
      <c r="AG231" s="43"/>
      <c r="AL231" s="43"/>
      <c r="AQ231" s="43"/>
      <c r="AV231" s="43"/>
      <c r="BA231" s="43"/>
      <c r="BF231" s="43"/>
      <c r="BK231" s="43"/>
      <c r="BQ231" s="43"/>
      <c r="BV231" s="43"/>
      <c r="CC231" s="43"/>
    </row>
    <row r="232" spans="2:81" ht="15.75" customHeight="1">
      <c r="B232" s="36"/>
      <c r="D232" s="36"/>
      <c r="F232" s="43"/>
      <c r="L232" s="43"/>
      <c r="Q232" s="43"/>
      <c r="V232" s="43"/>
      <c r="AD232" s="43"/>
      <c r="AG232" s="43"/>
      <c r="AL232" s="43"/>
      <c r="AQ232" s="43"/>
      <c r="AV232" s="43"/>
      <c r="BA232" s="43"/>
      <c r="BF232" s="43"/>
      <c r="BK232" s="43"/>
      <c r="BQ232" s="43"/>
      <c r="BV232" s="43"/>
      <c r="CC232" s="43"/>
    </row>
    <row r="233" spans="2:81" ht="15.75" customHeight="1">
      <c r="B233" s="36"/>
      <c r="D233" s="36"/>
      <c r="F233" s="43"/>
      <c r="L233" s="43"/>
      <c r="Q233" s="43"/>
      <c r="V233" s="43"/>
      <c r="AD233" s="43"/>
      <c r="AG233" s="43"/>
      <c r="AL233" s="43"/>
      <c r="AQ233" s="43"/>
      <c r="AV233" s="43"/>
      <c r="BA233" s="43"/>
      <c r="BF233" s="43"/>
      <c r="BK233" s="43"/>
      <c r="BQ233" s="43"/>
      <c r="BV233" s="43"/>
      <c r="CC233" s="43"/>
    </row>
    <row r="234" spans="2:81" ht="15.75" customHeight="1">
      <c r="B234" s="36"/>
      <c r="D234" s="36"/>
      <c r="F234" s="43"/>
      <c r="L234" s="43"/>
      <c r="Q234" s="43"/>
      <c r="V234" s="43"/>
      <c r="AD234" s="43"/>
      <c r="AG234" s="43"/>
      <c r="AL234" s="43"/>
      <c r="AQ234" s="43"/>
      <c r="AV234" s="43"/>
      <c r="BA234" s="43"/>
      <c r="BF234" s="43"/>
      <c r="BK234" s="43"/>
      <c r="BQ234" s="43"/>
      <c r="BV234" s="43"/>
      <c r="CC234" s="43"/>
    </row>
    <row r="235" spans="2:81" ht="15.75" customHeight="1">
      <c r="B235" s="36"/>
      <c r="D235" s="36"/>
      <c r="F235" s="43"/>
      <c r="L235" s="43"/>
      <c r="Q235" s="43"/>
      <c r="V235" s="43"/>
      <c r="AD235" s="43"/>
      <c r="AG235" s="43"/>
      <c r="AL235" s="43"/>
      <c r="AQ235" s="43"/>
      <c r="AV235" s="43"/>
      <c r="BA235" s="43"/>
      <c r="BF235" s="43"/>
      <c r="BK235" s="43"/>
      <c r="BQ235" s="43"/>
      <c r="BV235" s="43"/>
      <c r="CC235" s="43"/>
    </row>
    <row r="236" spans="2:81" ht="15.75" customHeight="1">
      <c r="B236" s="36"/>
      <c r="D236" s="36"/>
      <c r="F236" s="43"/>
      <c r="L236" s="43"/>
      <c r="Q236" s="43"/>
      <c r="V236" s="43"/>
      <c r="AD236" s="43"/>
      <c r="AG236" s="43"/>
      <c r="AL236" s="43"/>
      <c r="AQ236" s="43"/>
      <c r="AV236" s="43"/>
      <c r="BA236" s="43"/>
      <c r="BF236" s="43"/>
      <c r="BK236" s="43"/>
      <c r="BQ236" s="43"/>
      <c r="BV236" s="43"/>
      <c r="CC236" s="43"/>
    </row>
    <row r="237" spans="2:81" ht="15.75" customHeight="1">
      <c r="B237" s="36"/>
      <c r="D237" s="36"/>
      <c r="F237" s="43"/>
      <c r="L237" s="43"/>
      <c r="Q237" s="43"/>
      <c r="V237" s="43"/>
      <c r="AD237" s="43"/>
      <c r="AG237" s="43"/>
      <c r="AL237" s="43"/>
      <c r="AQ237" s="43"/>
      <c r="AV237" s="43"/>
      <c r="BA237" s="43"/>
      <c r="BF237" s="43"/>
      <c r="BK237" s="43"/>
      <c r="BQ237" s="43"/>
      <c r="BV237" s="43"/>
      <c r="CC237" s="43"/>
    </row>
    <row r="238" spans="2:81" ht="15.75" customHeight="1">
      <c r="B238" s="36"/>
      <c r="D238" s="36"/>
      <c r="F238" s="43"/>
      <c r="L238" s="43"/>
      <c r="Q238" s="43"/>
      <c r="V238" s="43"/>
      <c r="AD238" s="43"/>
      <c r="AG238" s="43"/>
      <c r="AL238" s="43"/>
      <c r="AQ238" s="43"/>
      <c r="AV238" s="43"/>
      <c r="BA238" s="43"/>
      <c r="BF238" s="43"/>
      <c r="BK238" s="43"/>
      <c r="BQ238" s="43"/>
      <c r="BV238" s="43"/>
      <c r="CC238" s="43"/>
    </row>
    <row r="239" spans="2:81" ht="15.75" customHeight="1">
      <c r="B239" s="36"/>
      <c r="D239" s="36"/>
      <c r="F239" s="43"/>
      <c r="L239" s="43"/>
      <c r="Q239" s="43"/>
      <c r="V239" s="43"/>
      <c r="AD239" s="43"/>
      <c r="AG239" s="43"/>
      <c r="AL239" s="43"/>
      <c r="AQ239" s="43"/>
      <c r="AV239" s="43"/>
      <c r="BA239" s="43"/>
      <c r="BF239" s="43"/>
      <c r="BK239" s="43"/>
      <c r="BQ239" s="43"/>
      <c r="BV239" s="43"/>
      <c r="CC239" s="43"/>
    </row>
    <row r="240" spans="2:81" ht="15.75" customHeight="1">
      <c r="B240" s="36"/>
      <c r="D240" s="36"/>
      <c r="F240" s="43"/>
      <c r="L240" s="43"/>
      <c r="Q240" s="43"/>
      <c r="V240" s="43"/>
      <c r="AD240" s="43"/>
      <c r="AG240" s="43"/>
      <c r="AL240" s="43"/>
      <c r="AQ240" s="43"/>
      <c r="AV240" s="43"/>
      <c r="BA240" s="43"/>
      <c r="BF240" s="43"/>
      <c r="BK240" s="43"/>
      <c r="BQ240" s="43"/>
      <c r="BV240" s="43"/>
      <c r="CC240" s="43"/>
    </row>
    <row r="241" spans="2:81" ht="15.75" customHeight="1">
      <c r="B241" s="36"/>
      <c r="D241" s="36"/>
      <c r="F241" s="43"/>
      <c r="L241" s="43"/>
      <c r="Q241" s="43"/>
      <c r="V241" s="43"/>
      <c r="AD241" s="43"/>
      <c r="AG241" s="43"/>
      <c r="AL241" s="43"/>
      <c r="AQ241" s="43"/>
      <c r="AV241" s="43"/>
      <c r="BA241" s="43"/>
      <c r="BF241" s="43"/>
      <c r="BK241" s="43"/>
      <c r="BQ241" s="43"/>
      <c r="BV241" s="43"/>
      <c r="CC241" s="43"/>
    </row>
    <row r="242" spans="2:81" ht="15.75" customHeight="1">
      <c r="B242" s="36"/>
      <c r="D242" s="36"/>
      <c r="F242" s="43"/>
      <c r="L242" s="43"/>
      <c r="Q242" s="43"/>
      <c r="V242" s="43"/>
      <c r="AD242" s="43"/>
      <c r="AG242" s="43"/>
      <c r="AL242" s="43"/>
      <c r="AQ242" s="43"/>
      <c r="AV242" s="43"/>
      <c r="BA242" s="43"/>
      <c r="BF242" s="43"/>
      <c r="BK242" s="43"/>
      <c r="BQ242" s="43"/>
      <c r="BV242" s="43"/>
      <c r="CC242" s="43"/>
    </row>
    <row r="243" spans="2:81" ht="15.75" customHeight="1">
      <c r="B243" s="36"/>
      <c r="D243" s="36"/>
      <c r="F243" s="43"/>
      <c r="L243" s="43"/>
      <c r="Q243" s="43"/>
      <c r="V243" s="43"/>
      <c r="AD243" s="43"/>
      <c r="AG243" s="43"/>
      <c r="AL243" s="43"/>
      <c r="AQ243" s="43"/>
      <c r="AV243" s="43"/>
      <c r="BA243" s="43"/>
      <c r="BF243" s="43"/>
      <c r="BK243" s="43"/>
      <c r="BQ243" s="43"/>
      <c r="BV243" s="43"/>
      <c r="CC243" s="43"/>
    </row>
    <row r="244" spans="2:81" ht="15.75" customHeight="1">
      <c r="B244" s="36"/>
      <c r="D244" s="36"/>
      <c r="F244" s="43"/>
      <c r="L244" s="43"/>
      <c r="Q244" s="43"/>
      <c r="V244" s="43"/>
      <c r="AD244" s="43"/>
      <c r="AG244" s="43"/>
      <c r="AL244" s="43"/>
      <c r="AQ244" s="43"/>
      <c r="AV244" s="43"/>
      <c r="BA244" s="43"/>
      <c r="BF244" s="43"/>
      <c r="BK244" s="43"/>
      <c r="BQ244" s="43"/>
      <c r="BV244" s="43"/>
      <c r="CC244" s="43"/>
    </row>
    <row r="245" spans="2:81" ht="15.75" customHeight="1">
      <c r="B245" s="36"/>
      <c r="D245" s="36"/>
      <c r="F245" s="43"/>
      <c r="L245" s="43"/>
      <c r="Q245" s="43"/>
      <c r="V245" s="43"/>
      <c r="AD245" s="43"/>
      <c r="AG245" s="43"/>
      <c r="AL245" s="43"/>
      <c r="AQ245" s="43"/>
      <c r="AV245" s="43"/>
      <c r="BA245" s="43"/>
      <c r="BF245" s="43"/>
      <c r="BK245" s="43"/>
      <c r="BQ245" s="43"/>
      <c r="BV245" s="43"/>
      <c r="CC245" s="43"/>
    </row>
    <row r="246" spans="2:81" ht="15.75" customHeight="1">
      <c r="B246" s="36"/>
      <c r="D246" s="36"/>
      <c r="F246" s="43"/>
      <c r="L246" s="43"/>
      <c r="Q246" s="43"/>
      <c r="V246" s="43"/>
      <c r="AD246" s="43"/>
      <c r="AG246" s="43"/>
      <c r="AL246" s="43"/>
      <c r="AQ246" s="43"/>
      <c r="AV246" s="43"/>
      <c r="BA246" s="43"/>
      <c r="BF246" s="43"/>
      <c r="BK246" s="43"/>
      <c r="BQ246" s="43"/>
      <c r="BV246" s="43"/>
      <c r="CC246" s="43"/>
    </row>
    <row r="247" spans="2:81" ht="15.75" customHeight="1">
      <c r="B247" s="36"/>
      <c r="D247" s="36"/>
      <c r="F247" s="43"/>
      <c r="L247" s="43"/>
      <c r="Q247" s="43"/>
      <c r="V247" s="43"/>
      <c r="AD247" s="43"/>
      <c r="AG247" s="43"/>
      <c r="AL247" s="43"/>
      <c r="AQ247" s="43"/>
      <c r="AV247" s="43"/>
      <c r="BA247" s="43"/>
      <c r="BF247" s="43"/>
      <c r="BK247" s="43"/>
      <c r="BQ247" s="43"/>
      <c r="BV247" s="43"/>
      <c r="CC247" s="43"/>
    </row>
    <row r="248" spans="2:81" ht="15.75" customHeight="1">
      <c r="B248" s="36"/>
      <c r="D248" s="36"/>
      <c r="F248" s="43"/>
      <c r="L248" s="43"/>
      <c r="Q248" s="43"/>
      <c r="V248" s="43"/>
      <c r="AD248" s="43"/>
      <c r="AG248" s="43"/>
      <c r="AL248" s="43"/>
      <c r="AQ248" s="43"/>
      <c r="AV248" s="43"/>
      <c r="BA248" s="43"/>
      <c r="BF248" s="43"/>
      <c r="BK248" s="43"/>
      <c r="BQ248" s="43"/>
      <c r="BV248" s="43"/>
      <c r="CC248" s="43"/>
    </row>
    <row r="249" spans="2:81" ht="15.75" customHeight="1">
      <c r="B249" s="36"/>
      <c r="D249" s="36"/>
      <c r="F249" s="43"/>
      <c r="L249" s="43"/>
      <c r="Q249" s="43"/>
      <c r="V249" s="43"/>
      <c r="AD249" s="43"/>
      <c r="AG249" s="43"/>
      <c r="AL249" s="43"/>
      <c r="AQ249" s="43"/>
      <c r="AV249" s="43"/>
      <c r="BA249" s="43"/>
      <c r="BF249" s="43"/>
      <c r="BK249" s="43"/>
      <c r="BQ249" s="43"/>
      <c r="BV249" s="43"/>
      <c r="CC249" s="43"/>
    </row>
    <row r="250" spans="2:81" ht="15.75" customHeight="1">
      <c r="B250" s="36"/>
      <c r="D250" s="36"/>
      <c r="F250" s="43"/>
      <c r="L250" s="43"/>
      <c r="Q250" s="43"/>
      <c r="V250" s="43"/>
      <c r="AD250" s="43"/>
      <c r="AG250" s="43"/>
      <c r="AL250" s="43"/>
      <c r="AQ250" s="43"/>
      <c r="AV250" s="43"/>
      <c r="BA250" s="43"/>
      <c r="BF250" s="43"/>
      <c r="BK250" s="43"/>
      <c r="BQ250" s="43"/>
      <c r="BV250" s="43"/>
      <c r="CC250" s="43"/>
    </row>
    <row r="251" spans="2:81" ht="15.75" customHeight="1">
      <c r="B251" s="36"/>
      <c r="D251" s="36"/>
      <c r="F251" s="43"/>
      <c r="L251" s="43"/>
      <c r="Q251" s="43"/>
      <c r="V251" s="43"/>
      <c r="AD251" s="43"/>
      <c r="AG251" s="43"/>
      <c r="AL251" s="43"/>
      <c r="AQ251" s="43"/>
      <c r="AV251" s="43"/>
      <c r="BA251" s="43"/>
      <c r="BF251" s="43"/>
      <c r="BK251" s="43"/>
      <c r="BQ251" s="43"/>
      <c r="BV251" s="43"/>
      <c r="CC251" s="43"/>
    </row>
    <row r="252" spans="2:81" ht="15.75" customHeight="1">
      <c r="B252" s="36"/>
      <c r="D252" s="36"/>
      <c r="F252" s="43"/>
      <c r="L252" s="43"/>
      <c r="Q252" s="43"/>
      <c r="V252" s="43"/>
      <c r="AD252" s="43"/>
      <c r="AG252" s="43"/>
      <c r="AL252" s="43"/>
      <c r="AQ252" s="43"/>
      <c r="AV252" s="43"/>
      <c r="BA252" s="43"/>
      <c r="BF252" s="43"/>
      <c r="BK252" s="43"/>
      <c r="BQ252" s="43"/>
      <c r="BV252" s="43"/>
      <c r="CC252" s="43"/>
    </row>
    <row r="253" spans="2:81" ht="15.75" customHeight="1">
      <c r="B253" s="36"/>
      <c r="D253" s="36"/>
      <c r="F253" s="43"/>
      <c r="L253" s="43"/>
      <c r="Q253" s="43"/>
      <c r="V253" s="43"/>
      <c r="AD253" s="43"/>
      <c r="AG253" s="43"/>
      <c r="AL253" s="43"/>
      <c r="AQ253" s="43"/>
      <c r="AV253" s="43"/>
      <c r="BA253" s="43"/>
      <c r="BF253" s="43"/>
      <c r="BK253" s="43"/>
      <c r="BQ253" s="43"/>
      <c r="BV253" s="43"/>
      <c r="CC253" s="43"/>
    </row>
    <row r="254" spans="2:81" ht="15.75" customHeight="1">
      <c r="B254" s="36"/>
      <c r="D254" s="36"/>
      <c r="F254" s="43"/>
      <c r="L254" s="43"/>
      <c r="Q254" s="43"/>
      <c r="V254" s="43"/>
      <c r="AD254" s="43"/>
      <c r="AG254" s="43"/>
      <c r="AL254" s="43"/>
      <c r="AQ254" s="43"/>
      <c r="AV254" s="43"/>
      <c r="BA254" s="43"/>
      <c r="BF254" s="43"/>
      <c r="BK254" s="43"/>
      <c r="BQ254" s="43"/>
      <c r="BV254" s="43"/>
      <c r="CC254" s="43"/>
    </row>
    <row r="255" spans="2:81" ht="15.75" customHeight="1">
      <c r="B255" s="36"/>
      <c r="D255" s="36"/>
      <c r="F255" s="43"/>
      <c r="L255" s="43"/>
      <c r="Q255" s="43"/>
      <c r="V255" s="43"/>
      <c r="AD255" s="43"/>
      <c r="AG255" s="43"/>
      <c r="AL255" s="43"/>
      <c r="AQ255" s="43"/>
      <c r="AV255" s="43"/>
      <c r="BA255" s="43"/>
      <c r="BF255" s="43"/>
      <c r="BK255" s="43"/>
      <c r="BQ255" s="43"/>
      <c r="BV255" s="43"/>
      <c r="CC255" s="43"/>
    </row>
    <row r="256" spans="2:81" ht="15.75" customHeight="1">
      <c r="B256" s="36"/>
      <c r="D256" s="36"/>
      <c r="F256" s="43"/>
      <c r="L256" s="43"/>
      <c r="Q256" s="43"/>
      <c r="V256" s="43"/>
      <c r="AD256" s="43"/>
      <c r="AG256" s="43"/>
      <c r="AL256" s="43"/>
      <c r="AQ256" s="43"/>
      <c r="AV256" s="43"/>
      <c r="BA256" s="43"/>
      <c r="BF256" s="43"/>
      <c r="BK256" s="43"/>
      <c r="BQ256" s="43"/>
      <c r="BV256" s="43"/>
      <c r="CC256" s="43"/>
    </row>
    <row r="257" spans="2:81" ht="15.75" customHeight="1">
      <c r="B257" s="36"/>
      <c r="D257" s="36"/>
      <c r="F257" s="43"/>
      <c r="L257" s="43"/>
      <c r="Q257" s="43"/>
      <c r="V257" s="43"/>
      <c r="AD257" s="43"/>
      <c r="AG257" s="43"/>
      <c r="AL257" s="43"/>
      <c r="AQ257" s="43"/>
      <c r="AV257" s="43"/>
      <c r="BA257" s="43"/>
      <c r="BF257" s="43"/>
      <c r="BK257" s="43"/>
      <c r="BQ257" s="43"/>
      <c r="BV257" s="43"/>
      <c r="CC257" s="43"/>
    </row>
    <row r="258" spans="2:81" ht="15.75" customHeight="1">
      <c r="B258" s="36"/>
      <c r="D258" s="36"/>
      <c r="F258" s="43"/>
      <c r="L258" s="43"/>
      <c r="Q258" s="43"/>
      <c r="V258" s="43"/>
      <c r="AD258" s="43"/>
      <c r="AG258" s="43"/>
      <c r="AL258" s="43"/>
      <c r="AQ258" s="43"/>
      <c r="AV258" s="43"/>
      <c r="BA258" s="43"/>
      <c r="BF258" s="43"/>
      <c r="BK258" s="43"/>
      <c r="BQ258" s="43"/>
      <c r="BV258" s="43"/>
      <c r="CC258" s="43"/>
    </row>
    <row r="259" spans="2:81" ht="15.75" customHeight="1">
      <c r="B259" s="36"/>
      <c r="D259" s="36"/>
      <c r="F259" s="43"/>
      <c r="L259" s="43"/>
      <c r="Q259" s="43"/>
      <c r="V259" s="43"/>
      <c r="AD259" s="43"/>
      <c r="AG259" s="43"/>
      <c r="AL259" s="43"/>
      <c r="AQ259" s="43"/>
      <c r="AV259" s="43"/>
      <c r="BA259" s="43"/>
      <c r="BF259" s="43"/>
      <c r="BK259" s="43"/>
      <c r="BQ259" s="43"/>
      <c r="BV259" s="43"/>
      <c r="CC259" s="43"/>
    </row>
    <row r="260" spans="2:81" ht="15.75" customHeight="1">
      <c r="B260" s="36"/>
      <c r="D260" s="36"/>
      <c r="F260" s="43"/>
      <c r="L260" s="43"/>
      <c r="Q260" s="43"/>
      <c r="V260" s="43"/>
      <c r="AD260" s="43"/>
      <c r="AG260" s="43"/>
      <c r="AL260" s="43"/>
      <c r="AQ260" s="43"/>
      <c r="AV260" s="43"/>
      <c r="BA260" s="43"/>
      <c r="BF260" s="43"/>
      <c r="BK260" s="43"/>
      <c r="BQ260" s="43"/>
      <c r="BV260" s="43"/>
      <c r="CC260" s="43"/>
    </row>
    <row r="261" spans="2:81" ht="15.75" customHeight="1">
      <c r="B261" s="36"/>
      <c r="D261" s="36"/>
      <c r="F261" s="43"/>
      <c r="L261" s="43"/>
      <c r="Q261" s="43"/>
      <c r="V261" s="43"/>
      <c r="AD261" s="43"/>
      <c r="AG261" s="43"/>
      <c r="AL261" s="43"/>
      <c r="AQ261" s="43"/>
      <c r="AV261" s="43"/>
      <c r="BA261" s="43"/>
      <c r="BF261" s="43"/>
      <c r="BK261" s="43"/>
      <c r="BQ261" s="43"/>
      <c r="BV261" s="43"/>
      <c r="CC261" s="43"/>
    </row>
    <row r="262" spans="2:81" ht="15.75" customHeight="1">
      <c r="B262" s="36"/>
      <c r="D262" s="36"/>
      <c r="F262" s="43"/>
      <c r="L262" s="43"/>
      <c r="Q262" s="43"/>
      <c r="V262" s="43"/>
      <c r="AD262" s="43"/>
      <c r="AG262" s="43"/>
      <c r="AL262" s="43"/>
      <c r="AQ262" s="43"/>
      <c r="AV262" s="43"/>
      <c r="BA262" s="43"/>
      <c r="BF262" s="43"/>
      <c r="BK262" s="43"/>
      <c r="BQ262" s="43"/>
      <c r="BV262" s="43"/>
      <c r="CC262" s="43"/>
    </row>
    <row r="263" spans="2:81" ht="15.75" customHeight="1">
      <c r="B263" s="36"/>
      <c r="D263" s="36"/>
      <c r="F263" s="43"/>
      <c r="L263" s="43"/>
      <c r="Q263" s="43"/>
      <c r="V263" s="43"/>
      <c r="AD263" s="43"/>
      <c r="AG263" s="43"/>
      <c r="AL263" s="43"/>
      <c r="AQ263" s="43"/>
      <c r="AV263" s="43"/>
      <c r="BA263" s="43"/>
      <c r="BF263" s="43"/>
      <c r="BK263" s="43"/>
      <c r="BQ263" s="43"/>
      <c r="BV263" s="43"/>
      <c r="CC263" s="43"/>
    </row>
    <row r="264" spans="2:81" ht="15.75" customHeight="1">
      <c r="B264" s="36"/>
      <c r="D264" s="36"/>
      <c r="F264" s="43"/>
      <c r="L264" s="43"/>
      <c r="Q264" s="43"/>
      <c r="V264" s="43"/>
      <c r="AD264" s="43"/>
      <c r="AG264" s="43"/>
      <c r="AL264" s="43"/>
      <c r="AQ264" s="43"/>
      <c r="AV264" s="43"/>
      <c r="BA264" s="43"/>
      <c r="BF264" s="43"/>
      <c r="BK264" s="43"/>
      <c r="BQ264" s="43"/>
      <c r="BV264" s="43"/>
      <c r="CC264" s="43"/>
    </row>
    <row r="265" spans="2:81" ht="15.75" customHeight="1">
      <c r="B265" s="36"/>
      <c r="D265" s="36"/>
      <c r="F265" s="43"/>
      <c r="L265" s="43"/>
      <c r="Q265" s="43"/>
      <c r="V265" s="43"/>
      <c r="AD265" s="43"/>
      <c r="AG265" s="43"/>
      <c r="AL265" s="43"/>
      <c r="AQ265" s="43"/>
      <c r="AV265" s="43"/>
      <c r="BA265" s="43"/>
      <c r="BF265" s="43"/>
      <c r="BK265" s="43"/>
      <c r="BQ265" s="43"/>
      <c r="BV265" s="43"/>
      <c r="CC265" s="43"/>
    </row>
    <row r="266" spans="2:81" ht="15.75" customHeight="1">
      <c r="B266" s="36"/>
      <c r="D266" s="36"/>
      <c r="F266" s="43"/>
      <c r="L266" s="43"/>
      <c r="Q266" s="43"/>
      <c r="V266" s="43"/>
      <c r="AD266" s="43"/>
      <c r="AG266" s="43"/>
      <c r="AL266" s="43"/>
      <c r="AQ266" s="43"/>
      <c r="AV266" s="43"/>
      <c r="BA266" s="43"/>
      <c r="BF266" s="43"/>
      <c r="BK266" s="43"/>
      <c r="BQ266" s="43"/>
      <c r="BV266" s="43"/>
      <c r="CC266" s="43"/>
    </row>
    <row r="267" spans="2:81" ht="15.75" customHeight="1">
      <c r="B267" s="36"/>
      <c r="D267" s="36"/>
      <c r="F267" s="43"/>
      <c r="L267" s="43"/>
      <c r="Q267" s="43"/>
      <c r="V267" s="43"/>
      <c r="AD267" s="43"/>
      <c r="AG267" s="43"/>
      <c r="AL267" s="43"/>
      <c r="AQ267" s="43"/>
      <c r="AV267" s="43"/>
      <c r="BA267" s="43"/>
      <c r="BF267" s="43"/>
      <c r="BK267" s="43"/>
      <c r="BQ267" s="43"/>
      <c r="BV267" s="43"/>
      <c r="CC267" s="43"/>
    </row>
    <row r="268" spans="2:81" ht="15.75" customHeight="1">
      <c r="B268" s="36"/>
      <c r="D268" s="36"/>
      <c r="F268" s="43"/>
      <c r="L268" s="43"/>
      <c r="Q268" s="43"/>
      <c r="V268" s="43"/>
      <c r="AD268" s="43"/>
      <c r="AG268" s="43"/>
      <c r="AL268" s="43"/>
      <c r="AQ268" s="43"/>
      <c r="AV268" s="43"/>
      <c r="BA268" s="43"/>
      <c r="BF268" s="43"/>
      <c r="BK268" s="43"/>
      <c r="BQ268" s="43"/>
      <c r="BV268" s="43"/>
      <c r="CC268" s="43"/>
    </row>
    <row r="269" spans="2:81" ht="15.75" customHeight="1">
      <c r="B269" s="36"/>
      <c r="D269" s="36"/>
      <c r="F269" s="43"/>
      <c r="L269" s="43"/>
      <c r="Q269" s="43"/>
      <c r="V269" s="43"/>
      <c r="AD269" s="43"/>
      <c r="AG269" s="43"/>
      <c r="AL269" s="43"/>
      <c r="AQ269" s="43"/>
      <c r="AV269" s="43"/>
      <c r="BA269" s="43"/>
      <c r="BF269" s="43"/>
      <c r="BK269" s="43"/>
      <c r="BQ269" s="43"/>
      <c r="BV269" s="43"/>
      <c r="CC269" s="43"/>
    </row>
    <row r="270" spans="2:81" ht="15.75" customHeight="1">
      <c r="B270" s="36"/>
      <c r="D270" s="36"/>
      <c r="F270" s="43"/>
      <c r="L270" s="43"/>
      <c r="Q270" s="43"/>
      <c r="V270" s="43"/>
      <c r="AD270" s="43"/>
      <c r="AG270" s="43"/>
      <c r="AL270" s="43"/>
      <c r="AQ270" s="43"/>
      <c r="AV270" s="43"/>
      <c r="BA270" s="43"/>
      <c r="BF270" s="43"/>
      <c r="BK270" s="43"/>
      <c r="BQ270" s="43"/>
      <c r="BV270" s="43"/>
      <c r="CC270" s="43"/>
    </row>
    <row r="271" spans="2:81" ht="15.75" customHeight="1">
      <c r="B271" s="36"/>
      <c r="D271" s="36"/>
      <c r="F271" s="43"/>
      <c r="L271" s="43"/>
      <c r="Q271" s="43"/>
      <c r="V271" s="43"/>
      <c r="AD271" s="43"/>
      <c r="AG271" s="43"/>
      <c r="AL271" s="43"/>
      <c r="AQ271" s="43"/>
      <c r="AV271" s="43"/>
      <c r="BA271" s="43"/>
      <c r="BF271" s="43"/>
      <c r="BK271" s="43"/>
      <c r="BQ271" s="43"/>
      <c r="BV271" s="43"/>
      <c r="CC271" s="43"/>
    </row>
    <row r="272" spans="2:81" ht="15.75" customHeight="1">
      <c r="B272" s="36"/>
      <c r="D272" s="36"/>
      <c r="F272" s="43"/>
      <c r="L272" s="43"/>
      <c r="Q272" s="43"/>
      <c r="V272" s="43"/>
      <c r="AD272" s="43"/>
      <c r="AG272" s="43"/>
      <c r="AL272" s="43"/>
      <c r="AQ272" s="43"/>
      <c r="AV272" s="43"/>
      <c r="BA272" s="43"/>
      <c r="BF272" s="43"/>
      <c r="BK272" s="43"/>
      <c r="BQ272" s="43"/>
      <c r="BV272" s="43"/>
      <c r="CC272" s="43"/>
    </row>
    <row r="273" spans="2:81" ht="15.75" customHeight="1">
      <c r="B273" s="36"/>
      <c r="D273" s="36"/>
      <c r="F273" s="43"/>
      <c r="L273" s="43"/>
      <c r="Q273" s="43"/>
      <c r="V273" s="43"/>
      <c r="AD273" s="43"/>
      <c r="AG273" s="43"/>
      <c r="AL273" s="43"/>
      <c r="AQ273" s="43"/>
      <c r="AV273" s="43"/>
      <c r="BA273" s="43"/>
      <c r="BF273" s="43"/>
      <c r="BK273" s="43"/>
      <c r="BQ273" s="43"/>
      <c r="BV273" s="43"/>
      <c r="CC273" s="43"/>
    </row>
    <row r="274" spans="2:81" ht="15.75" customHeight="1">
      <c r="B274" s="36"/>
      <c r="D274" s="36"/>
      <c r="F274" s="43"/>
      <c r="L274" s="43"/>
      <c r="Q274" s="43"/>
      <c r="V274" s="43"/>
      <c r="AD274" s="43"/>
      <c r="AG274" s="43"/>
      <c r="AL274" s="43"/>
      <c r="AQ274" s="43"/>
      <c r="AV274" s="43"/>
      <c r="BA274" s="43"/>
      <c r="BF274" s="43"/>
      <c r="BK274" s="43"/>
      <c r="BQ274" s="43"/>
      <c r="BV274" s="43"/>
      <c r="CC274" s="43"/>
    </row>
    <row r="275" spans="2:81" ht="15.75" customHeight="1">
      <c r="B275" s="36"/>
      <c r="D275" s="36"/>
      <c r="F275" s="43"/>
      <c r="L275" s="43"/>
      <c r="Q275" s="43"/>
      <c r="V275" s="43"/>
      <c r="AD275" s="43"/>
      <c r="AG275" s="43"/>
      <c r="AL275" s="43"/>
      <c r="AQ275" s="43"/>
      <c r="AV275" s="43"/>
      <c r="BA275" s="43"/>
      <c r="BF275" s="43"/>
      <c r="BK275" s="43"/>
      <c r="BQ275" s="43"/>
      <c r="BV275" s="43"/>
      <c r="CC275" s="43"/>
    </row>
    <row r="276" spans="2:81" ht="15.75" customHeight="1">
      <c r="B276" s="36"/>
      <c r="D276" s="36"/>
      <c r="F276" s="43"/>
      <c r="L276" s="43"/>
      <c r="Q276" s="43"/>
      <c r="V276" s="43"/>
      <c r="AD276" s="43"/>
      <c r="AG276" s="43"/>
      <c r="AL276" s="43"/>
      <c r="AQ276" s="43"/>
      <c r="AV276" s="43"/>
      <c r="BA276" s="43"/>
      <c r="BF276" s="43"/>
      <c r="BK276" s="43"/>
      <c r="BQ276" s="43"/>
      <c r="BV276" s="43"/>
      <c r="CC276" s="43"/>
    </row>
    <row r="277" spans="2:81" ht="15.75" customHeight="1">
      <c r="B277" s="36"/>
      <c r="D277" s="36"/>
      <c r="F277" s="43"/>
      <c r="L277" s="43"/>
      <c r="Q277" s="43"/>
      <c r="V277" s="43"/>
      <c r="AD277" s="43"/>
      <c r="AG277" s="43"/>
      <c r="AL277" s="43"/>
      <c r="AQ277" s="43"/>
      <c r="AV277" s="43"/>
      <c r="BA277" s="43"/>
      <c r="BF277" s="43"/>
      <c r="BK277" s="43"/>
      <c r="BQ277" s="43"/>
      <c r="BV277" s="43"/>
      <c r="CC277" s="43"/>
    </row>
    <row r="278" spans="2:81" ht="15.75" customHeight="1">
      <c r="B278" s="36"/>
      <c r="D278" s="36"/>
      <c r="F278" s="43"/>
      <c r="L278" s="43"/>
      <c r="Q278" s="43"/>
      <c r="V278" s="43"/>
      <c r="AD278" s="43"/>
      <c r="AG278" s="43"/>
      <c r="AL278" s="43"/>
      <c r="AQ278" s="43"/>
      <c r="AV278" s="43"/>
      <c r="BA278" s="43"/>
      <c r="BF278" s="43"/>
      <c r="BK278" s="43"/>
      <c r="BQ278" s="43"/>
      <c r="BV278" s="43"/>
      <c r="CC278" s="43"/>
    </row>
    <row r="279" spans="2:81" ht="15.75" customHeight="1">
      <c r="B279" s="36"/>
      <c r="D279" s="36"/>
      <c r="F279" s="43"/>
      <c r="L279" s="43"/>
      <c r="Q279" s="43"/>
      <c r="V279" s="43"/>
      <c r="AD279" s="43"/>
      <c r="AG279" s="43"/>
      <c r="AL279" s="43"/>
      <c r="AQ279" s="43"/>
      <c r="AV279" s="43"/>
      <c r="BA279" s="43"/>
      <c r="BF279" s="43"/>
      <c r="BK279" s="43"/>
      <c r="BQ279" s="43"/>
      <c r="BV279" s="43"/>
      <c r="CC279" s="43"/>
    </row>
    <row r="280" spans="2:81" ht="15.75" customHeight="1">
      <c r="B280" s="36"/>
      <c r="D280" s="36"/>
      <c r="F280" s="43"/>
      <c r="L280" s="43"/>
      <c r="Q280" s="43"/>
      <c r="V280" s="43"/>
      <c r="AD280" s="43"/>
      <c r="AG280" s="43"/>
      <c r="AL280" s="43"/>
      <c r="AQ280" s="43"/>
      <c r="AV280" s="43"/>
      <c r="BA280" s="43"/>
      <c r="BF280" s="43"/>
      <c r="BK280" s="43"/>
      <c r="BQ280" s="43"/>
      <c r="BV280" s="43"/>
      <c r="CC280" s="43"/>
    </row>
    <row r="281" spans="2:81" ht="15.75" customHeight="1">
      <c r="B281" s="36"/>
      <c r="D281" s="36"/>
      <c r="F281" s="43"/>
      <c r="L281" s="43"/>
      <c r="Q281" s="43"/>
      <c r="V281" s="43"/>
      <c r="AD281" s="43"/>
      <c r="AG281" s="43"/>
      <c r="AL281" s="43"/>
      <c r="AQ281" s="43"/>
      <c r="AV281" s="43"/>
      <c r="BA281" s="43"/>
      <c r="BF281" s="43"/>
      <c r="BK281" s="43"/>
      <c r="BQ281" s="43"/>
      <c r="BV281" s="43"/>
      <c r="CC281" s="43"/>
    </row>
    <row r="282" spans="2:81" ht="15.75" customHeight="1">
      <c r="B282" s="36"/>
      <c r="D282" s="36"/>
      <c r="F282" s="43"/>
      <c r="L282" s="43"/>
      <c r="Q282" s="43"/>
      <c r="V282" s="43"/>
      <c r="AD282" s="43"/>
      <c r="AG282" s="43"/>
      <c r="AL282" s="43"/>
      <c r="AQ282" s="43"/>
      <c r="AV282" s="43"/>
      <c r="BA282" s="43"/>
      <c r="BF282" s="43"/>
      <c r="BK282" s="43"/>
      <c r="BQ282" s="43"/>
      <c r="BV282" s="43"/>
      <c r="CC282" s="43"/>
    </row>
    <row r="283" spans="2:81" ht="15.75" customHeight="1">
      <c r="B283" s="36"/>
      <c r="D283" s="36"/>
      <c r="F283" s="43"/>
      <c r="L283" s="43"/>
      <c r="Q283" s="43"/>
      <c r="V283" s="43"/>
      <c r="AD283" s="43"/>
      <c r="AG283" s="43"/>
      <c r="AL283" s="43"/>
      <c r="AQ283" s="43"/>
      <c r="AV283" s="43"/>
      <c r="BA283" s="43"/>
      <c r="BF283" s="43"/>
      <c r="BK283" s="43"/>
      <c r="BQ283" s="43"/>
      <c r="BV283" s="43"/>
      <c r="CC283" s="43"/>
    </row>
    <row r="284" spans="2:81" ht="15.75" customHeight="1">
      <c r="B284" s="36"/>
      <c r="D284" s="36"/>
      <c r="F284" s="43"/>
      <c r="L284" s="43"/>
      <c r="Q284" s="43"/>
      <c r="V284" s="43"/>
      <c r="AD284" s="43"/>
      <c r="AG284" s="43"/>
      <c r="AL284" s="43"/>
      <c r="AQ284" s="43"/>
      <c r="AV284" s="43"/>
      <c r="BA284" s="43"/>
      <c r="BF284" s="43"/>
      <c r="BK284" s="43"/>
      <c r="BQ284" s="43"/>
      <c r="BV284" s="43"/>
      <c r="CC284" s="43"/>
    </row>
    <row r="285" spans="2:81" ht="15.75" customHeight="1">
      <c r="B285" s="36"/>
      <c r="D285" s="36"/>
      <c r="F285" s="43"/>
      <c r="L285" s="43"/>
      <c r="Q285" s="43"/>
      <c r="V285" s="43"/>
      <c r="AD285" s="43"/>
      <c r="AG285" s="43"/>
      <c r="AL285" s="43"/>
      <c r="AQ285" s="43"/>
      <c r="AV285" s="43"/>
      <c r="BA285" s="43"/>
      <c r="BF285" s="43"/>
      <c r="BK285" s="43"/>
      <c r="BQ285" s="43"/>
      <c r="BV285" s="43"/>
      <c r="CC285" s="43"/>
    </row>
    <row r="286" spans="2:81" ht="15.75" customHeight="1">
      <c r="B286" s="36"/>
      <c r="D286" s="36"/>
      <c r="F286" s="43"/>
      <c r="L286" s="43"/>
      <c r="Q286" s="43"/>
      <c r="V286" s="43"/>
      <c r="AD286" s="43"/>
      <c r="AG286" s="43"/>
      <c r="AL286" s="43"/>
      <c r="AQ286" s="43"/>
      <c r="AV286" s="43"/>
      <c r="BA286" s="43"/>
      <c r="BF286" s="43"/>
      <c r="BK286" s="43"/>
      <c r="BQ286" s="43"/>
      <c r="BV286" s="43"/>
      <c r="CC286" s="43"/>
    </row>
    <row r="287" spans="2:81" ht="15.75" customHeight="1">
      <c r="B287" s="36"/>
      <c r="D287" s="36"/>
      <c r="F287" s="43"/>
      <c r="L287" s="43"/>
      <c r="Q287" s="43"/>
      <c r="V287" s="43"/>
      <c r="AD287" s="43"/>
      <c r="AG287" s="43"/>
      <c r="AL287" s="43"/>
      <c r="AQ287" s="43"/>
      <c r="AV287" s="43"/>
      <c r="BA287" s="43"/>
      <c r="BF287" s="43"/>
      <c r="BK287" s="43"/>
      <c r="BQ287" s="43"/>
      <c r="BV287" s="43"/>
      <c r="CC287" s="43"/>
    </row>
    <row r="288" spans="2:81" ht="15.75" customHeight="1">
      <c r="B288" s="36"/>
      <c r="D288" s="36"/>
      <c r="F288" s="43"/>
      <c r="L288" s="43"/>
      <c r="Q288" s="43"/>
      <c r="V288" s="43"/>
      <c r="AD288" s="43"/>
      <c r="AG288" s="43"/>
      <c r="AL288" s="43"/>
      <c r="AQ288" s="43"/>
      <c r="AV288" s="43"/>
      <c r="BA288" s="43"/>
      <c r="BF288" s="43"/>
      <c r="BK288" s="43"/>
      <c r="BQ288" s="43"/>
      <c r="BV288" s="43"/>
      <c r="CC288" s="43"/>
    </row>
    <row r="289" spans="2:81" ht="15.75" customHeight="1">
      <c r="B289" s="36"/>
      <c r="D289" s="36"/>
      <c r="F289" s="43"/>
      <c r="L289" s="43"/>
      <c r="Q289" s="43"/>
      <c r="V289" s="43"/>
      <c r="AD289" s="43"/>
      <c r="AG289" s="43"/>
      <c r="AL289" s="43"/>
      <c r="AQ289" s="43"/>
      <c r="AV289" s="43"/>
      <c r="BA289" s="43"/>
      <c r="BF289" s="43"/>
      <c r="BK289" s="43"/>
      <c r="BQ289" s="43"/>
      <c r="BV289" s="43"/>
      <c r="CC289" s="43"/>
    </row>
    <row r="290" spans="2:81" ht="15.75" customHeight="1">
      <c r="B290" s="36"/>
      <c r="D290" s="36"/>
      <c r="F290" s="43"/>
      <c r="L290" s="43"/>
      <c r="Q290" s="43"/>
      <c r="V290" s="43"/>
      <c r="AD290" s="43"/>
      <c r="AG290" s="43"/>
      <c r="AL290" s="43"/>
      <c r="AQ290" s="43"/>
      <c r="AV290" s="43"/>
      <c r="BA290" s="43"/>
      <c r="BF290" s="43"/>
      <c r="BK290" s="43"/>
      <c r="BQ290" s="43"/>
      <c r="BV290" s="43"/>
      <c r="CC290" s="43"/>
    </row>
    <row r="291" spans="2:81" ht="15.75" customHeight="1">
      <c r="B291" s="36"/>
      <c r="D291" s="36"/>
      <c r="F291" s="43"/>
      <c r="L291" s="43"/>
      <c r="Q291" s="43"/>
      <c r="V291" s="43"/>
      <c r="AD291" s="43"/>
      <c r="AG291" s="43"/>
      <c r="AL291" s="43"/>
      <c r="AQ291" s="43"/>
      <c r="AV291" s="43"/>
      <c r="BA291" s="43"/>
      <c r="BF291" s="43"/>
      <c r="BK291" s="43"/>
      <c r="BQ291" s="43"/>
      <c r="BV291" s="43"/>
      <c r="CC291" s="43"/>
    </row>
    <row r="292" spans="2:81" ht="15.75" customHeight="1">
      <c r="B292" s="36"/>
      <c r="D292" s="36"/>
      <c r="F292" s="43"/>
      <c r="L292" s="43"/>
      <c r="Q292" s="43"/>
      <c r="V292" s="43"/>
      <c r="AD292" s="43"/>
      <c r="AG292" s="43"/>
      <c r="AL292" s="43"/>
      <c r="AQ292" s="43"/>
      <c r="AV292" s="43"/>
      <c r="BA292" s="43"/>
      <c r="BF292" s="43"/>
      <c r="BK292" s="43"/>
      <c r="BQ292" s="43"/>
      <c r="BV292" s="43"/>
      <c r="CC292" s="43"/>
    </row>
    <row r="293" spans="2:81" ht="15.75" customHeight="1">
      <c r="B293" s="36"/>
      <c r="D293" s="36"/>
      <c r="F293" s="43"/>
      <c r="L293" s="43"/>
      <c r="Q293" s="43"/>
      <c r="V293" s="43"/>
      <c r="AD293" s="43"/>
      <c r="AG293" s="43"/>
      <c r="AL293" s="43"/>
      <c r="AQ293" s="43"/>
      <c r="AV293" s="43"/>
      <c r="BA293" s="43"/>
      <c r="BF293" s="43"/>
      <c r="BK293" s="43"/>
      <c r="BQ293" s="43"/>
      <c r="BV293" s="43"/>
      <c r="CC293" s="43"/>
    </row>
    <row r="294" spans="2:81" ht="15.75" customHeight="1">
      <c r="B294" s="36"/>
      <c r="D294" s="36"/>
      <c r="F294" s="43"/>
      <c r="L294" s="43"/>
      <c r="Q294" s="43"/>
      <c r="V294" s="43"/>
      <c r="AD294" s="43"/>
      <c r="AG294" s="43"/>
      <c r="AL294" s="43"/>
      <c r="AQ294" s="43"/>
      <c r="AV294" s="43"/>
      <c r="BA294" s="43"/>
      <c r="BF294" s="43"/>
      <c r="BK294" s="43"/>
      <c r="BQ294" s="43"/>
      <c r="BV294" s="43"/>
      <c r="CC294" s="43"/>
    </row>
    <row r="295" spans="2:81" ht="15.75" customHeight="1">
      <c r="B295" s="36"/>
      <c r="D295" s="36"/>
      <c r="F295" s="43"/>
      <c r="L295" s="43"/>
      <c r="Q295" s="43"/>
      <c r="V295" s="43"/>
      <c r="AD295" s="43"/>
      <c r="AG295" s="43"/>
      <c r="AL295" s="43"/>
      <c r="AQ295" s="43"/>
      <c r="AV295" s="43"/>
      <c r="BA295" s="43"/>
      <c r="BF295" s="43"/>
      <c r="BK295" s="43"/>
      <c r="BQ295" s="43"/>
      <c r="BV295" s="43"/>
      <c r="CC295" s="43"/>
    </row>
    <row r="296" spans="2:81" ht="15.75" customHeight="1">
      <c r="B296" s="36"/>
      <c r="D296" s="36"/>
      <c r="F296" s="43"/>
      <c r="L296" s="43"/>
      <c r="Q296" s="43"/>
      <c r="V296" s="43"/>
      <c r="AD296" s="43"/>
      <c r="AG296" s="43"/>
      <c r="AL296" s="43"/>
      <c r="AQ296" s="43"/>
      <c r="AV296" s="43"/>
      <c r="BA296" s="43"/>
      <c r="BF296" s="43"/>
      <c r="BK296" s="43"/>
      <c r="BQ296" s="43"/>
      <c r="BV296" s="43"/>
      <c r="CC296" s="43"/>
    </row>
    <row r="297" spans="2:81" ht="15.75" customHeight="1">
      <c r="B297" s="36"/>
      <c r="D297" s="36"/>
      <c r="F297" s="43"/>
      <c r="L297" s="43"/>
      <c r="Q297" s="43"/>
      <c r="V297" s="43"/>
      <c r="AD297" s="43"/>
      <c r="AG297" s="43"/>
      <c r="AL297" s="43"/>
      <c r="AQ297" s="43"/>
      <c r="AV297" s="43"/>
      <c r="BA297" s="43"/>
      <c r="BF297" s="43"/>
      <c r="BK297" s="43"/>
      <c r="BQ297" s="43"/>
      <c r="BV297" s="43"/>
      <c r="CC297" s="43"/>
    </row>
    <row r="298" spans="2:81" ht="15.75" customHeight="1">
      <c r="B298" s="36"/>
      <c r="D298" s="36"/>
      <c r="F298" s="43"/>
      <c r="L298" s="43"/>
      <c r="Q298" s="43"/>
      <c r="V298" s="43"/>
      <c r="AD298" s="43"/>
      <c r="AG298" s="43"/>
      <c r="AL298" s="43"/>
      <c r="AQ298" s="43"/>
      <c r="AV298" s="43"/>
      <c r="BA298" s="43"/>
      <c r="BF298" s="43"/>
      <c r="BK298" s="43"/>
      <c r="BQ298" s="43"/>
      <c r="BV298" s="43"/>
      <c r="CC298" s="43"/>
    </row>
    <row r="299" spans="2:81" ht="15.75" customHeight="1">
      <c r="B299" s="36"/>
      <c r="D299" s="36"/>
      <c r="F299" s="43"/>
      <c r="L299" s="43"/>
      <c r="Q299" s="43"/>
      <c r="V299" s="43"/>
      <c r="AD299" s="43"/>
      <c r="AG299" s="43"/>
      <c r="AL299" s="43"/>
      <c r="AQ299" s="43"/>
      <c r="AV299" s="43"/>
      <c r="BA299" s="43"/>
      <c r="BF299" s="43"/>
      <c r="BK299" s="43"/>
      <c r="BQ299" s="43"/>
      <c r="BV299" s="43"/>
      <c r="CC299" s="43"/>
    </row>
    <row r="300" spans="2:81" ht="15.75" customHeight="1">
      <c r="B300" s="36"/>
      <c r="D300" s="36"/>
      <c r="F300" s="43"/>
      <c r="L300" s="43"/>
      <c r="Q300" s="43"/>
      <c r="V300" s="43"/>
      <c r="AD300" s="43"/>
      <c r="AG300" s="43"/>
      <c r="AL300" s="43"/>
      <c r="AQ300" s="43"/>
      <c r="AV300" s="43"/>
      <c r="BA300" s="43"/>
      <c r="BF300" s="43"/>
      <c r="BK300" s="43"/>
      <c r="BQ300" s="43"/>
      <c r="BV300" s="43"/>
      <c r="CC300" s="43"/>
    </row>
    <row r="301" spans="2:81" ht="15.75" customHeight="1">
      <c r="B301" s="36"/>
      <c r="D301" s="36"/>
      <c r="F301" s="43"/>
      <c r="L301" s="43"/>
      <c r="Q301" s="43"/>
      <c r="V301" s="43"/>
      <c r="AD301" s="43"/>
      <c r="AG301" s="43"/>
      <c r="AL301" s="43"/>
      <c r="AQ301" s="43"/>
      <c r="AV301" s="43"/>
      <c r="BA301" s="43"/>
      <c r="BF301" s="43"/>
      <c r="BK301" s="43"/>
      <c r="BQ301" s="43"/>
      <c r="BV301" s="43"/>
      <c r="CC301" s="43"/>
    </row>
    <row r="302" spans="2:81" ht="15.75" customHeight="1">
      <c r="B302" s="36"/>
      <c r="D302" s="36"/>
      <c r="F302" s="43"/>
      <c r="L302" s="43"/>
      <c r="Q302" s="43"/>
      <c r="V302" s="43"/>
      <c r="AD302" s="43"/>
      <c r="AG302" s="43"/>
      <c r="AL302" s="43"/>
      <c r="AQ302" s="43"/>
      <c r="AV302" s="43"/>
      <c r="BA302" s="43"/>
      <c r="BF302" s="43"/>
      <c r="BK302" s="43"/>
      <c r="BQ302" s="43"/>
      <c r="BV302" s="43"/>
      <c r="CC302" s="43"/>
    </row>
    <row r="303" spans="2:81" ht="15.75" customHeight="1">
      <c r="B303" s="36"/>
      <c r="D303" s="36"/>
      <c r="F303" s="43"/>
      <c r="L303" s="43"/>
      <c r="Q303" s="43"/>
      <c r="V303" s="43"/>
      <c r="AD303" s="43"/>
      <c r="AG303" s="43"/>
      <c r="AL303" s="43"/>
      <c r="AQ303" s="43"/>
      <c r="AV303" s="43"/>
      <c r="BA303" s="43"/>
      <c r="BF303" s="43"/>
      <c r="BK303" s="43"/>
      <c r="BQ303" s="43"/>
      <c r="BV303" s="43"/>
      <c r="CC303" s="43"/>
    </row>
    <row r="304" spans="2:81" ht="15.75" customHeight="1">
      <c r="B304" s="36"/>
      <c r="D304" s="36"/>
      <c r="F304" s="43"/>
      <c r="L304" s="43"/>
      <c r="Q304" s="43"/>
      <c r="V304" s="43"/>
      <c r="AD304" s="43"/>
      <c r="AG304" s="43"/>
      <c r="AL304" s="43"/>
      <c r="AQ304" s="43"/>
      <c r="AV304" s="43"/>
      <c r="BA304" s="43"/>
      <c r="BF304" s="43"/>
      <c r="BK304" s="43"/>
      <c r="BQ304" s="43"/>
      <c r="BV304" s="43"/>
      <c r="CC304" s="43"/>
    </row>
    <row r="305" spans="2:81" ht="15.75" customHeight="1">
      <c r="B305" s="36"/>
      <c r="D305" s="36"/>
      <c r="F305" s="43"/>
      <c r="L305" s="43"/>
      <c r="Q305" s="43"/>
      <c r="V305" s="43"/>
      <c r="AD305" s="43"/>
      <c r="AG305" s="43"/>
      <c r="AL305" s="43"/>
      <c r="AQ305" s="43"/>
      <c r="AV305" s="43"/>
      <c r="BA305" s="43"/>
      <c r="BF305" s="43"/>
      <c r="BK305" s="43"/>
      <c r="BQ305" s="43"/>
      <c r="BV305" s="43"/>
      <c r="CC305" s="43"/>
    </row>
    <row r="306" spans="2:81" ht="15.75" customHeight="1">
      <c r="B306" s="36"/>
      <c r="D306" s="36"/>
      <c r="F306" s="43"/>
      <c r="L306" s="43"/>
      <c r="Q306" s="43"/>
      <c r="V306" s="43"/>
      <c r="AD306" s="43"/>
      <c r="AG306" s="43"/>
      <c r="AL306" s="43"/>
      <c r="AQ306" s="43"/>
      <c r="AV306" s="43"/>
      <c r="BA306" s="43"/>
      <c r="BF306" s="43"/>
      <c r="BK306" s="43"/>
      <c r="BQ306" s="43"/>
      <c r="BV306" s="43"/>
      <c r="CC306" s="43"/>
    </row>
    <row r="307" spans="2:81" ht="15.75" customHeight="1">
      <c r="B307" s="36"/>
      <c r="D307" s="36"/>
      <c r="F307" s="43"/>
      <c r="L307" s="43"/>
      <c r="Q307" s="43"/>
      <c r="V307" s="43"/>
      <c r="AD307" s="43"/>
      <c r="AG307" s="43"/>
      <c r="AL307" s="43"/>
      <c r="AQ307" s="43"/>
      <c r="AV307" s="43"/>
      <c r="BA307" s="43"/>
      <c r="BF307" s="43"/>
      <c r="BK307" s="43"/>
      <c r="BQ307" s="43"/>
      <c r="BV307" s="43"/>
      <c r="CC307" s="43"/>
    </row>
    <row r="308" spans="2:81" ht="15.75" customHeight="1">
      <c r="B308" s="36"/>
      <c r="D308" s="36"/>
      <c r="F308" s="43"/>
      <c r="L308" s="43"/>
      <c r="Q308" s="43"/>
      <c r="V308" s="43"/>
      <c r="AD308" s="43"/>
      <c r="AG308" s="43"/>
      <c r="AL308" s="43"/>
      <c r="AQ308" s="43"/>
      <c r="AV308" s="43"/>
      <c r="BA308" s="43"/>
      <c r="BF308" s="43"/>
      <c r="BK308" s="43"/>
      <c r="BQ308" s="43"/>
      <c r="BV308" s="43"/>
      <c r="CC308" s="43"/>
    </row>
    <row r="309" spans="2:81" ht="15.75" customHeight="1">
      <c r="B309" s="36"/>
      <c r="D309" s="36"/>
      <c r="F309" s="43"/>
      <c r="L309" s="43"/>
      <c r="Q309" s="43"/>
      <c r="V309" s="43"/>
      <c r="AD309" s="43"/>
      <c r="AG309" s="43"/>
      <c r="AL309" s="43"/>
      <c r="AQ309" s="43"/>
      <c r="AV309" s="43"/>
      <c r="BA309" s="43"/>
      <c r="BF309" s="43"/>
      <c r="BK309" s="43"/>
      <c r="BQ309" s="43"/>
      <c r="BV309" s="43"/>
      <c r="CC309" s="43"/>
    </row>
    <row r="310" spans="2:81" ht="15.75" customHeight="1">
      <c r="B310" s="36"/>
      <c r="D310" s="36"/>
      <c r="F310" s="43"/>
      <c r="L310" s="43"/>
      <c r="Q310" s="43"/>
      <c r="V310" s="43"/>
      <c r="AD310" s="43"/>
      <c r="AG310" s="43"/>
      <c r="AL310" s="43"/>
      <c r="AQ310" s="43"/>
      <c r="AV310" s="43"/>
      <c r="BA310" s="43"/>
      <c r="BF310" s="43"/>
      <c r="BK310" s="43"/>
      <c r="BQ310" s="43"/>
      <c r="BV310" s="43"/>
      <c r="CC310" s="43"/>
    </row>
    <row r="311" spans="2:81" ht="15.75" customHeight="1">
      <c r="B311" s="36"/>
      <c r="D311" s="36"/>
      <c r="F311" s="43"/>
      <c r="L311" s="43"/>
      <c r="Q311" s="43"/>
      <c r="V311" s="43"/>
      <c r="AD311" s="43"/>
      <c r="AG311" s="43"/>
      <c r="AL311" s="43"/>
      <c r="AQ311" s="43"/>
      <c r="AV311" s="43"/>
      <c r="BA311" s="43"/>
      <c r="BF311" s="43"/>
      <c r="BK311" s="43"/>
      <c r="BQ311" s="43"/>
      <c r="BV311" s="43"/>
      <c r="CC311" s="43"/>
    </row>
    <row r="312" spans="2:81" ht="15.75" customHeight="1">
      <c r="B312" s="36"/>
      <c r="D312" s="36"/>
      <c r="F312" s="43"/>
      <c r="L312" s="43"/>
      <c r="Q312" s="43"/>
      <c r="V312" s="43"/>
      <c r="AD312" s="43"/>
      <c r="AG312" s="43"/>
      <c r="AL312" s="43"/>
      <c r="AQ312" s="43"/>
      <c r="AV312" s="43"/>
      <c r="BA312" s="43"/>
      <c r="BF312" s="43"/>
      <c r="BK312" s="43"/>
      <c r="BQ312" s="43"/>
      <c r="BV312" s="43"/>
      <c r="CC312" s="43"/>
    </row>
    <row r="313" spans="2:81" ht="15.75" customHeight="1">
      <c r="B313" s="36"/>
      <c r="D313" s="36"/>
      <c r="F313" s="43"/>
      <c r="L313" s="43"/>
      <c r="Q313" s="43"/>
      <c r="V313" s="43"/>
      <c r="AD313" s="43"/>
      <c r="AG313" s="43"/>
      <c r="AL313" s="43"/>
      <c r="AQ313" s="43"/>
      <c r="AV313" s="43"/>
      <c r="BA313" s="43"/>
      <c r="BF313" s="43"/>
      <c r="BK313" s="43"/>
      <c r="BQ313" s="43"/>
      <c r="BV313" s="43"/>
      <c r="CC313" s="43"/>
    </row>
    <row r="314" spans="2:81" ht="15.75" customHeight="1">
      <c r="B314" s="36"/>
      <c r="D314" s="36"/>
      <c r="F314" s="43"/>
      <c r="L314" s="43"/>
      <c r="Q314" s="43"/>
      <c r="V314" s="43"/>
      <c r="AD314" s="43"/>
      <c r="AG314" s="43"/>
      <c r="AL314" s="43"/>
      <c r="AQ314" s="43"/>
      <c r="AV314" s="43"/>
      <c r="BA314" s="43"/>
      <c r="BF314" s="43"/>
      <c r="BK314" s="43"/>
      <c r="BQ314" s="43"/>
      <c r="BV314" s="43"/>
      <c r="CC314" s="43"/>
    </row>
    <row r="315" spans="2:81" ht="15.75" customHeight="1">
      <c r="B315" s="36"/>
      <c r="D315" s="36"/>
      <c r="F315" s="43"/>
      <c r="L315" s="43"/>
      <c r="Q315" s="43"/>
      <c r="V315" s="43"/>
      <c r="AD315" s="43"/>
      <c r="AG315" s="43"/>
      <c r="AL315" s="43"/>
      <c r="AQ315" s="43"/>
      <c r="AV315" s="43"/>
      <c r="BA315" s="43"/>
      <c r="BF315" s="43"/>
      <c r="BK315" s="43"/>
      <c r="BQ315" s="43"/>
      <c r="BV315" s="43"/>
      <c r="CC315" s="43"/>
    </row>
    <row r="316" spans="2:81" ht="15.75" customHeight="1">
      <c r="B316" s="36"/>
      <c r="D316" s="36"/>
      <c r="F316" s="43"/>
      <c r="L316" s="43"/>
      <c r="Q316" s="43"/>
      <c r="V316" s="43"/>
      <c r="AD316" s="43"/>
      <c r="AG316" s="43"/>
      <c r="AL316" s="43"/>
      <c r="AQ316" s="43"/>
      <c r="AV316" s="43"/>
      <c r="BA316" s="43"/>
      <c r="BF316" s="43"/>
      <c r="BK316" s="43"/>
      <c r="BQ316" s="43"/>
      <c r="BV316" s="43"/>
      <c r="CC316" s="43"/>
    </row>
    <row r="317" spans="2:81" ht="15.75" customHeight="1">
      <c r="B317" s="36"/>
      <c r="D317" s="36"/>
      <c r="F317" s="43"/>
      <c r="L317" s="43"/>
      <c r="Q317" s="43"/>
      <c r="V317" s="43"/>
      <c r="AD317" s="43"/>
      <c r="AG317" s="43"/>
      <c r="AL317" s="43"/>
      <c r="AQ317" s="43"/>
      <c r="AV317" s="43"/>
      <c r="BA317" s="43"/>
      <c r="BF317" s="43"/>
      <c r="BK317" s="43"/>
      <c r="BQ317" s="43"/>
      <c r="BV317" s="43"/>
      <c r="CC317" s="43"/>
    </row>
    <row r="318" spans="2:81" ht="15.75" customHeight="1">
      <c r="B318" s="36"/>
      <c r="D318" s="36"/>
      <c r="F318" s="43"/>
      <c r="L318" s="43"/>
      <c r="Q318" s="43"/>
      <c r="V318" s="43"/>
      <c r="AD318" s="43"/>
      <c r="AG318" s="43"/>
      <c r="AL318" s="43"/>
      <c r="AQ318" s="43"/>
      <c r="AV318" s="43"/>
      <c r="BA318" s="43"/>
      <c r="BF318" s="43"/>
      <c r="BK318" s="43"/>
      <c r="BQ318" s="43"/>
      <c r="BV318" s="43"/>
      <c r="CC318" s="43"/>
    </row>
    <row r="319" spans="2:81" ht="15.75" customHeight="1">
      <c r="B319" s="36"/>
      <c r="D319" s="36"/>
      <c r="F319" s="43"/>
      <c r="L319" s="43"/>
      <c r="Q319" s="43"/>
      <c r="V319" s="43"/>
      <c r="AD319" s="43"/>
      <c r="AG319" s="43"/>
      <c r="AL319" s="43"/>
      <c r="AQ319" s="43"/>
      <c r="AV319" s="43"/>
      <c r="BA319" s="43"/>
      <c r="BF319" s="43"/>
      <c r="BK319" s="43"/>
      <c r="BQ319" s="43"/>
      <c r="BV319" s="43"/>
      <c r="CC319" s="43"/>
    </row>
    <row r="320" spans="2:81" ht="15.75" customHeight="1">
      <c r="B320" s="36"/>
      <c r="D320" s="36"/>
      <c r="F320" s="43"/>
      <c r="L320" s="43"/>
      <c r="Q320" s="43"/>
      <c r="V320" s="43"/>
      <c r="AD320" s="43"/>
      <c r="AG320" s="43"/>
      <c r="AL320" s="43"/>
      <c r="AQ320" s="43"/>
      <c r="AV320" s="43"/>
      <c r="BA320" s="43"/>
      <c r="BF320" s="43"/>
      <c r="BK320" s="43"/>
      <c r="BQ320" s="43"/>
      <c r="BV320" s="43"/>
      <c r="CC320" s="43"/>
    </row>
    <row r="321" spans="2:81" ht="15.75" customHeight="1">
      <c r="B321" s="36"/>
      <c r="D321" s="36"/>
      <c r="F321" s="43"/>
      <c r="L321" s="43"/>
      <c r="Q321" s="43"/>
      <c r="V321" s="43"/>
      <c r="AD321" s="43"/>
      <c r="AG321" s="43"/>
      <c r="AL321" s="43"/>
      <c r="AQ321" s="43"/>
      <c r="AV321" s="43"/>
      <c r="BA321" s="43"/>
      <c r="BF321" s="43"/>
      <c r="BK321" s="43"/>
      <c r="BQ321" s="43"/>
      <c r="BV321" s="43"/>
      <c r="CC321" s="43"/>
    </row>
    <row r="322" spans="2:81" ht="15.75" customHeight="1">
      <c r="B322" s="36"/>
      <c r="D322" s="36"/>
      <c r="F322" s="43"/>
      <c r="L322" s="43"/>
      <c r="Q322" s="43"/>
      <c r="V322" s="43"/>
      <c r="AD322" s="43"/>
      <c r="AG322" s="43"/>
      <c r="AL322" s="43"/>
      <c r="AQ322" s="43"/>
      <c r="AV322" s="43"/>
      <c r="BA322" s="43"/>
      <c r="BF322" s="43"/>
      <c r="BK322" s="43"/>
      <c r="BQ322" s="43"/>
      <c r="BV322" s="43"/>
      <c r="CC322" s="43"/>
    </row>
    <row r="323" spans="2:81" ht="15.75" customHeight="1">
      <c r="B323" s="36"/>
      <c r="D323" s="36"/>
      <c r="F323" s="43"/>
      <c r="L323" s="43"/>
      <c r="Q323" s="43"/>
      <c r="V323" s="43"/>
      <c r="AD323" s="43"/>
      <c r="AG323" s="43"/>
      <c r="AL323" s="43"/>
      <c r="AQ323" s="43"/>
      <c r="AV323" s="43"/>
      <c r="BA323" s="43"/>
      <c r="BF323" s="43"/>
      <c r="BK323" s="43"/>
      <c r="BQ323" s="43"/>
      <c r="BV323" s="43"/>
      <c r="CC323" s="43"/>
    </row>
    <row r="324" spans="2:81" ht="15.75" customHeight="1">
      <c r="B324" s="36"/>
      <c r="D324" s="36"/>
      <c r="F324" s="43"/>
      <c r="L324" s="43"/>
      <c r="Q324" s="43"/>
      <c r="V324" s="43"/>
      <c r="AD324" s="43"/>
      <c r="AG324" s="43"/>
      <c r="AL324" s="43"/>
      <c r="AQ324" s="43"/>
      <c r="AV324" s="43"/>
      <c r="BA324" s="43"/>
      <c r="BF324" s="43"/>
      <c r="BK324" s="43"/>
      <c r="BQ324" s="43"/>
      <c r="BV324" s="43"/>
      <c r="CC324" s="43"/>
    </row>
    <row r="325" spans="2:81" ht="15.75" customHeight="1">
      <c r="B325" s="36"/>
      <c r="D325" s="36"/>
      <c r="F325" s="43"/>
      <c r="L325" s="43"/>
      <c r="Q325" s="43"/>
      <c r="V325" s="43"/>
      <c r="AD325" s="43"/>
      <c r="AG325" s="43"/>
      <c r="AL325" s="43"/>
      <c r="AQ325" s="43"/>
      <c r="AV325" s="43"/>
      <c r="BA325" s="43"/>
      <c r="BF325" s="43"/>
      <c r="BK325" s="43"/>
      <c r="BQ325" s="43"/>
      <c r="BV325" s="43"/>
      <c r="CC325" s="43"/>
    </row>
    <row r="326" spans="2:81" ht="15.75" customHeight="1">
      <c r="B326" s="36"/>
      <c r="D326" s="36"/>
      <c r="F326" s="43"/>
      <c r="L326" s="43"/>
      <c r="Q326" s="43"/>
      <c r="V326" s="43"/>
      <c r="AD326" s="43"/>
      <c r="AG326" s="43"/>
      <c r="AL326" s="43"/>
      <c r="AQ326" s="43"/>
      <c r="AV326" s="43"/>
      <c r="BA326" s="43"/>
      <c r="BF326" s="43"/>
      <c r="BK326" s="43"/>
      <c r="BQ326" s="43"/>
      <c r="BV326" s="43"/>
      <c r="CC326" s="43"/>
    </row>
    <row r="327" spans="2:81" ht="15.75" customHeight="1">
      <c r="B327" s="36"/>
      <c r="D327" s="36"/>
      <c r="F327" s="43"/>
      <c r="L327" s="43"/>
      <c r="Q327" s="43"/>
      <c r="V327" s="43"/>
      <c r="AD327" s="43"/>
      <c r="AG327" s="43"/>
      <c r="AL327" s="43"/>
      <c r="AQ327" s="43"/>
      <c r="AV327" s="43"/>
      <c r="BA327" s="43"/>
      <c r="BF327" s="43"/>
      <c r="BK327" s="43"/>
      <c r="BQ327" s="43"/>
      <c r="BV327" s="43"/>
      <c r="CC327" s="43"/>
    </row>
    <row r="328" spans="2:81" ht="15.75" customHeight="1">
      <c r="B328" s="36"/>
      <c r="D328" s="36"/>
      <c r="F328" s="43"/>
      <c r="L328" s="43"/>
      <c r="Q328" s="43"/>
      <c r="V328" s="43"/>
      <c r="AD328" s="43"/>
      <c r="AG328" s="43"/>
      <c r="AL328" s="43"/>
      <c r="AQ328" s="43"/>
      <c r="AV328" s="43"/>
      <c r="BA328" s="43"/>
      <c r="BF328" s="43"/>
      <c r="BK328" s="43"/>
      <c r="BQ328" s="43"/>
      <c r="BV328" s="43"/>
      <c r="CC328" s="43"/>
    </row>
    <row r="329" spans="2:81" ht="15.75" customHeight="1">
      <c r="B329" s="36"/>
      <c r="D329" s="36"/>
      <c r="F329" s="43"/>
      <c r="L329" s="43"/>
      <c r="Q329" s="43"/>
      <c r="V329" s="43"/>
      <c r="AD329" s="43"/>
      <c r="AG329" s="43"/>
      <c r="AL329" s="43"/>
      <c r="AQ329" s="43"/>
      <c r="AV329" s="43"/>
      <c r="BA329" s="43"/>
      <c r="BF329" s="43"/>
      <c r="BK329" s="43"/>
      <c r="BQ329" s="43"/>
      <c r="BV329" s="43"/>
      <c r="CC329" s="43"/>
    </row>
    <row r="330" spans="2:81" ht="15.75" customHeight="1">
      <c r="B330" s="36"/>
      <c r="D330" s="36"/>
      <c r="F330" s="43"/>
      <c r="L330" s="43"/>
      <c r="Q330" s="43"/>
      <c r="V330" s="43"/>
      <c r="AD330" s="43"/>
      <c r="AG330" s="43"/>
      <c r="AL330" s="43"/>
      <c r="AQ330" s="43"/>
      <c r="AV330" s="43"/>
      <c r="BA330" s="43"/>
      <c r="BF330" s="43"/>
      <c r="BK330" s="43"/>
      <c r="BQ330" s="43"/>
      <c r="BV330" s="43"/>
      <c r="CC330" s="43"/>
    </row>
    <row r="331" spans="2:81" ht="15.75" customHeight="1">
      <c r="B331" s="36"/>
      <c r="D331" s="36"/>
      <c r="F331" s="43"/>
      <c r="L331" s="43"/>
      <c r="Q331" s="43"/>
      <c r="V331" s="43"/>
      <c r="AD331" s="43"/>
      <c r="AG331" s="43"/>
      <c r="AL331" s="43"/>
      <c r="AQ331" s="43"/>
      <c r="AV331" s="43"/>
      <c r="BA331" s="43"/>
      <c r="BF331" s="43"/>
      <c r="BK331" s="43"/>
      <c r="BQ331" s="43"/>
      <c r="BV331" s="43"/>
      <c r="CC331" s="43"/>
    </row>
    <row r="332" spans="2:81" ht="15.75" customHeight="1">
      <c r="B332" s="36"/>
      <c r="D332" s="36"/>
      <c r="F332" s="43"/>
      <c r="L332" s="43"/>
      <c r="Q332" s="43"/>
      <c r="V332" s="43"/>
      <c r="AD332" s="43"/>
      <c r="AG332" s="43"/>
      <c r="AL332" s="43"/>
      <c r="AQ332" s="43"/>
      <c r="AV332" s="43"/>
      <c r="BA332" s="43"/>
      <c r="BF332" s="43"/>
      <c r="BK332" s="43"/>
      <c r="BQ332" s="43"/>
      <c r="BV332" s="43"/>
      <c r="CC332" s="43"/>
    </row>
    <row r="333" spans="2:81" ht="15.75" customHeight="1">
      <c r="B333" s="36"/>
      <c r="D333" s="36"/>
      <c r="F333" s="43"/>
      <c r="L333" s="43"/>
      <c r="Q333" s="43"/>
      <c r="V333" s="43"/>
      <c r="AD333" s="43"/>
      <c r="AG333" s="43"/>
      <c r="AL333" s="43"/>
      <c r="AQ333" s="43"/>
      <c r="AV333" s="43"/>
      <c r="BA333" s="43"/>
      <c r="BF333" s="43"/>
      <c r="BK333" s="43"/>
      <c r="BQ333" s="43"/>
      <c r="BV333" s="43"/>
      <c r="CC333" s="43"/>
    </row>
    <row r="334" spans="2:81" ht="15.75" customHeight="1">
      <c r="B334" s="36"/>
      <c r="D334" s="36"/>
      <c r="F334" s="43"/>
      <c r="L334" s="43"/>
      <c r="Q334" s="43"/>
      <c r="V334" s="43"/>
      <c r="AD334" s="43"/>
      <c r="AG334" s="43"/>
      <c r="AL334" s="43"/>
      <c r="AQ334" s="43"/>
      <c r="AV334" s="43"/>
      <c r="BA334" s="43"/>
      <c r="BF334" s="43"/>
      <c r="BK334" s="43"/>
      <c r="BQ334" s="43"/>
      <c r="BV334" s="43"/>
      <c r="CC334" s="43"/>
    </row>
    <row r="335" spans="2:81" ht="15.75" customHeight="1">
      <c r="B335" s="36"/>
      <c r="D335" s="36"/>
      <c r="F335" s="43"/>
      <c r="L335" s="43"/>
      <c r="Q335" s="43"/>
      <c r="V335" s="43"/>
      <c r="AD335" s="43"/>
      <c r="AG335" s="43"/>
      <c r="AL335" s="43"/>
      <c r="AQ335" s="43"/>
      <c r="AV335" s="43"/>
      <c r="BA335" s="43"/>
      <c r="BF335" s="43"/>
      <c r="BK335" s="43"/>
      <c r="BQ335" s="43"/>
      <c r="BV335" s="43"/>
      <c r="CC335" s="43"/>
    </row>
    <row r="336" spans="2:81" ht="15.75" customHeight="1">
      <c r="B336" s="36"/>
      <c r="D336" s="36"/>
      <c r="F336" s="43"/>
      <c r="L336" s="43"/>
      <c r="Q336" s="43"/>
      <c r="V336" s="43"/>
      <c r="AD336" s="43"/>
      <c r="AG336" s="43"/>
      <c r="AL336" s="43"/>
      <c r="AQ336" s="43"/>
      <c r="AV336" s="43"/>
      <c r="BA336" s="43"/>
      <c r="BF336" s="43"/>
      <c r="BK336" s="43"/>
      <c r="BQ336" s="43"/>
      <c r="BV336" s="43"/>
      <c r="CC336" s="43"/>
    </row>
    <row r="337" spans="2:81" ht="15.75" customHeight="1">
      <c r="B337" s="36"/>
      <c r="D337" s="36"/>
      <c r="F337" s="43"/>
      <c r="L337" s="43"/>
      <c r="Q337" s="43"/>
      <c r="V337" s="43"/>
      <c r="AD337" s="43"/>
      <c r="AG337" s="43"/>
      <c r="AL337" s="43"/>
      <c r="AQ337" s="43"/>
      <c r="AV337" s="43"/>
      <c r="BA337" s="43"/>
      <c r="BF337" s="43"/>
      <c r="BK337" s="43"/>
      <c r="BQ337" s="43"/>
      <c r="BV337" s="43"/>
      <c r="CC337" s="43"/>
    </row>
    <row r="338" spans="2:81" ht="15.75" customHeight="1">
      <c r="B338" s="36"/>
      <c r="D338" s="36"/>
      <c r="F338" s="43"/>
      <c r="L338" s="43"/>
      <c r="Q338" s="43"/>
      <c r="V338" s="43"/>
      <c r="AD338" s="43"/>
      <c r="AG338" s="43"/>
      <c r="AL338" s="43"/>
      <c r="AQ338" s="43"/>
      <c r="AV338" s="43"/>
      <c r="BA338" s="43"/>
      <c r="BF338" s="43"/>
      <c r="BK338" s="43"/>
      <c r="BQ338" s="43"/>
      <c r="BV338" s="43"/>
      <c r="CC338" s="43"/>
    </row>
    <row r="339" spans="2:81" ht="15.75" customHeight="1">
      <c r="B339" s="36"/>
      <c r="D339" s="36"/>
      <c r="F339" s="43"/>
      <c r="L339" s="43"/>
      <c r="Q339" s="43"/>
      <c r="V339" s="43"/>
      <c r="AD339" s="43"/>
      <c r="AG339" s="43"/>
      <c r="AL339" s="43"/>
      <c r="AQ339" s="43"/>
      <c r="AV339" s="43"/>
      <c r="BA339" s="43"/>
      <c r="BF339" s="43"/>
      <c r="BK339" s="43"/>
      <c r="BQ339" s="43"/>
      <c r="BV339" s="43"/>
      <c r="CC339" s="43"/>
    </row>
    <row r="340" spans="2:81" ht="15.75" customHeight="1">
      <c r="B340" s="36"/>
      <c r="D340" s="36"/>
      <c r="F340" s="43"/>
      <c r="L340" s="43"/>
      <c r="Q340" s="43"/>
      <c r="V340" s="43"/>
      <c r="AD340" s="43"/>
      <c r="AG340" s="43"/>
      <c r="AL340" s="43"/>
      <c r="AQ340" s="43"/>
      <c r="AV340" s="43"/>
      <c r="BA340" s="43"/>
      <c r="BF340" s="43"/>
      <c r="BK340" s="43"/>
      <c r="BQ340" s="43"/>
      <c r="BV340" s="43"/>
      <c r="CC340" s="43"/>
    </row>
    <row r="341" spans="2:81" ht="15.75" customHeight="1">
      <c r="B341" s="36"/>
      <c r="D341" s="36"/>
      <c r="F341" s="43"/>
      <c r="L341" s="43"/>
      <c r="Q341" s="43"/>
      <c r="V341" s="43"/>
      <c r="AD341" s="43"/>
      <c r="AG341" s="43"/>
      <c r="AL341" s="43"/>
      <c r="AQ341" s="43"/>
      <c r="AV341" s="43"/>
      <c r="BA341" s="43"/>
      <c r="BF341" s="43"/>
      <c r="BK341" s="43"/>
      <c r="BQ341" s="43"/>
      <c r="BV341" s="43"/>
      <c r="CC341" s="43"/>
    </row>
    <row r="342" spans="2:81" ht="15.75" customHeight="1">
      <c r="B342" s="36"/>
      <c r="D342" s="36"/>
      <c r="F342" s="43"/>
      <c r="L342" s="43"/>
      <c r="Q342" s="43"/>
      <c r="V342" s="43"/>
      <c r="AD342" s="43"/>
      <c r="AG342" s="43"/>
      <c r="AL342" s="43"/>
      <c r="AQ342" s="43"/>
      <c r="AV342" s="43"/>
      <c r="BA342" s="43"/>
      <c r="BF342" s="43"/>
      <c r="BK342" s="43"/>
      <c r="BQ342" s="43"/>
      <c r="BV342" s="43"/>
      <c r="CC342" s="43"/>
    </row>
    <row r="343" spans="2:81" ht="15.75" customHeight="1">
      <c r="B343" s="36"/>
      <c r="D343" s="36"/>
      <c r="F343" s="43"/>
      <c r="L343" s="43"/>
      <c r="Q343" s="43"/>
      <c r="V343" s="43"/>
      <c r="AD343" s="43"/>
      <c r="AG343" s="43"/>
      <c r="AL343" s="43"/>
      <c r="AQ343" s="43"/>
      <c r="AV343" s="43"/>
      <c r="BA343" s="43"/>
      <c r="BF343" s="43"/>
      <c r="BK343" s="43"/>
      <c r="BQ343" s="43"/>
      <c r="BV343" s="43"/>
      <c r="CC343" s="43"/>
    </row>
    <row r="344" spans="2:81" ht="15.75" customHeight="1">
      <c r="B344" s="36"/>
      <c r="D344" s="36"/>
      <c r="F344" s="43"/>
      <c r="L344" s="43"/>
      <c r="Q344" s="43"/>
      <c r="V344" s="43"/>
      <c r="AD344" s="43"/>
      <c r="AG344" s="43"/>
      <c r="AL344" s="43"/>
      <c r="AQ344" s="43"/>
      <c r="AV344" s="43"/>
      <c r="BA344" s="43"/>
      <c r="BF344" s="43"/>
      <c r="BK344" s="43"/>
      <c r="BQ344" s="43"/>
      <c r="BV344" s="43"/>
      <c r="CC344" s="43"/>
    </row>
    <row r="345" spans="2:81" ht="15.75" customHeight="1">
      <c r="B345" s="36"/>
      <c r="D345" s="36"/>
      <c r="F345" s="43"/>
      <c r="L345" s="43"/>
      <c r="Q345" s="43"/>
      <c r="V345" s="43"/>
      <c r="AD345" s="43"/>
      <c r="AG345" s="43"/>
      <c r="AL345" s="43"/>
      <c r="AQ345" s="43"/>
      <c r="AV345" s="43"/>
      <c r="BA345" s="43"/>
      <c r="BF345" s="43"/>
      <c r="BK345" s="43"/>
      <c r="BQ345" s="43"/>
      <c r="BV345" s="43"/>
      <c r="CC345" s="43"/>
    </row>
    <row r="346" spans="2:81" ht="15.75" customHeight="1">
      <c r="B346" s="36"/>
      <c r="D346" s="36"/>
      <c r="F346" s="43"/>
      <c r="L346" s="43"/>
      <c r="Q346" s="43"/>
      <c r="V346" s="43"/>
      <c r="AD346" s="43"/>
      <c r="AG346" s="43"/>
      <c r="AL346" s="43"/>
      <c r="AQ346" s="43"/>
      <c r="AV346" s="43"/>
      <c r="BA346" s="43"/>
      <c r="BF346" s="43"/>
      <c r="BK346" s="43"/>
      <c r="BQ346" s="43"/>
      <c r="BV346" s="43"/>
      <c r="CC346" s="43"/>
    </row>
    <row r="347" spans="2:81" ht="15.75" customHeight="1">
      <c r="B347" s="36"/>
      <c r="D347" s="36"/>
      <c r="F347" s="43"/>
      <c r="L347" s="43"/>
      <c r="Q347" s="43"/>
      <c r="V347" s="43"/>
      <c r="AD347" s="43"/>
      <c r="AG347" s="43"/>
      <c r="AL347" s="43"/>
      <c r="AQ347" s="43"/>
      <c r="AV347" s="43"/>
      <c r="BA347" s="43"/>
      <c r="BF347" s="43"/>
      <c r="BK347" s="43"/>
      <c r="BQ347" s="43"/>
      <c r="BV347" s="43"/>
      <c r="CC347" s="43"/>
    </row>
    <row r="348" spans="2:81" ht="15.75" customHeight="1">
      <c r="B348" s="36"/>
      <c r="D348" s="36"/>
      <c r="F348" s="43"/>
      <c r="L348" s="43"/>
      <c r="Q348" s="43"/>
      <c r="V348" s="43"/>
      <c r="AD348" s="43"/>
      <c r="AG348" s="43"/>
      <c r="AL348" s="43"/>
      <c r="AQ348" s="43"/>
      <c r="AV348" s="43"/>
      <c r="BA348" s="43"/>
      <c r="BF348" s="43"/>
      <c r="BK348" s="43"/>
      <c r="BQ348" s="43"/>
      <c r="BV348" s="43"/>
      <c r="CC348" s="43"/>
    </row>
    <row r="349" spans="2:81" ht="15.75" customHeight="1">
      <c r="B349" s="36"/>
      <c r="D349" s="36"/>
      <c r="F349" s="43"/>
      <c r="L349" s="43"/>
      <c r="Q349" s="43"/>
      <c r="V349" s="43"/>
      <c r="AD349" s="43"/>
      <c r="AG349" s="43"/>
      <c r="AL349" s="43"/>
      <c r="AQ349" s="43"/>
      <c r="AV349" s="43"/>
      <c r="BA349" s="43"/>
      <c r="BF349" s="43"/>
      <c r="BK349" s="43"/>
      <c r="BQ349" s="43"/>
      <c r="BV349" s="43"/>
      <c r="CC349" s="43"/>
    </row>
    <row r="350" spans="2:81" ht="15.75" customHeight="1">
      <c r="B350" s="36"/>
      <c r="D350" s="36"/>
      <c r="F350" s="43"/>
      <c r="L350" s="43"/>
      <c r="Q350" s="43"/>
      <c r="V350" s="43"/>
      <c r="AD350" s="43"/>
      <c r="AG350" s="43"/>
      <c r="AL350" s="43"/>
      <c r="AQ350" s="43"/>
      <c r="AV350" s="43"/>
      <c r="BA350" s="43"/>
      <c r="BF350" s="43"/>
      <c r="BK350" s="43"/>
      <c r="BQ350" s="43"/>
      <c r="BV350" s="43"/>
      <c r="CC350" s="43"/>
    </row>
    <row r="351" spans="2:81" ht="15.75" customHeight="1">
      <c r="B351" s="36"/>
      <c r="D351" s="36"/>
      <c r="F351" s="43"/>
      <c r="L351" s="43"/>
      <c r="Q351" s="43"/>
      <c r="V351" s="43"/>
      <c r="AD351" s="43"/>
      <c r="AG351" s="43"/>
      <c r="AL351" s="43"/>
      <c r="AQ351" s="43"/>
      <c r="AV351" s="43"/>
      <c r="BA351" s="43"/>
      <c r="BF351" s="43"/>
      <c r="BK351" s="43"/>
      <c r="BQ351" s="43"/>
      <c r="BV351" s="43"/>
      <c r="CC351" s="43"/>
    </row>
    <row r="352" spans="2:81" ht="15.75" customHeight="1">
      <c r="B352" s="36"/>
      <c r="D352" s="36"/>
      <c r="F352" s="43"/>
      <c r="L352" s="43"/>
      <c r="Q352" s="43"/>
      <c r="V352" s="43"/>
      <c r="AD352" s="43"/>
      <c r="AG352" s="43"/>
      <c r="AL352" s="43"/>
      <c r="AQ352" s="43"/>
      <c r="AV352" s="43"/>
      <c r="BA352" s="43"/>
      <c r="BF352" s="43"/>
      <c r="BK352" s="43"/>
      <c r="BQ352" s="43"/>
      <c r="BV352" s="43"/>
      <c r="CC352" s="43"/>
    </row>
    <row r="353" spans="2:81" ht="15.75" customHeight="1">
      <c r="B353" s="36"/>
      <c r="D353" s="36"/>
      <c r="F353" s="43"/>
      <c r="L353" s="43"/>
      <c r="Q353" s="43"/>
      <c r="V353" s="43"/>
      <c r="AD353" s="43"/>
      <c r="AG353" s="43"/>
      <c r="AL353" s="43"/>
      <c r="AQ353" s="43"/>
      <c r="AV353" s="43"/>
      <c r="BA353" s="43"/>
      <c r="BF353" s="43"/>
      <c r="BK353" s="43"/>
      <c r="BQ353" s="43"/>
      <c r="BV353" s="43"/>
      <c r="CC353" s="43"/>
    </row>
    <row r="354" spans="2:81" ht="15.75" customHeight="1">
      <c r="B354" s="36"/>
      <c r="D354" s="36"/>
      <c r="F354" s="43"/>
      <c r="L354" s="43"/>
      <c r="Q354" s="43"/>
      <c r="V354" s="43"/>
      <c r="AD354" s="43"/>
      <c r="AG354" s="43"/>
      <c r="AL354" s="43"/>
      <c r="AQ354" s="43"/>
      <c r="AV354" s="43"/>
      <c r="BA354" s="43"/>
      <c r="BF354" s="43"/>
      <c r="BK354" s="43"/>
      <c r="BQ354" s="43"/>
      <c r="BV354" s="43"/>
      <c r="CC354" s="43"/>
    </row>
    <row r="355" spans="2:81" ht="15.75" customHeight="1">
      <c r="B355" s="36"/>
      <c r="D355" s="36"/>
      <c r="F355" s="43"/>
      <c r="L355" s="43"/>
      <c r="Q355" s="43"/>
      <c r="V355" s="43"/>
      <c r="AD355" s="43"/>
      <c r="AG355" s="43"/>
      <c r="AL355" s="43"/>
      <c r="AQ355" s="43"/>
      <c r="AV355" s="43"/>
      <c r="BA355" s="43"/>
      <c r="BF355" s="43"/>
      <c r="BK355" s="43"/>
      <c r="BQ355" s="43"/>
      <c r="BV355" s="43"/>
      <c r="CC355" s="43"/>
    </row>
    <row r="356" spans="2:81" ht="15.75" customHeight="1">
      <c r="B356" s="36"/>
      <c r="D356" s="36"/>
      <c r="F356" s="43"/>
      <c r="L356" s="43"/>
      <c r="Q356" s="43"/>
      <c r="V356" s="43"/>
      <c r="AD356" s="43"/>
      <c r="AG356" s="43"/>
      <c r="AL356" s="43"/>
      <c r="AQ356" s="43"/>
      <c r="AV356" s="43"/>
      <c r="BA356" s="43"/>
      <c r="BF356" s="43"/>
      <c r="BK356" s="43"/>
      <c r="BQ356" s="43"/>
      <c r="BV356" s="43"/>
      <c r="CC356" s="43"/>
    </row>
    <row r="357" spans="2:81" ht="15.75" customHeight="1">
      <c r="B357" s="36"/>
      <c r="D357" s="36"/>
      <c r="F357" s="43"/>
      <c r="L357" s="43"/>
      <c r="Q357" s="43"/>
      <c r="V357" s="43"/>
      <c r="AD357" s="43"/>
      <c r="AG357" s="43"/>
      <c r="AL357" s="43"/>
      <c r="AQ357" s="43"/>
      <c r="AV357" s="43"/>
      <c r="BA357" s="43"/>
      <c r="BF357" s="43"/>
      <c r="BK357" s="43"/>
      <c r="BQ357" s="43"/>
      <c r="BV357" s="43"/>
      <c r="CC357" s="43"/>
    </row>
    <row r="358" spans="2:81" ht="15.75" customHeight="1">
      <c r="B358" s="36"/>
      <c r="D358" s="36"/>
      <c r="F358" s="43"/>
      <c r="L358" s="43"/>
      <c r="Q358" s="43"/>
      <c r="V358" s="43"/>
      <c r="AD358" s="43"/>
      <c r="AG358" s="43"/>
      <c r="AL358" s="43"/>
      <c r="AQ358" s="43"/>
      <c r="AV358" s="43"/>
      <c r="BA358" s="43"/>
      <c r="BF358" s="43"/>
      <c r="BK358" s="43"/>
      <c r="BQ358" s="43"/>
      <c r="BV358" s="43"/>
      <c r="CC358" s="43"/>
    </row>
    <row r="359" spans="2:81" ht="15.75" customHeight="1">
      <c r="B359" s="36"/>
      <c r="D359" s="36"/>
      <c r="F359" s="43"/>
      <c r="L359" s="43"/>
      <c r="Q359" s="43"/>
      <c r="V359" s="43"/>
      <c r="AD359" s="43"/>
      <c r="AG359" s="43"/>
      <c r="AL359" s="43"/>
      <c r="AQ359" s="43"/>
      <c r="AV359" s="43"/>
      <c r="BA359" s="43"/>
      <c r="BF359" s="43"/>
      <c r="BK359" s="43"/>
      <c r="BQ359" s="43"/>
      <c r="BV359" s="43"/>
      <c r="CC359" s="43"/>
    </row>
    <row r="360" spans="2:81" ht="15.75" customHeight="1">
      <c r="B360" s="36"/>
      <c r="D360" s="36"/>
      <c r="F360" s="43"/>
      <c r="L360" s="43"/>
      <c r="Q360" s="43"/>
      <c r="V360" s="43"/>
      <c r="AD360" s="43"/>
      <c r="AG360" s="43"/>
      <c r="AL360" s="43"/>
      <c r="AQ360" s="43"/>
      <c r="AV360" s="43"/>
      <c r="BA360" s="43"/>
      <c r="BF360" s="43"/>
      <c r="BK360" s="43"/>
      <c r="BQ360" s="43"/>
      <c r="BV360" s="43"/>
      <c r="CC360" s="43"/>
    </row>
    <row r="361" spans="2:81" ht="15.75" customHeight="1">
      <c r="B361" s="36"/>
      <c r="D361" s="36"/>
      <c r="F361" s="43"/>
      <c r="L361" s="43"/>
      <c r="Q361" s="43"/>
      <c r="V361" s="43"/>
      <c r="AD361" s="43"/>
      <c r="AG361" s="43"/>
      <c r="AL361" s="43"/>
      <c r="AQ361" s="43"/>
      <c r="AV361" s="43"/>
      <c r="BA361" s="43"/>
      <c r="BF361" s="43"/>
      <c r="BK361" s="43"/>
      <c r="BQ361" s="43"/>
      <c r="BV361" s="43"/>
      <c r="CC361" s="43"/>
    </row>
    <row r="362" spans="2:81" ht="15.75" customHeight="1">
      <c r="B362" s="36"/>
      <c r="D362" s="36"/>
      <c r="F362" s="43"/>
      <c r="L362" s="43"/>
      <c r="Q362" s="43"/>
      <c r="V362" s="43"/>
      <c r="AD362" s="43"/>
      <c r="AG362" s="43"/>
      <c r="AL362" s="43"/>
      <c r="AQ362" s="43"/>
      <c r="AV362" s="43"/>
      <c r="BA362" s="43"/>
      <c r="BF362" s="43"/>
      <c r="BK362" s="43"/>
      <c r="BQ362" s="43"/>
      <c r="BV362" s="43"/>
      <c r="CC362" s="43"/>
    </row>
    <row r="363" spans="2:81" ht="15.75" customHeight="1">
      <c r="B363" s="36"/>
      <c r="D363" s="36"/>
      <c r="F363" s="43"/>
      <c r="L363" s="43"/>
      <c r="Q363" s="43"/>
      <c r="V363" s="43"/>
      <c r="AD363" s="43"/>
      <c r="AG363" s="43"/>
      <c r="AL363" s="43"/>
      <c r="AQ363" s="43"/>
      <c r="AV363" s="43"/>
      <c r="BA363" s="43"/>
      <c r="BF363" s="43"/>
      <c r="BK363" s="43"/>
      <c r="BQ363" s="43"/>
      <c r="BV363" s="43"/>
      <c r="CC363" s="43"/>
    </row>
    <row r="364" spans="2:81" ht="15.75" customHeight="1">
      <c r="B364" s="36"/>
      <c r="D364" s="36"/>
      <c r="F364" s="43"/>
      <c r="L364" s="43"/>
      <c r="Q364" s="43"/>
      <c r="V364" s="43"/>
      <c r="AD364" s="43"/>
      <c r="AG364" s="43"/>
      <c r="AL364" s="43"/>
      <c r="AQ364" s="43"/>
      <c r="AV364" s="43"/>
      <c r="BA364" s="43"/>
      <c r="BF364" s="43"/>
      <c r="BK364" s="43"/>
      <c r="BQ364" s="43"/>
      <c r="BV364" s="43"/>
      <c r="CC364" s="43"/>
    </row>
    <row r="365" spans="2:81" ht="15.75" customHeight="1">
      <c r="B365" s="36"/>
      <c r="D365" s="36"/>
      <c r="F365" s="43"/>
      <c r="L365" s="43"/>
      <c r="Q365" s="43"/>
      <c r="V365" s="43"/>
      <c r="AD365" s="43"/>
      <c r="AG365" s="43"/>
      <c r="AL365" s="43"/>
      <c r="AQ365" s="43"/>
      <c r="AV365" s="43"/>
      <c r="BA365" s="43"/>
      <c r="BF365" s="43"/>
      <c r="BK365" s="43"/>
      <c r="BQ365" s="43"/>
      <c r="BV365" s="43"/>
      <c r="CC365" s="43"/>
    </row>
    <row r="366" spans="2:81" ht="15.75" customHeight="1">
      <c r="B366" s="36"/>
      <c r="D366" s="36"/>
      <c r="F366" s="43"/>
      <c r="L366" s="43"/>
      <c r="Q366" s="43"/>
      <c r="V366" s="43"/>
      <c r="AD366" s="43"/>
      <c r="AG366" s="43"/>
      <c r="AL366" s="43"/>
      <c r="AQ366" s="43"/>
      <c r="AV366" s="43"/>
      <c r="BA366" s="43"/>
      <c r="BF366" s="43"/>
      <c r="BK366" s="43"/>
      <c r="BQ366" s="43"/>
      <c r="BV366" s="43"/>
      <c r="CC366" s="43"/>
    </row>
    <row r="367" spans="2:81" ht="15.75" customHeight="1">
      <c r="B367" s="36"/>
      <c r="D367" s="36"/>
      <c r="F367" s="43"/>
      <c r="L367" s="43"/>
      <c r="Q367" s="43"/>
      <c r="V367" s="43"/>
      <c r="AD367" s="43"/>
      <c r="AG367" s="43"/>
      <c r="AL367" s="43"/>
      <c r="AQ367" s="43"/>
      <c r="AV367" s="43"/>
      <c r="BA367" s="43"/>
      <c r="BF367" s="43"/>
      <c r="BK367" s="43"/>
      <c r="BQ367" s="43"/>
      <c r="BV367" s="43"/>
      <c r="CC367" s="43"/>
    </row>
    <row r="368" spans="2:81" ht="15.75" customHeight="1">
      <c r="B368" s="36"/>
      <c r="D368" s="36"/>
      <c r="F368" s="43"/>
      <c r="L368" s="43"/>
      <c r="Q368" s="43"/>
      <c r="V368" s="43"/>
      <c r="AD368" s="43"/>
      <c r="AG368" s="43"/>
      <c r="AL368" s="43"/>
      <c r="AQ368" s="43"/>
      <c r="AV368" s="43"/>
      <c r="BA368" s="43"/>
      <c r="BF368" s="43"/>
      <c r="BK368" s="43"/>
      <c r="BQ368" s="43"/>
      <c r="BV368" s="43"/>
      <c r="CC368" s="43"/>
    </row>
    <row r="369" spans="2:81" ht="15.75" customHeight="1">
      <c r="B369" s="36"/>
      <c r="D369" s="36"/>
      <c r="F369" s="43"/>
      <c r="L369" s="43"/>
      <c r="Q369" s="43"/>
      <c r="V369" s="43"/>
      <c r="AD369" s="43"/>
      <c r="AG369" s="43"/>
      <c r="AL369" s="43"/>
      <c r="AQ369" s="43"/>
      <c r="AV369" s="43"/>
      <c r="BA369" s="43"/>
      <c r="BF369" s="43"/>
      <c r="BK369" s="43"/>
      <c r="BQ369" s="43"/>
      <c r="BV369" s="43"/>
      <c r="CC369" s="43"/>
    </row>
    <row r="370" spans="2:81" ht="15.75" customHeight="1">
      <c r="B370" s="36"/>
      <c r="D370" s="36"/>
      <c r="F370" s="43"/>
      <c r="L370" s="43"/>
      <c r="Q370" s="43"/>
      <c r="V370" s="43"/>
      <c r="AD370" s="43"/>
      <c r="AG370" s="43"/>
      <c r="AL370" s="43"/>
      <c r="AQ370" s="43"/>
      <c r="AV370" s="43"/>
      <c r="BA370" s="43"/>
      <c r="BF370" s="43"/>
      <c r="BK370" s="43"/>
      <c r="BQ370" s="43"/>
      <c r="BV370" s="43"/>
      <c r="CC370" s="43"/>
    </row>
    <row r="371" spans="2:81" ht="15.75" customHeight="1">
      <c r="B371" s="36"/>
      <c r="D371" s="36"/>
      <c r="F371" s="43"/>
      <c r="L371" s="43"/>
      <c r="Q371" s="43"/>
      <c r="V371" s="43"/>
      <c r="AD371" s="43"/>
      <c r="AG371" s="43"/>
      <c r="AL371" s="43"/>
      <c r="AQ371" s="43"/>
      <c r="AV371" s="43"/>
      <c r="BA371" s="43"/>
      <c r="BF371" s="43"/>
      <c r="BK371" s="43"/>
      <c r="BQ371" s="43"/>
      <c r="BV371" s="43"/>
      <c r="CC371" s="43"/>
    </row>
    <row r="372" spans="2:81" ht="15.75" customHeight="1">
      <c r="B372" s="36"/>
      <c r="D372" s="36"/>
      <c r="F372" s="43"/>
      <c r="L372" s="43"/>
      <c r="Q372" s="43"/>
      <c r="V372" s="43"/>
      <c r="AD372" s="43"/>
      <c r="AG372" s="43"/>
      <c r="AL372" s="43"/>
      <c r="AQ372" s="43"/>
      <c r="AV372" s="43"/>
      <c r="BA372" s="43"/>
      <c r="BF372" s="43"/>
      <c r="BK372" s="43"/>
      <c r="BQ372" s="43"/>
      <c r="BV372" s="43"/>
      <c r="CC372" s="43"/>
    </row>
    <row r="373" spans="2:81" ht="15.75" customHeight="1">
      <c r="B373" s="36"/>
      <c r="D373" s="36"/>
      <c r="F373" s="43"/>
      <c r="L373" s="43"/>
      <c r="Q373" s="43"/>
      <c r="V373" s="43"/>
      <c r="AD373" s="43"/>
      <c r="AG373" s="43"/>
      <c r="AL373" s="43"/>
      <c r="AQ373" s="43"/>
      <c r="AV373" s="43"/>
      <c r="BA373" s="43"/>
      <c r="BF373" s="43"/>
      <c r="BK373" s="43"/>
      <c r="BQ373" s="43"/>
      <c r="BV373" s="43"/>
      <c r="CC373" s="43"/>
    </row>
    <row r="374" spans="2:81" ht="15.75" customHeight="1">
      <c r="B374" s="36"/>
      <c r="D374" s="36"/>
      <c r="F374" s="43"/>
      <c r="L374" s="43"/>
      <c r="Q374" s="43"/>
      <c r="V374" s="43"/>
      <c r="AD374" s="43"/>
      <c r="AG374" s="43"/>
      <c r="AL374" s="43"/>
      <c r="AQ374" s="43"/>
      <c r="AV374" s="43"/>
      <c r="BA374" s="43"/>
      <c r="BF374" s="43"/>
      <c r="BK374" s="43"/>
      <c r="BQ374" s="43"/>
      <c r="BV374" s="43"/>
      <c r="CC374" s="43"/>
    </row>
    <row r="375" spans="2:81" ht="15.75" customHeight="1">
      <c r="B375" s="36"/>
      <c r="D375" s="36"/>
      <c r="F375" s="43"/>
      <c r="L375" s="43"/>
      <c r="Q375" s="43"/>
      <c r="V375" s="43"/>
      <c r="AD375" s="43"/>
      <c r="AG375" s="43"/>
      <c r="AL375" s="43"/>
      <c r="AQ375" s="43"/>
      <c r="AV375" s="43"/>
      <c r="BA375" s="43"/>
      <c r="BF375" s="43"/>
      <c r="BK375" s="43"/>
      <c r="BQ375" s="43"/>
      <c r="BV375" s="43"/>
      <c r="CC375" s="43"/>
    </row>
    <row r="376" spans="2:81" ht="15.75" customHeight="1">
      <c r="B376" s="36"/>
      <c r="D376" s="36"/>
      <c r="F376" s="43"/>
      <c r="L376" s="43"/>
      <c r="Q376" s="43"/>
      <c r="V376" s="43"/>
      <c r="AD376" s="43"/>
      <c r="AG376" s="43"/>
      <c r="AL376" s="43"/>
      <c r="AQ376" s="43"/>
      <c r="AV376" s="43"/>
      <c r="BA376" s="43"/>
      <c r="BF376" s="43"/>
      <c r="BK376" s="43"/>
      <c r="BQ376" s="43"/>
      <c r="BV376" s="43"/>
      <c r="CC376" s="43"/>
    </row>
    <row r="377" spans="2:81" ht="15.75" customHeight="1">
      <c r="B377" s="36"/>
      <c r="D377" s="36"/>
      <c r="F377" s="43"/>
      <c r="L377" s="43"/>
      <c r="Q377" s="43"/>
      <c r="V377" s="43"/>
      <c r="AD377" s="43"/>
      <c r="AG377" s="43"/>
      <c r="AL377" s="43"/>
      <c r="AQ377" s="43"/>
      <c r="AV377" s="43"/>
      <c r="BA377" s="43"/>
      <c r="BF377" s="43"/>
      <c r="BK377" s="43"/>
      <c r="BQ377" s="43"/>
      <c r="BV377" s="43"/>
      <c r="CC377" s="43"/>
    </row>
    <row r="378" spans="2:81" ht="15.75" customHeight="1">
      <c r="B378" s="36"/>
      <c r="D378" s="36"/>
      <c r="F378" s="43"/>
      <c r="L378" s="43"/>
      <c r="Q378" s="43"/>
      <c r="V378" s="43"/>
      <c r="AD378" s="43"/>
      <c r="AG378" s="43"/>
      <c r="AL378" s="43"/>
      <c r="AQ378" s="43"/>
      <c r="AV378" s="43"/>
      <c r="BA378" s="43"/>
      <c r="BF378" s="43"/>
      <c r="BK378" s="43"/>
      <c r="BQ378" s="43"/>
      <c r="BV378" s="43"/>
      <c r="CC378" s="43"/>
    </row>
    <row r="379" spans="2:81" ht="15.75" customHeight="1">
      <c r="B379" s="36"/>
      <c r="D379" s="36"/>
      <c r="F379" s="43"/>
      <c r="L379" s="43"/>
      <c r="Q379" s="43"/>
      <c r="V379" s="43"/>
      <c r="AD379" s="43"/>
      <c r="AG379" s="43"/>
      <c r="AL379" s="43"/>
      <c r="AQ379" s="43"/>
      <c r="AV379" s="43"/>
      <c r="BA379" s="43"/>
      <c r="BF379" s="43"/>
      <c r="BK379" s="43"/>
      <c r="BQ379" s="43"/>
      <c r="BV379" s="43"/>
      <c r="CC379" s="43"/>
    </row>
    <row r="380" spans="2:81" ht="15.75" customHeight="1">
      <c r="B380" s="36"/>
      <c r="D380" s="36"/>
      <c r="F380" s="43"/>
      <c r="L380" s="43"/>
      <c r="Q380" s="43"/>
      <c r="V380" s="43"/>
      <c r="AD380" s="43"/>
      <c r="AG380" s="43"/>
      <c r="AL380" s="43"/>
      <c r="AQ380" s="43"/>
      <c r="AV380" s="43"/>
      <c r="BA380" s="43"/>
      <c r="BF380" s="43"/>
      <c r="BK380" s="43"/>
      <c r="BQ380" s="43"/>
      <c r="BV380" s="43"/>
      <c r="CC380" s="43"/>
    </row>
    <row r="381" spans="2:81" ht="15.75" customHeight="1">
      <c r="B381" s="36"/>
      <c r="D381" s="36"/>
      <c r="F381" s="43"/>
      <c r="L381" s="43"/>
      <c r="Q381" s="43"/>
      <c r="V381" s="43"/>
      <c r="AD381" s="43"/>
      <c r="AG381" s="43"/>
      <c r="AL381" s="43"/>
      <c r="AQ381" s="43"/>
      <c r="AV381" s="43"/>
      <c r="BA381" s="43"/>
      <c r="BF381" s="43"/>
      <c r="BK381" s="43"/>
      <c r="BQ381" s="43"/>
      <c r="BV381" s="43"/>
      <c r="CC381" s="43"/>
    </row>
    <row r="382" spans="2:81" ht="15.75" customHeight="1">
      <c r="B382" s="36"/>
      <c r="D382" s="36"/>
      <c r="F382" s="43"/>
      <c r="L382" s="43"/>
      <c r="Q382" s="43"/>
      <c r="V382" s="43"/>
      <c r="AD382" s="43"/>
      <c r="AG382" s="43"/>
      <c r="AL382" s="43"/>
      <c r="AQ382" s="43"/>
      <c r="AV382" s="43"/>
      <c r="BA382" s="43"/>
      <c r="BF382" s="43"/>
      <c r="BK382" s="43"/>
      <c r="BQ382" s="43"/>
      <c r="BV382" s="43"/>
      <c r="CC382" s="43"/>
    </row>
    <row r="383" spans="2:81" ht="15.75" customHeight="1">
      <c r="B383" s="36"/>
      <c r="D383" s="36"/>
      <c r="F383" s="43"/>
      <c r="L383" s="43"/>
      <c r="Q383" s="43"/>
      <c r="V383" s="43"/>
      <c r="AD383" s="43"/>
      <c r="AG383" s="43"/>
      <c r="AL383" s="43"/>
      <c r="AQ383" s="43"/>
      <c r="AV383" s="43"/>
      <c r="BA383" s="43"/>
      <c r="BF383" s="43"/>
      <c r="BK383" s="43"/>
      <c r="BQ383" s="43"/>
      <c r="BV383" s="43"/>
      <c r="CC383" s="43"/>
    </row>
    <row r="384" spans="2:81" ht="15.75" customHeight="1">
      <c r="B384" s="36"/>
      <c r="D384" s="36"/>
      <c r="F384" s="43"/>
      <c r="L384" s="43"/>
      <c r="Q384" s="43"/>
      <c r="V384" s="43"/>
      <c r="AD384" s="43"/>
      <c r="AG384" s="43"/>
      <c r="AL384" s="43"/>
      <c r="AQ384" s="43"/>
      <c r="AV384" s="43"/>
      <c r="BA384" s="43"/>
      <c r="BF384" s="43"/>
      <c r="BK384" s="43"/>
      <c r="BQ384" s="43"/>
      <c r="BV384" s="43"/>
      <c r="CC384" s="43"/>
    </row>
    <row r="385" spans="2:81" ht="15.75" customHeight="1">
      <c r="B385" s="36"/>
      <c r="D385" s="36"/>
      <c r="F385" s="43"/>
      <c r="L385" s="43"/>
      <c r="Q385" s="43"/>
      <c r="V385" s="43"/>
      <c r="AD385" s="43"/>
      <c r="AG385" s="43"/>
      <c r="AL385" s="43"/>
      <c r="AQ385" s="43"/>
      <c r="AV385" s="43"/>
      <c r="BA385" s="43"/>
      <c r="BF385" s="43"/>
      <c r="BK385" s="43"/>
      <c r="BQ385" s="43"/>
      <c r="BV385" s="43"/>
      <c r="CC385" s="43"/>
    </row>
    <row r="386" spans="2:81" ht="15.75" customHeight="1">
      <c r="B386" s="36"/>
      <c r="D386" s="36"/>
      <c r="F386" s="43"/>
      <c r="L386" s="43"/>
      <c r="Q386" s="43"/>
      <c r="V386" s="43"/>
      <c r="AD386" s="43"/>
      <c r="AG386" s="43"/>
      <c r="AL386" s="43"/>
      <c r="AQ386" s="43"/>
      <c r="AV386" s="43"/>
      <c r="BA386" s="43"/>
      <c r="BF386" s="43"/>
      <c r="BK386" s="43"/>
      <c r="BQ386" s="43"/>
      <c r="BV386" s="43"/>
      <c r="CC386" s="43"/>
    </row>
    <row r="387" spans="2:81" ht="15.75" customHeight="1">
      <c r="B387" s="36"/>
      <c r="D387" s="36"/>
      <c r="F387" s="43"/>
      <c r="L387" s="43"/>
      <c r="Q387" s="43"/>
      <c r="V387" s="43"/>
      <c r="AD387" s="43"/>
      <c r="AG387" s="43"/>
      <c r="AL387" s="43"/>
      <c r="AQ387" s="43"/>
      <c r="AV387" s="43"/>
      <c r="BA387" s="43"/>
      <c r="BF387" s="43"/>
      <c r="BK387" s="43"/>
      <c r="BQ387" s="43"/>
      <c r="BV387" s="43"/>
      <c r="CC387" s="43"/>
    </row>
    <row r="388" spans="2:81" ht="15.75" customHeight="1">
      <c r="B388" s="36"/>
      <c r="D388" s="36"/>
      <c r="F388" s="43"/>
      <c r="L388" s="43"/>
      <c r="Q388" s="43"/>
      <c r="V388" s="43"/>
      <c r="AD388" s="43"/>
      <c r="AG388" s="43"/>
      <c r="AL388" s="43"/>
      <c r="AQ388" s="43"/>
      <c r="AV388" s="43"/>
      <c r="BA388" s="43"/>
      <c r="BF388" s="43"/>
      <c r="BK388" s="43"/>
      <c r="BQ388" s="43"/>
      <c r="BV388" s="43"/>
      <c r="CC388" s="43"/>
    </row>
    <row r="389" spans="2:81" ht="15.75" customHeight="1">
      <c r="B389" s="36"/>
      <c r="D389" s="36"/>
      <c r="F389" s="43"/>
      <c r="L389" s="43"/>
      <c r="Q389" s="43"/>
      <c r="V389" s="43"/>
      <c r="AD389" s="43"/>
      <c r="AG389" s="43"/>
      <c r="AL389" s="43"/>
      <c r="AQ389" s="43"/>
      <c r="AV389" s="43"/>
      <c r="BA389" s="43"/>
      <c r="BF389" s="43"/>
      <c r="BK389" s="43"/>
      <c r="BQ389" s="43"/>
      <c r="BV389" s="43"/>
      <c r="CC389" s="43"/>
    </row>
    <row r="390" spans="2:81" ht="15.75" customHeight="1">
      <c r="B390" s="36"/>
      <c r="D390" s="36"/>
      <c r="F390" s="43"/>
      <c r="L390" s="43"/>
      <c r="Q390" s="43"/>
      <c r="V390" s="43"/>
      <c r="AD390" s="43"/>
      <c r="AG390" s="43"/>
      <c r="AL390" s="43"/>
      <c r="AQ390" s="43"/>
      <c r="AV390" s="43"/>
      <c r="BA390" s="43"/>
      <c r="BF390" s="43"/>
      <c r="BK390" s="43"/>
      <c r="BQ390" s="43"/>
      <c r="BV390" s="43"/>
      <c r="CC390" s="43"/>
    </row>
    <row r="391" spans="2:81" ht="15.75" customHeight="1">
      <c r="B391" s="36"/>
      <c r="D391" s="36"/>
      <c r="F391" s="43"/>
      <c r="L391" s="43"/>
      <c r="Q391" s="43"/>
      <c r="V391" s="43"/>
      <c r="AD391" s="43"/>
      <c r="AG391" s="43"/>
      <c r="AL391" s="43"/>
      <c r="AQ391" s="43"/>
      <c r="AV391" s="43"/>
      <c r="BA391" s="43"/>
      <c r="BF391" s="43"/>
      <c r="BK391" s="43"/>
      <c r="BQ391" s="43"/>
      <c r="BV391" s="43"/>
      <c r="CC391" s="43"/>
    </row>
    <row r="392" spans="2:81" ht="15.75" customHeight="1">
      <c r="B392" s="36"/>
      <c r="D392" s="36"/>
      <c r="F392" s="43"/>
      <c r="L392" s="43"/>
      <c r="Q392" s="43"/>
      <c r="V392" s="43"/>
      <c r="AD392" s="43"/>
      <c r="AG392" s="43"/>
      <c r="AL392" s="43"/>
      <c r="AQ392" s="43"/>
      <c r="AV392" s="43"/>
      <c r="BA392" s="43"/>
      <c r="BF392" s="43"/>
      <c r="BK392" s="43"/>
      <c r="BQ392" s="43"/>
      <c r="BV392" s="43"/>
      <c r="CC392" s="43"/>
    </row>
    <row r="393" spans="2:81" ht="15.75" customHeight="1">
      <c r="B393" s="36"/>
      <c r="D393" s="36"/>
      <c r="F393" s="43"/>
      <c r="L393" s="43"/>
      <c r="Q393" s="43"/>
      <c r="V393" s="43"/>
      <c r="AD393" s="43"/>
      <c r="AG393" s="43"/>
      <c r="AL393" s="43"/>
      <c r="AQ393" s="43"/>
      <c r="AV393" s="43"/>
      <c r="BA393" s="43"/>
      <c r="BF393" s="43"/>
      <c r="BK393" s="43"/>
      <c r="BQ393" s="43"/>
      <c r="BV393" s="43"/>
      <c r="CC393" s="43"/>
    </row>
    <row r="394" spans="2:81" ht="15.75" customHeight="1">
      <c r="B394" s="36"/>
      <c r="D394" s="36"/>
      <c r="F394" s="43"/>
      <c r="L394" s="43"/>
      <c r="Q394" s="43"/>
      <c r="V394" s="43"/>
      <c r="AD394" s="43"/>
      <c r="AG394" s="43"/>
      <c r="AL394" s="43"/>
      <c r="AQ394" s="43"/>
      <c r="AV394" s="43"/>
      <c r="BA394" s="43"/>
      <c r="BF394" s="43"/>
      <c r="BK394" s="43"/>
      <c r="BQ394" s="43"/>
      <c r="BV394" s="43"/>
      <c r="CC394" s="43"/>
    </row>
    <row r="395" spans="2:81" ht="15.75" customHeight="1">
      <c r="B395" s="36"/>
      <c r="D395" s="36"/>
      <c r="F395" s="43"/>
      <c r="L395" s="43"/>
      <c r="Q395" s="43"/>
      <c r="V395" s="43"/>
      <c r="AD395" s="43"/>
      <c r="AG395" s="43"/>
      <c r="AL395" s="43"/>
      <c r="AQ395" s="43"/>
      <c r="AV395" s="43"/>
      <c r="BA395" s="43"/>
      <c r="BF395" s="43"/>
      <c r="BK395" s="43"/>
      <c r="BQ395" s="43"/>
      <c r="BV395" s="43"/>
      <c r="CC395" s="43"/>
    </row>
    <row r="396" spans="2:81" ht="15.75" customHeight="1">
      <c r="B396" s="36"/>
      <c r="D396" s="36"/>
      <c r="F396" s="43"/>
      <c r="L396" s="43"/>
      <c r="Q396" s="43"/>
      <c r="V396" s="43"/>
      <c r="AD396" s="43"/>
      <c r="AG396" s="43"/>
      <c r="AL396" s="43"/>
      <c r="AQ396" s="43"/>
      <c r="AV396" s="43"/>
      <c r="BA396" s="43"/>
      <c r="BF396" s="43"/>
      <c r="BK396" s="43"/>
      <c r="BQ396" s="43"/>
      <c r="BV396" s="43"/>
      <c r="CC396" s="43"/>
    </row>
    <row r="397" spans="2:81" ht="15.75" customHeight="1">
      <c r="B397" s="36"/>
      <c r="D397" s="36"/>
      <c r="F397" s="43"/>
      <c r="L397" s="43"/>
      <c r="Q397" s="43"/>
      <c r="V397" s="43"/>
      <c r="AD397" s="43"/>
      <c r="AG397" s="43"/>
      <c r="AL397" s="43"/>
      <c r="AQ397" s="43"/>
      <c r="AV397" s="43"/>
      <c r="BA397" s="43"/>
      <c r="BF397" s="43"/>
      <c r="BK397" s="43"/>
      <c r="BQ397" s="43"/>
      <c r="BV397" s="43"/>
      <c r="CC397" s="43"/>
    </row>
    <row r="398" spans="2:81" ht="15.75" customHeight="1">
      <c r="B398" s="36"/>
      <c r="D398" s="36"/>
      <c r="F398" s="43"/>
      <c r="L398" s="43"/>
      <c r="Q398" s="43"/>
      <c r="V398" s="43"/>
      <c r="AD398" s="43"/>
      <c r="AG398" s="43"/>
      <c r="AL398" s="43"/>
      <c r="AQ398" s="43"/>
      <c r="AV398" s="43"/>
      <c r="BA398" s="43"/>
      <c r="BF398" s="43"/>
      <c r="BK398" s="43"/>
      <c r="BQ398" s="43"/>
      <c r="BV398" s="43"/>
      <c r="CC398" s="43"/>
    </row>
    <row r="399" spans="2:81" ht="15.75" customHeight="1">
      <c r="B399" s="36"/>
      <c r="D399" s="36"/>
      <c r="F399" s="43"/>
      <c r="L399" s="43"/>
      <c r="Q399" s="43"/>
      <c r="V399" s="43"/>
      <c r="AD399" s="43"/>
      <c r="AG399" s="43"/>
      <c r="AL399" s="43"/>
      <c r="AQ399" s="43"/>
      <c r="AV399" s="43"/>
      <c r="BA399" s="43"/>
      <c r="BF399" s="43"/>
      <c r="BK399" s="43"/>
      <c r="BQ399" s="43"/>
      <c r="BV399" s="43"/>
      <c r="CC399" s="43"/>
    </row>
    <row r="400" spans="2:81" ht="15.75" customHeight="1">
      <c r="B400" s="36"/>
      <c r="D400" s="36"/>
      <c r="F400" s="43"/>
      <c r="L400" s="43"/>
      <c r="Q400" s="43"/>
      <c r="V400" s="43"/>
      <c r="AD400" s="43"/>
      <c r="AG400" s="43"/>
      <c r="AL400" s="43"/>
      <c r="AQ400" s="43"/>
      <c r="AV400" s="43"/>
      <c r="BA400" s="43"/>
      <c r="BF400" s="43"/>
      <c r="BK400" s="43"/>
      <c r="BQ400" s="43"/>
      <c r="BV400" s="43"/>
      <c r="CC400" s="43"/>
    </row>
    <row r="401" spans="2:81" ht="15.75" customHeight="1">
      <c r="B401" s="36"/>
      <c r="D401" s="36"/>
      <c r="F401" s="43"/>
      <c r="L401" s="43"/>
      <c r="Q401" s="43"/>
      <c r="V401" s="43"/>
      <c r="AD401" s="43"/>
      <c r="AG401" s="43"/>
      <c r="AL401" s="43"/>
      <c r="AQ401" s="43"/>
      <c r="AV401" s="43"/>
      <c r="BA401" s="43"/>
      <c r="BF401" s="43"/>
      <c r="BK401" s="43"/>
      <c r="BQ401" s="43"/>
      <c r="BV401" s="43"/>
      <c r="CC401" s="43"/>
    </row>
    <row r="402" spans="2:81" ht="15.75" customHeight="1">
      <c r="B402" s="36"/>
      <c r="D402" s="36"/>
      <c r="F402" s="43"/>
      <c r="L402" s="43"/>
      <c r="Q402" s="43"/>
      <c r="V402" s="43"/>
      <c r="AD402" s="43"/>
      <c r="AG402" s="43"/>
      <c r="AL402" s="43"/>
      <c r="AQ402" s="43"/>
      <c r="AV402" s="43"/>
      <c r="BA402" s="43"/>
      <c r="BF402" s="43"/>
      <c r="BK402" s="43"/>
      <c r="BQ402" s="43"/>
      <c r="BV402" s="43"/>
      <c r="CC402" s="43"/>
    </row>
    <row r="403" spans="2:81" ht="15.75" customHeight="1">
      <c r="B403" s="36"/>
      <c r="D403" s="36"/>
      <c r="F403" s="43"/>
      <c r="L403" s="43"/>
      <c r="Q403" s="43"/>
      <c r="V403" s="43"/>
      <c r="AD403" s="43"/>
      <c r="AG403" s="43"/>
      <c r="AL403" s="43"/>
      <c r="AQ403" s="43"/>
      <c r="AV403" s="43"/>
      <c r="BA403" s="43"/>
      <c r="BF403" s="43"/>
      <c r="BK403" s="43"/>
      <c r="BQ403" s="43"/>
      <c r="BV403" s="43"/>
      <c r="CC403" s="43"/>
    </row>
    <row r="404" spans="2:81" ht="15.75" customHeight="1">
      <c r="B404" s="36"/>
      <c r="D404" s="36"/>
      <c r="F404" s="43"/>
      <c r="L404" s="43"/>
      <c r="Q404" s="43"/>
      <c r="V404" s="43"/>
      <c r="AD404" s="43"/>
      <c r="AG404" s="43"/>
      <c r="AL404" s="43"/>
      <c r="AQ404" s="43"/>
      <c r="AV404" s="43"/>
      <c r="BA404" s="43"/>
      <c r="BF404" s="43"/>
      <c r="BK404" s="43"/>
      <c r="BQ404" s="43"/>
      <c r="BV404" s="43"/>
      <c r="CC404" s="43"/>
    </row>
    <row r="405" spans="2:81" ht="15.75" customHeight="1">
      <c r="B405" s="36"/>
      <c r="D405" s="36"/>
      <c r="F405" s="43"/>
      <c r="L405" s="43"/>
      <c r="Q405" s="43"/>
      <c r="V405" s="43"/>
      <c r="AD405" s="43"/>
      <c r="AG405" s="43"/>
      <c r="AL405" s="43"/>
      <c r="AQ405" s="43"/>
      <c r="AV405" s="43"/>
      <c r="BA405" s="43"/>
      <c r="BF405" s="43"/>
      <c r="BK405" s="43"/>
      <c r="BQ405" s="43"/>
      <c r="BV405" s="43"/>
      <c r="CC405" s="43"/>
    </row>
    <row r="406" spans="2:81" ht="15.75" customHeight="1">
      <c r="B406" s="36"/>
      <c r="D406" s="36"/>
      <c r="F406" s="43"/>
      <c r="L406" s="43"/>
      <c r="Q406" s="43"/>
      <c r="V406" s="43"/>
      <c r="AD406" s="43"/>
      <c r="AG406" s="43"/>
      <c r="AL406" s="43"/>
      <c r="AQ406" s="43"/>
      <c r="AV406" s="43"/>
      <c r="BA406" s="43"/>
      <c r="BF406" s="43"/>
      <c r="BK406" s="43"/>
      <c r="BQ406" s="43"/>
      <c r="BV406" s="43"/>
      <c r="CC406" s="43"/>
    </row>
    <row r="407" spans="2:81" ht="15.75" customHeight="1">
      <c r="B407" s="36"/>
      <c r="D407" s="36"/>
      <c r="F407" s="43"/>
      <c r="L407" s="43"/>
      <c r="Q407" s="43"/>
      <c r="V407" s="43"/>
      <c r="AD407" s="43"/>
      <c r="AG407" s="43"/>
      <c r="AL407" s="43"/>
      <c r="AQ407" s="43"/>
      <c r="AV407" s="43"/>
      <c r="BA407" s="43"/>
      <c r="BF407" s="43"/>
      <c r="BK407" s="43"/>
      <c r="BQ407" s="43"/>
      <c r="BV407" s="43"/>
      <c r="CC407" s="43"/>
    </row>
    <row r="408" spans="2:81" ht="15.75" customHeight="1">
      <c r="B408" s="36"/>
      <c r="D408" s="36"/>
      <c r="F408" s="43"/>
      <c r="L408" s="43"/>
      <c r="Q408" s="43"/>
      <c r="V408" s="43"/>
      <c r="AD408" s="43"/>
      <c r="AG408" s="43"/>
      <c r="AL408" s="43"/>
      <c r="AQ408" s="43"/>
      <c r="AV408" s="43"/>
      <c r="BA408" s="43"/>
      <c r="BF408" s="43"/>
      <c r="BK408" s="43"/>
      <c r="BQ408" s="43"/>
      <c r="BV408" s="43"/>
      <c r="CC408" s="43"/>
    </row>
    <row r="409" spans="2:81" ht="15.75" customHeight="1">
      <c r="B409" s="36"/>
      <c r="D409" s="36"/>
      <c r="F409" s="43"/>
      <c r="L409" s="43"/>
      <c r="Q409" s="43"/>
      <c r="V409" s="43"/>
      <c r="AD409" s="43"/>
      <c r="AG409" s="43"/>
      <c r="AL409" s="43"/>
      <c r="AQ409" s="43"/>
      <c r="AV409" s="43"/>
      <c r="BA409" s="43"/>
      <c r="BF409" s="43"/>
      <c r="BK409" s="43"/>
      <c r="BQ409" s="43"/>
      <c r="BV409" s="43"/>
      <c r="CC409" s="43"/>
    </row>
    <row r="410" spans="2:81" ht="15.75" customHeight="1">
      <c r="B410" s="36"/>
      <c r="D410" s="36"/>
      <c r="F410" s="43"/>
      <c r="L410" s="43"/>
      <c r="Q410" s="43"/>
      <c r="V410" s="43"/>
      <c r="AD410" s="43"/>
      <c r="AG410" s="43"/>
      <c r="AL410" s="43"/>
      <c r="AQ410" s="43"/>
      <c r="AV410" s="43"/>
      <c r="BA410" s="43"/>
      <c r="BF410" s="43"/>
      <c r="BK410" s="43"/>
      <c r="BQ410" s="43"/>
      <c r="BV410" s="43"/>
      <c r="CC410" s="43"/>
    </row>
    <row r="411" spans="2:81" ht="15.75" customHeight="1">
      <c r="B411" s="36"/>
      <c r="D411" s="36"/>
      <c r="F411" s="43"/>
      <c r="L411" s="43"/>
      <c r="Q411" s="43"/>
      <c r="V411" s="43"/>
      <c r="AD411" s="43"/>
      <c r="AG411" s="43"/>
      <c r="AL411" s="43"/>
      <c r="AQ411" s="43"/>
      <c r="AV411" s="43"/>
      <c r="BA411" s="43"/>
      <c r="BF411" s="43"/>
      <c r="BK411" s="43"/>
      <c r="BQ411" s="43"/>
      <c r="BV411" s="43"/>
      <c r="CC411" s="43"/>
    </row>
    <row r="412" spans="2:81" ht="15.75" customHeight="1">
      <c r="B412" s="36"/>
      <c r="D412" s="36"/>
      <c r="F412" s="43"/>
      <c r="L412" s="43"/>
      <c r="Q412" s="43"/>
      <c r="V412" s="43"/>
      <c r="AD412" s="43"/>
      <c r="AG412" s="43"/>
      <c r="AL412" s="43"/>
      <c r="AQ412" s="43"/>
      <c r="AV412" s="43"/>
      <c r="BA412" s="43"/>
      <c r="BF412" s="43"/>
      <c r="BK412" s="43"/>
      <c r="BQ412" s="43"/>
      <c r="BV412" s="43"/>
      <c r="CC412" s="43"/>
    </row>
    <row r="413" spans="2:81" ht="15.75" customHeight="1">
      <c r="B413" s="36"/>
      <c r="D413" s="36"/>
      <c r="F413" s="43"/>
      <c r="L413" s="43"/>
      <c r="Q413" s="43"/>
      <c r="V413" s="43"/>
      <c r="AD413" s="43"/>
      <c r="AG413" s="43"/>
      <c r="AL413" s="43"/>
      <c r="AQ413" s="43"/>
      <c r="AV413" s="43"/>
      <c r="BA413" s="43"/>
      <c r="BF413" s="43"/>
      <c r="BK413" s="43"/>
      <c r="BQ413" s="43"/>
      <c r="BV413" s="43"/>
      <c r="CC413" s="43"/>
    </row>
    <row r="414" spans="2:81" ht="15.75" customHeight="1">
      <c r="B414" s="36"/>
      <c r="D414" s="36"/>
      <c r="F414" s="43"/>
      <c r="L414" s="43"/>
      <c r="Q414" s="43"/>
      <c r="V414" s="43"/>
      <c r="AD414" s="43"/>
      <c r="AG414" s="43"/>
      <c r="AL414" s="43"/>
      <c r="AQ414" s="43"/>
      <c r="AV414" s="43"/>
      <c r="BA414" s="43"/>
      <c r="BF414" s="43"/>
      <c r="BK414" s="43"/>
      <c r="BQ414" s="43"/>
      <c r="BV414" s="43"/>
      <c r="CC414" s="43"/>
    </row>
    <row r="415" spans="2:81" ht="15.75" customHeight="1">
      <c r="B415" s="36"/>
      <c r="D415" s="36"/>
      <c r="F415" s="43"/>
      <c r="L415" s="43"/>
      <c r="Q415" s="43"/>
      <c r="V415" s="43"/>
      <c r="AD415" s="43"/>
      <c r="AG415" s="43"/>
      <c r="AL415" s="43"/>
      <c r="AQ415" s="43"/>
      <c r="AV415" s="43"/>
      <c r="BA415" s="43"/>
      <c r="BF415" s="43"/>
      <c r="BK415" s="43"/>
      <c r="BQ415" s="43"/>
      <c r="BV415" s="43"/>
      <c r="CC415" s="43"/>
    </row>
    <row r="416" spans="2:81" ht="15.75" customHeight="1">
      <c r="B416" s="36"/>
      <c r="D416" s="36"/>
      <c r="F416" s="43"/>
      <c r="L416" s="43"/>
      <c r="Q416" s="43"/>
      <c r="V416" s="43"/>
      <c r="AD416" s="43"/>
      <c r="AG416" s="43"/>
      <c r="AL416" s="43"/>
      <c r="AQ416" s="43"/>
      <c r="AV416" s="43"/>
      <c r="BA416" s="43"/>
      <c r="BF416" s="43"/>
      <c r="BK416" s="43"/>
      <c r="BQ416" s="43"/>
      <c r="BV416" s="43"/>
      <c r="CC416" s="43"/>
    </row>
    <row r="417" spans="2:81" ht="15.75" customHeight="1">
      <c r="B417" s="36"/>
      <c r="D417" s="36"/>
      <c r="F417" s="43"/>
      <c r="L417" s="43"/>
      <c r="Q417" s="43"/>
      <c r="V417" s="43"/>
      <c r="AD417" s="43"/>
      <c r="AG417" s="43"/>
      <c r="AL417" s="43"/>
      <c r="AQ417" s="43"/>
      <c r="AV417" s="43"/>
      <c r="BA417" s="43"/>
      <c r="BF417" s="43"/>
      <c r="BK417" s="43"/>
      <c r="BQ417" s="43"/>
      <c r="BV417" s="43"/>
      <c r="CC417" s="43"/>
    </row>
    <row r="418" spans="2:81" ht="15.75" customHeight="1">
      <c r="B418" s="36"/>
      <c r="D418" s="36"/>
      <c r="F418" s="43"/>
      <c r="L418" s="43"/>
      <c r="Q418" s="43"/>
      <c r="V418" s="43"/>
      <c r="AD418" s="43"/>
      <c r="AG418" s="43"/>
      <c r="AL418" s="43"/>
      <c r="AQ418" s="43"/>
      <c r="AV418" s="43"/>
      <c r="BA418" s="43"/>
      <c r="BF418" s="43"/>
      <c r="BK418" s="43"/>
      <c r="BQ418" s="43"/>
      <c r="BV418" s="43"/>
      <c r="CC418" s="43"/>
    </row>
    <row r="419" spans="2:81" ht="15.75" customHeight="1">
      <c r="B419" s="36"/>
      <c r="D419" s="36"/>
      <c r="F419" s="43"/>
      <c r="L419" s="43"/>
      <c r="Q419" s="43"/>
      <c r="V419" s="43"/>
      <c r="AD419" s="43"/>
      <c r="AG419" s="43"/>
      <c r="AL419" s="43"/>
      <c r="AQ419" s="43"/>
      <c r="AV419" s="43"/>
      <c r="BA419" s="43"/>
      <c r="BF419" s="43"/>
      <c r="BK419" s="43"/>
      <c r="BQ419" s="43"/>
      <c r="BV419" s="43"/>
      <c r="CC419" s="43"/>
    </row>
    <row r="420" spans="2:81" ht="15.75" customHeight="1">
      <c r="B420" s="36"/>
      <c r="D420" s="36"/>
      <c r="F420" s="43"/>
      <c r="L420" s="43"/>
      <c r="Q420" s="43"/>
      <c r="V420" s="43"/>
      <c r="AD420" s="43"/>
      <c r="AG420" s="43"/>
      <c r="AL420" s="43"/>
      <c r="AQ420" s="43"/>
      <c r="AV420" s="43"/>
      <c r="BA420" s="43"/>
      <c r="BF420" s="43"/>
      <c r="BK420" s="43"/>
      <c r="BQ420" s="43"/>
      <c r="BV420" s="43"/>
      <c r="CC420" s="43"/>
    </row>
    <row r="421" spans="2:81" ht="15.75" customHeight="1">
      <c r="B421" s="36"/>
      <c r="D421" s="36"/>
      <c r="F421" s="43"/>
      <c r="L421" s="43"/>
      <c r="Q421" s="43"/>
      <c r="V421" s="43"/>
      <c r="AD421" s="43"/>
      <c r="AG421" s="43"/>
      <c r="AL421" s="43"/>
      <c r="AQ421" s="43"/>
      <c r="AV421" s="43"/>
      <c r="BA421" s="43"/>
      <c r="BF421" s="43"/>
      <c r="BK421" s="43"/>
      <c r="BQ421" s="43"/>
      <c r="BV421" s="43"/>
      <c r="CC421" s="43"/>
    </row>
    <row r="422" spans="2:81" ht="15.75" customHeight="1">
      <c r="B422" s="36"/>
      <c r="D422" s="36"/>
      <c r="F422" s="43"/>
      <c r="L422" s="43"/>
      <c r="Q422" s="43"/>
      <c r="V422" s="43"/>
      <c r="AD422" s="43"/>
      <c r="AG422" s="43"/>
      <c r="AL422" s="43"/>
      <c r="AQ422" s="43"/>
      <c r="AV422" s="43"/>
      <c r="BA422" s="43"/>
      <c r="BF422" s="43"/>
      <c r="BK422" s="43"/>
      <c r="BQ422" s="43"/>
      <c r="BV422" s="43"/>
      <c r="CC422" s="43"/>
    </row>
    <row r="423" spans="2:81" ht="15.75" customHeight="1">
      <c r="B423" s="36"/>
      <c r="D423" s="36"/>
      <c r="F423" s="43"/>
      <c r="L423" s="43"/>
      <c r="Q423" s="43"/>
      <c r="V423" s="43"/>
      <c r="AD423" s="43"/>
      <c r="AG423" s="43"/>
      <c r="AL423" s="43"/>
      <c r="AQ423" s="43"/>
      <c r="AV423" s="43"/>
      <c r="BA423" s="43"/>
      <c r="BF423" s="43"/>
      <c r="BK423" s="43"/>
      <c r="BQ423" s="43"/>
      <c r="BV423" s="43"/>
      <c r="CC423" s="43"/>
    </row>
    <row r="424" spans="2:81" ht="15.75" customHeight="1">
      <c r="B424" s="36"/>
      <c r="D424" s="36"/>
      <c r="F424" s="43"/>
      <c r="L424" s="43"/>
      <c r="Q424" s="43"/>
      <c r="V424" s="43"/>
      <c r="AD424" s="43"/>
      <c r="AG424" s="43"/>
      <c r="AL424" s="43"/>
      <c r="AQ424" s="43"/>
      <c r="AV424" s="43"/>
      <c r="BA424" s="43"/>
      <c r="BF424" s="43"/>
      <c r="BK424" s="43"/>
      <c r="BQ424" s="43"/>
      <c r="BV424" s="43"/>
      <c r="CC424" s="43"/>
    </row>
    <row r="425" spans="2:81" ht="15.75" customHeight="1">
      <c r="B425" s="36"/>
      <c r="D425" s="36"/>
      <c r="F425" s="43"/>
      <c r="L425" s="43"/>
      <c r="Q425" s="43"/>
      <c r="V425" s="43"/>
      <c r="AD425" s="43"/>
      <c r="AG425" s="43"/>
      <c r="AL425" s="43"/>
      <c r="AQ425" s="43"/>
      <c r="AV425" s="43"/>
      <c r="BA425" s="43"/>
      <c r="BF425" s="43"/>
      <c r="BK425" s="43"/>
      <c r="BQ425" s="43"/>
      <c r="BV425" s="43"/>
      <c r="CC425" s="43"/>
    </row>
    <row r="426" spans="2:81" ht="15.75" customHeight="1">
      <c r="B426" s="36"/>
      <c r="D426" s="36"/>
      <c r="F426" s="43"/>
      <c r="L426" s="43"/>
      <c r="Q426" s="43"/>
      <c r="V426" s="43"/>
      <c r="AD426" s="43"/>
      <c r="AG426" s="43"/>
      <c r="AL426" s="43"/>
      <c r="AQ426" s="43"/>
      <c r="AV426" s="43"/>
      <c r="BA426" s="43"/>
      <c r="BF426" s="43"/>
      <c r="BK426" s="43"/>
      <c r="BQ426" s="43"/>
      <c r="BV426" s="43"/>
      <c r="CC426" s="43"/>
    </row>
    <row r="427" spans="2:81" ht="15.75" customHeight="1">
      <c r="B427" s="36"/>
      <c r="D427" s="36"/>
      <c r="F427" s="43"/>
      <c r="L427" s="43"/>
      <c r="Q427" s="43"/>
      <c r="V427" s="43"/>
      <c r="AD427" s="43"/>
      <c r="AG427" s="43"/>
      <c r="AL427" s="43"/>
      <c r="AQ427" s="43"/>
      <c r="AV427" s="43"/>
      <c r="BA427" s="43"/>
      <c r="BF427" s="43"/>
      <c r="BK427" s="43"/>
      <c r="BQ427" s="43"/>
      <c r="BV427" s="43"/>
      <c r="CC427" s="43"/>
    </row>
    <row r="428" spans="2:81" ht="15.75" customHeight="1">
      <c r="B428" s="36"/>
      <c r="D428" s="36"/>
      <c r="F428" s="43"/>
      <c r="L428" s="43"/>
      <c r="Q428" s="43"/>
      <c r="V428" s="43"/>
      <c r="AD428" s="43"/>
      <c r="AG428" s="43"/>
      <c r="AL428" s="43"/>
      <c r="AQ428" s="43"/>
      <c r="AV428" s="43"/>
      <c r="BA428" s="43"/>
      <c r="BF428" s="43"/>
      <c r="BK428" s="43"/>
      <c r="BQ428" s="43"/>
      <c r="BV428" s="43"/>
      <c r="CC428" s="43"/>
    </row>
    <row r="429" spans="2:81" ht="15.75" customHeight="1">
      <c r="B429" s="36"/>
      <c r="D429" s="36"/>
      <c r="F429" s="43"/>
      <c r="L429" s="43"/>
      <c r="Q429" s="43"/>
      <c r="V429" s="43"/>
      <c r="AD429" s="43"/>
      <c r="AG429" s="43"/>
      <c r="AL429" s="43"/>
      <c r="AQ429" s="43"/>
      <c r="AV429" s="43"/>
      <c r="BA429" s="43"/>
      <c r="BF429" s="43"/>
      <c r="BK429" s="43"/>
      <c r="BQ429" s="43"/>
      <c r="BV429" s="43"/>
      <c r="CC429" s="43"/>
    </row>
    <row r="430" spans="2:81" ht="15.75" customHeight="1">
      <c r="B430" s="36"/>
      <c r="D430" s="36"/>
      <c r="F430" s="43"/>
      <c r="L430" s="43"/>
      <c r="Q430" s="43"/>
      <c r="V430" s="43"/>
      <c r="AD430" s="43"/>
      <c r="AG430" s="43"/>
      <c r="AL430" s="43"/>
      <c r="AQ430" s="43"/>
      <c r="AV430" s="43"/>
      <c r="BA430" s="43"/>
      <c r="BF430" s="43"/>
      <c r="BK430" s="43"/>
      <c r="BQ430" s="43"/>
      <c r="BV430" s="43"/>
      <c r="CC430" s="43"/>
    </row>
    <row r="431" spans="2:81" ht="15.75" customHeight="1">
      <c r="B431" s="36"/>
      <c r="D431" s="36"/>
      <c r="F431" s="43"/>
      <c r="L431" s="43"/>
      <c r="Q431" s="43"/>
      <c r="V431" s="43"/>
      <c r="AD431" s="43"/>
      <c r="AG431" s="43"/>
      <c r="AL431" s="43"/>
      <c r="AQ431" s="43"/>
      <c r="AV431" s="43"/>
      <c r="BA431" s="43"/>
      <c r="BF431" s="43"/>
      <c r="BK431" s="43"/>
      <c r="BQ431" s="43"/>
      <c r="BV431" s="43"/>
      <c r="CC431" s="43"/>
    </row>
    <row r="432" spans="2:81" ht="15.75" customHeight="1">
      <c r="B432" s="36"/>
      <c r="D432" s="36"/>
      <c r="F432" s="43"/>
      <c r="L432" s="43"/>
      <c r="Q432" s="43"/>
      <c r="V432" s="43"/>
      <c r="AD432" s="43"/>
      <c r="AG432" s="43"/>
      <c r="AL432" s="43"/>
      <c r="AQ432" s="43"/>
      <c r="AV432" s="43"/>
      <c r="BA432" s="43"/>
      <c r="BF432" s="43"/>
      <c r="BK432" s="43"/>
      <c r="BQ432" s="43"/>
      <c r="BV432" s="43"/>
      <c r="CC432" s="43"/>
    </row>
    <row r="433" spans="2:81" ht="15.75" customHeight="1">
      <c r="B433" s="36"/>
      <c r="D433" s="36"/>
      <c r="F433" s="43"/>
      <c r="L433" s="43"/>
      <c r="Q433" s="43"/>
      <c r="V433" s="43"/>
      <c r="AD433" s="43"/>
      <c r="AG433" s="43"/>
      <c r="AL433" s="43"/>
      <c r="AQ433" s="43"/>
      <c r="AV433" s="43"/>
      <c r="BA433" s="43"/>
      <c r="BF433" s="43"/>
      <c r="BK433" s="43"/>
      <c r="BQ433" s="43"/>
      <c r="BV433" s="43"/>
      <c r="CC433" s="43"/>
    </row>
    <row r="434" spans="2:81" ht="15.75" customHeight="1">
      <c r="B434" s="36"/>
      <c r="D434" s="36"/>
      <c r="F434" s="43"/>
      <c r="L434" s="43"/>
      <c r="Q434" s="43"/>
      <c r="V434" s="43"/>
      <c r="AD434" s="43"/>
      <c r="AG434" s="43"/>
      <c r="AL434" s="43"/>
      <c r="AQ434" s="43"/>
      <c r="AV434" s="43"/>
      <c r="BA434" s="43"/>
      <c r="BF434" s="43"/>
      <c r="BK434" s="43"/>
      <c r="BQ434" s="43"/>
      <c r="BV434" s="43"/>
      <c r="CC434" s="43"/>
    </row>
    <row r="435" spans="2:81" ht="15.75" customHeight="1">
      <c r="B435" s="36"/>
      <c r="D435" s="36"/>
      <c r="F435" s="43"/>
      <c r="L435" s="43"/>
      <c r="Q435" s="43"/>
      <c r="V435" s="43"/>
      <c r="AD435" s="43"/>
      <c r="AG435" s="43"/>
      <c r="AL435" s="43"/>
      <c r="AQ435" s="43"/>
      <c r="AV435" s="43"/>
      <c r="BA435" s="43"/>
      <c r="BF435" s="43"/>
      <c r="BK435" s="43"/>
      <c r="BQ435" s="43"/>
      <c r="BV435" s="43"/>
      <c r="CC435" s="43"/>
    </row>
    <row r="436" spans="2:81" ht="15.75" customHeight="1">
      <c r="B436" s="36"/>
      <c r="D436" s="36"/>
      <c r="F436" s="43"/>
      <c r="L436" s="43"/>
      <c r="Q436" s="43"/>
      <c r="V436" s="43"/>
      <c r="AD436" s="43"/>
      <c r="AG436" s="43"/>
      <c r="AL436" s="43"/>
      <c r="AQ436" s="43"/>
      <c r="AV436" s="43"/>
      <c r="BA436" s="43"/>
      <c r="BF436" s="43"/>
      <c r="BK436" s="43"/>
      <c r="BQ436" s="43"/>
      <c r="BV436" s="43"/>
      <c r="CC436" s="43"/>
    </row>
    <row r="437" spans="2:81" ht="15.75" customHeight="1">
      <c r="B437" s="36"/>
      <c r="D437" s="36"/>
      <c r="F437" s="43"/>
      <c r="L437" s="43"/>
      <c r="Q437" s="43"/>
      <c r="V437" s="43"/>
      <c r="AD437" s="43"/>
      <c r="AG437" s="43"/>
      <c r="AL437" s="43"/>
      <c r="AQ437" s="43"/>
      <c r="AV437" s="43"/>
      <c r="BA437" s="43"/>
      <c r="BF437" s="43"/>
      <c r="BK437" s="43"/>
      <c r="BQ437" s="43"/>
      <c r="BV437" s="43"/>
      <c r="CC437" s="43"/>
    </row>
    <row r="438" spans="2:81" ht="15.75" customHeight="1">
      <c r="B438" s="36"/>
      <c r="D438" s="36"/>
      <c r="F438" s="43"/>
      <c r="L438" s="43"/>
      <c r="Q438" s="43"/>
      <c r="V438" s="43"/>
      <c r="AD438" s="43"/>
      <c r="AG438" s="43"/>
      <c r="AL438" s="43"/>
      <c r="AQ438" s="43"/>
      <c r="AV438" s="43"/>
      <c r="BA438" s="43"/>
      <c r="BF438" s="43"/>
      <c r="BK438" s="43"/>
      <c r="BQ438" s="43"/>
      <c r="BV438" s="43"/>
      <c r="CC438" s="43"/>
    </row>
    <row r="439" spans="2:81" ht="15.75" customHeight="1">
      <c r="B439" s="36"/>
      <c r="D439" s="36"/>
      <c r="F439" s="43"/>
      <c r="L439" s="43"/>
      <c r="Q439" s="43"/>
      <c r="V439" s="43"/>
      <c r="AD439" s="43"/>
      <c r="AG439" s="43"/>
      <c r="AL439" s="43"/>
      <c r="AQ439" s="43"/>
      <c r="AV439" s="43"/>
      <c r="BA439" s="43"/>
      <c r="BF439" s="43"/>
      <c r="BK439" s="43"/>
      <c r="BQ439" s="43"/>
      <c r="BV439" s="43"/>
      <c r="CC439" s="43"/>
    </row>
    <row r="440" spans="2:81" ht="15.75" customHeight="1">
      <c r="B440" s="36"/>
      <c r="D440" s="36"/>
      <c r="F440" s="43"/>
      <c r="L440" s="43"/>
      <c r="Q440" s="43"/>
      <c r="V440" s="43"/>
      <c r="AD440" s="43"/>
      <c r="AG440" s="43"/>
      <c r="AL440" s="43"/>
      <c r="AQ440" s="43"/>
      <c r="AV440" s="43"/>
      <c r="BA440" s="43"/>
      <c r="BF440" s="43"/>
      <c r="BK440" s="43"/>
      <c r="BQ440" s="43"/>
      <c r="BV440" s="43"/>
      <c r="CC440" s="43"/>
    </row>
    <row r="441" spans="2:81" ht="15.75" customHeight="1">
      <c r="B441" s="36"/>
      <c r="D441" s="36"/>
      <c r="F441" s="43"/>
      <c r="L441" s="43"/>
      <c r="Q441" s="43"/>
      <c r="V441" s="43"/>
      <c r="AD441" s="43"/>
      <c r="AG441" s="43"/>
      <c r="AL441" s="43"/>
      <c r="AQ441" s="43"/>
      <c r="AV441" s="43"/>
      <c r="BA441" s="43"/>
      <c r="BF441" s="43"/>
      <c r="BK441" s="43"/>
      <c r="BQ441" s="43"/>
      <c r="BV441" s="43"/>
      <c r="CC441" s="43"/>
    </row>
    <row r="442" spans="2:81" ht="15.75" customHeight="1">
      <c r="B442" s="36"/>
      <c r="D442" s="36"/>
      <c r="F442" s="43"/>
      <c r="L442" s="43"/>
      <c r="Q442" s="43"/>
      <c r="V442" s="43"/>
      <c r="AD442" s="43"/>
      <c r="AG442" s="43"/>
      <c r="AL442" s="43"/>
      <c r="AQ442" s="43"/>
      <c r="AV442" s="43"/>
      <c r="BA442" s="43"/>
      <c r="BF442" s="43"/>
      <c r="BK442" s="43"/>
      <c r="BQ442" s="43"/>
      <c r="BV442" s="43"/>
      <c r="CC442" s="43"/>
    </row>
    <row r="443" spans="2:81" ht="15.75" customHeight="1">
      <c r="B443" s="36"/>
      <c r="D443" s="36"/>
      <c r="F443" s="43"/>
      <c r="L443" s="43"/>
      <c r="Q443" s="43"/>
      <c r="V443" s="43"/>
      <c r="AD443" s="43"/>
      <c r="AG443" s="43"/>
      <c r="AL443" s="43"/>
      <c r="AQ443" s="43"/>
      <c r="AV443" s="43"/>
      <c r="BA443" s="43"/>
      <c r="BF443" s="43"/>
      <c r="BK443" s="43"/>
      <c r="BQ443" s="43"/>
      <c r="BV443" s="43"/>
      <c r="CC443" s="43"/>
    </row>
    <row r="444" spans="2:81" ht="15.75" customHeight="1">
      <c r="B444" s="36"/>
      <c r="D444" s="36"/>
      <c r="F444" s="43"/>
      <c r="L444" s="43"/>
      <c r="Q444" s="43"/>
      <c r="V444" s="43"/>
      <c r="AD444" s="43"/>
      <c r="AG444" s="43"/>
      <c r="AL444" s="43"/>
      <c r="AQ444" s="43"/>
      <c r="AV444" s="43"/>
      <c r="BA444" s="43"/>
      <c r="BF444" s="43"/>
      <c r="BK444" s="43"/>
      <c r="BQ444" s="43"/>
      <c r="BV444" s="43"/>
      <c r="CC444" s="43"/>
    </row>
    <row r="445" spans="2:81" ht="15.75" customHeight="1">
      <c r="B445" s="36"/>
      <c r="D445" s="36"/>
      <c r="F445" s="43"/>
      <c r="L445" s="43"/>
      <c r="Q445" s="43"/>
      <c r="V445" s="43"/>
      <c r="AD445" s="43"/>
      <c r="AG445" s="43"/>
      <c r="AL445" s="43"/>
      <c r="AQ445" s="43"/>
      <c r="AV445" s="43"/>
      <c r="BA445" s="43"/>
      <c r="BF445" s="43"/>
      <c r="BK445" s="43"/>
      <c r="BQ445" s="43"/>
      <c r="BV445" s="43"/>
      <c r="CC445" s="43"/>
    </row>
    <row r="446" spans="2:81" ht="15.75" customHeight="1">
      <c r="B446" s="36"/>
      <c r="D446" s="36"/>
      <c r="F446" s="43"/>
      <c r="L446" s="43"/>
      <c r="Q446" s="43"/>
      <c r="V446" s="43"/>
      <c r="AD446" s="43"/>
      <c r="AG446" s="43"/>
      <c r="AL446" s="43"/>
      <c r="AQ446" s="43"/>
      <c r="AV446" s="43"/>
      <c r="BA446" s="43"/>
      <c r="BF446" s="43"/>
      <c r="BK446" s="43"/>
      <c r="BQ446" s="43"/>
      <c r="BV446" s="43"/>
      <c r="CC446" s="43"/>
    </row>
    <row r="447" spans="2:81" ht="15.75" customHeight="1">
      <c r="B447" s="36"/>
      <c r="D447" s="36"/>
      <c r="F447" s="43"/>
      <c r="L447" s="43"/>
      <c r="Q447" s="43"/>
      <c r="V447" s="43"/>
      <c r="AD447" s="43"/>
      <c r="AG447" s="43"/>
      <c r="AL447" s="43"/>
      <c r="AQ447" s="43"/>
      <c r="AV447" s="43"/>
      <c r="BA447" s="43"/>
      <c r="BF447" s="43"/>
      <c r="BK447" s="43"/>
      <c r="BQ447" s="43"/>
      <c r="BV447" s="43"/>
      <c r="CC447" s="43"/>
    </row>
    <row r="448" spans="2:81" ht="15.75" customHeight="1">
      <c r="B448" s="36"/>
      <c r="D448" s="36"/>
      <c r="F448" s="43"/>
      <c r="L448" s="43"/>
      <c r="Q448" s="43"/>
      <c r="V448" s="43"/>
      <c r="AD448" s="43"/>
      <c r="AG448" s="43"/>
      <c r="AL448" s="43"/>
      <c r="AQ448" s="43"/>
      <c r="AV448" s="43"/>
      <c r="BA448" s="43"/>
      <c r="BF448" s="43"/>
      <c r="BK448" s="43"/>
      <c r="BQ448" s="43"/>
      <c r="BV448" s="43"/>
      <c r="CC448" s="43"/>
    </row>
    <row r="449" spans="2:81" ht="15.75" customHeight="1">
      <c r="B449" s="36"/>
      <c r="D449" s="36"/>
      <c r="F449" s="43"/>
      <c r="L449" s="43"/>
      <c r="Q449" s="43"/>
      <c r="V449" s="43"/>
      <c r="AD449" s="43"/>
      <c r="AG449" s="43"/>
      <c r="AL449" s="43"/>
      <c r="AQ449" s="43"/>
      <c r="AV449" s="43"/>
      <c r="BA449" s="43"/>
      <c r="BF449" s="43"/>
      <c r="BK449" s="43"/>
      <c r="BQ449" s="43"/>
      <c r="BV449" s="43"/>
      <c r="CC449" s="43"/>
    </row>
    <row r="450" spans="2:81" ht="15.75" customHeight="1">
      <c r="B450" s="36"/>
      <c r="D450" s="36"/>
      <c r="F450" s="43"/>
      <c r="L450" s="43"/>
      <c r="Q450" s="43"/>
      <c r="V450" s="43"/>
      <c r="AD450" s="43"/>
      <c r="AG450" s="43"/>
      <c r="AL450" s="43"/>
      <c r="AQ450" s="43"/>
      <c r="AV450" s="43"/>
      <c r="BA450" s="43"/>
      <c r="BF450" s="43"/>
      <c r="BK450" s="43"/>
      <c r="BQ450" s="43"/>
      <c r="BV450" s="43"/>
      <c r="CC450" s="43"/>
    </row>
    <row r="451" spans="2:81" ht="15.75" customHeight="1">
      <c r="B451" s="36"/>
      <c r="D451" s="36"/>
      <c r="F451" s="43"/>
      <c r="L451" s="43"/>
      <c r="Q451" s="43"/>
      <c r="V451" s="43"/>
      <c r="AD451" s="43"/>
      <c r="AG451" s="43"/>
      <c r="AL451" s="43"/>
      <c r="AQ451" s="43"/>
      <c r="AV451" s="43"/>
      <c r="BA451" s="43"/>
      <c r="BF451" s="43"/>
      <c r="BK451" s="43"/>
      <c r="BQ451" s="43"/>
      <c r="BV451" s="43"/>
      <c r="CC451" s="43"/>
    </row>
    <row r="452" spans="2:81" ht="15.75" customHeight="1">
      <c r="B452" s="36"/>
      <c r="D452" s="36"/>
      <c r="F452" s="43"/>
      <c r="L452" s="43"/>
      <c r="Q452" s="43"/>
      <c r="V452" s="43"/>
      <c r="AD452" s="43"/>
      <c r="AG452" s="43"/>
      <c r="AL452" s="43"/>
      <c r="AQ452" s="43"/>
      <c r="AV452" s="43"/>
      <c r="BA452" s="43"/>
      <c r="BF452" s="43"/>
      <c r="BK452" s="43"/>
      <c r="BQ452" s="43"/>
      <c r="BV452" s="43"/>
      <c r="CC452" s="43"/>
    </row>
    <row r="453" spans="2:81" ht="15.75" customHeight="1">
      <c r="B453" s="36"/>
      <c r="D453" s="36"/>
      <c r="F453" s="43"/>
      <c r="L453" s="43"/>
      <c r="Q453" s="43"/>
      <c r="V453" s="43"/>
      <c r="AD453" s="43"/>
      <c r="AG453" s="43"/>
      <c r="AL453" s="43"/>
      <c r="AQ453" s="43"/>
      <c r="AV453" s="43"/>
      <c r="BA453" s="43"/>
      <c r="BF453" s="43"/>
      <c r="BK453" s="43"/>
      <c r="BQ453" s="43"/>
      <c r="BV453" s="43"/>
      <c r="CC453" s="43"/>
    </row>
    <row r="454" spans="2:81" ht="15.75" customHeight="1">
      <c r="B454" s="36"/>
      <c r="D454" s="36"/>
      <c r="F454" s="43"/>
      <c r="L454" s="43"/>
      <c r="Q454" s="43"/>
      <c r="V454" s="43"/>
      <c r="AD454" s="43"/>
      <c r="AG454" s="43"/>
      <c r="AL454" s="43"/>
      <c r="AQ454" s="43"/>
      <c r="AV454" s="43"/>
      <c r="BA454" s="43"/>
      <c r="BF454" s="43"/>
      <c r="BK454" s="43"/>
      <c r="BQ454" s="43"/>
      <c r="BV454" s="43"/>
      <c r="CC454" s="43"/>
    </row>
    <row r="455" spans="2:81" ht="15.75" customHeight="1">
      <c r="B455" s="36"/>
      <c r="D455" s="36"/>
      <c r="F455" s="43"/>
      <c r="L455" s="43"/>
      <c r="Q455" s="43"/>
      <c r="V455" s="43"/>
      <c r="AD455" s="43"/>
      <c r="AG455" s="43"/>
      <c r="AL455" s="43"/>
      <c r="AQ455" s="43"/>
      <c r="AV455" s="43"/>
      <c r="BA455" s="43"/>
      <c r="BF455" s="43"/>
      <c r="BK455" s="43"/>
      <c r="BQ455" s="43"/>
      <c r="BV455" s="43"/>
      <c r="CC455" s="43"/>
    </row>
    <row r="456" spans="2:81" ht="15.75" customHeight="1">
      <c r="B456" s="36"/>
      <c r="D456" s="36"/>
      <c r="F456" s="43"/>
      <c r="L456" s="43"/>
      <c r="Q456" s="43"/>
      <c r="V456" s="43"/>
      <c r="AD456" s="43"/>
      <c r="AG456" s="43"/>
      <c r="AL456" s="43"/>
      <c r="AQ456" s="43"/>
      <c r="AV456" s="43"/>
      <c r="BA456" s="43"/>
      <c r="BF456" s="43"/>
      <c r="BK456" s="43"/>
      <c r="BQ456" s="43"/>
      <c r="BV456" s="43"/>
      <c r="CC456" s="43"/>
    </row>
    <row r="457" spans="2:81" ht="15.75" customHeight="1">
      <c r="B457" s="36"/>
      <c r="D457" s="36"/>
      <c r="F457" s="43"/>
      <c r="L457" s="43"/>
      <c r="Q457" s="43"/>
      <c r="V457" s="43"/>
      <c r="AD457" s="43"/>
      <c r="AG457" s="43"/>
      <c r="AL457" s="43"/>
      <c r="AQ457" s="43"/>
      <c r="AV457" s="43"/>
      <c r="BA457" s="43"/>
      <c r="BF457" s="43"/>
      <c r="BK457" s="43"/>
      <c r="BQ457" s="43"/>
      <c r="BV457" s="43"/>
      <c r="CC457" s="43"/>
    </row>
    <row r="458" spans="2:81" ht="15.75" customHeight="1">
      <c r="B458" s="36"/>
      <c r="D458" s="36"/>
      <c r="F458" s="43"/>
      <c r="L458" s="43"/>
      <c r="Q458" s="43"/>
      <c r="V458" s="43"/>
      <c r="AD458" s="43"/>
      <c r="AG458" s="43"/>
      <c r="AL458" s="43"/>
      <c r="AQ458" s="43"/>
      <c r="AV458" s="43"/>
      <c r="BA458" s="43"/>
      <c r="BF458" s="43"/>
      <c r="BK458" s="43"/>
      <c r="BQ458" s="43"/>
      <c r="BV458" s="43"/>
      <c r="CC458" s="43"/>
    </row>
    <row r="459" spans="2:81" ht="15.75" customHeight="1">
      <c r="B459" s="36"/>
      <c r="D459" s="36"/>
      <c r="F459" s="43"/>
      <c r="L459" s="43"/>
      <c r="Q459" s="43"/>
      <c r="V459" s="43"/>
      <c r="AD459" s="43"/>
      <c r="AG459" s="43"/>
      <c r="AL459" s="43"/>
      <c r="AQ459" s="43"/>
      <c r="AV459" s="43"/>
      <c r="BA459" s="43"/>
      <c r="BF459" s="43"/>
      <c r="BK459" s="43"/>
      <c r="BQ459" s="43"/>
      <c r="BV459" s="43"/>
      <c r="CC459" s="43"/>
    </row>
    <row r="460" spans="2:81" ht="15.75" customHeight="1">
      <c r="B460" s="36"/>
      <c r="D460" s="36"/>
      <c r="F460" s="43"/>
      <c r="L460" s="43"/>
      <c r="Q460" s="43"/>
      <c r="V460" s="43"/>
      <c r="AD460" s="43"/>
      <c r="AG460" s="43"/>
      <c r="AL460" s="43"/>
      <c r="AQ460" s="43"/>
      <c r="AV460" s="43"/>
      <c r="BA460" s="43"/>
      <c r="BF460" s="43"/>
      <c r="BK460" s="43"/>
      <c r="BQ460" s="43"/>
      <c r="BV460" s="43"/>
      <c r="CC460" s="43"/>
    </row>
    <row r="461" spans="2:81" ht="15.75" customHeight="1">
      <c r="B461" s="36"/>
      <c r="D461" s="36"/>
      <c r="F461" s="43"/>
      <c r="L461" s="43"/>
      <c r="Q461" s="43"/>
      <c r="V461" s="43"/>
      <c r="AD461" s="43"/>
      <c r="AG461" s="43"/>
      <c r="AL461" s="43"/>
      <c r="AQ461" s="43"/>
      <c r="AV461" s="43"/>
      <c r="BA461" s="43"/>
      <c r="BF461" s="43"/>
      <c r="BK461" s="43"/>
      <c r="BQ461" s="43"/>
      <c r="BV461" s="43"/>
      <c r="CC461" s="43"/>
    </row>
    <row r="462" spans="2:81" ht="15.75" customHeight="1">
      <c r="B462" s="36"/>
      <c r="D462" s="36"/>
      <c r="F462" s="43"/>
      <c r="L462" s="43"/>
      <c r="Q462" s="43"/>
      <c r="V462" s="43"/>
      <c r="AD462" s="43"/>
      <c r="AG462" s="43"/>
      <c r="AL462" s="43"/>
      <c r="AQ462" s="43"/>
      <c r="AV462" s="43"/>
      <c r="BA462" s="43"/>
      <c r="BF462" s="43"/>
      <c r="BK462" s="43"/>
      <c r="BQ462" s="43"/>
      <c r="BV462" s="43"/>
      <c r="CC462" s="43"/>
    </row>
    <row r="463" spans="2:81" ht="15.75" customHeight="1">
      <c r="B463" s="36"/>
      <c r="D463" s="36"/>
      <c r="F463" s="43"/>
      <c r="L463" s="43"/>
      <c r="Q463" s="43"/>
      <c r="V463" s="43"/>
      <c r="AD463" s="43"/>
      <c r="AG463" s="43"/>
      <c r="AL463" s="43"/>
      <c r="AQ463" s="43"/>
      <c r="AV463" s="43"/>
      <c r="BA463" s="43"/>
      <c r="BF463" s="43"/>
      <c r="BK463" s="43"/>
      <c r="BQ463" s="43"/>
      <c r="BV463" s="43"/>
      <c r="CC463" s="43"/>
    </row>
    <row r="464" spans="2:81" ht="15.75" customHeight="1">
      <c r="B464" s="36"/>
      <c r="D464" s="36"/>
      <c r="F464" s="43"/>
      <c r="L464" s="43"/>
      <c r="Q464" s="43"/>
      <c r="V464" s="43"/>
      <c r="AD464" s="43"/>
      <c r="AG464" s="43"/>
      <c r="AL464" s="43"/>
      <c r="AQ464" s="43"/>
      <c r="AV464" s="43"/>
      <c r="BA464" s="43"/>
      <c r="BF464" s="43"/>
      <c r="BK464" s="43"/>
      <c r="BQ464" s="43"/>
      <c r="BV464" s="43"/>
      <c r="CC464" s="43"/>
    </row>
    <row r="465" spans="2:81" ht="15.75" customHeight="1">
      <c r="B465" s="36"/>
      <c r="D465" s="36"/>
      <c r="F465" s="43"/>
      <c r="L465" s="43"/>
      <c r="Q465" s="43"/>
      <c r="V465" s="43"/>
      <c r="AD465" s="43"/>
      <c r="AG465" s="43"/>
      <c r="AL465" s="43"/>
      <c r="AQ465" s="43"/>
      <c r="AV465" s="43"/>
      <c r="BA465" s="43"/>
      <c r="BF465" s="43"/>
      <c r="BK465" s="43"/>
      <c r="BQ465" s="43"/>
      <c r="BV465" s="43"/>
      <c r="CC465" s="43"/>
    </row>
    <row r="466" spans="2:81" ht="15.75" customHeight="1">
      <c r="B466" s="36"/>
      <c r="D466" s="36"/>
      <c r="F466" s="43"/>
      <c r="L466" s="43"/>
      <c r="Q466" s="43"/>
      <c r="V466" s="43"/>
      <c r="AD466" s="43"/>
      <c r="AG466" s="43"/>
      <c r="AL466" s="43"/>
      <c r="AQ466" s="43"/>
      <c r="AV466" s="43"/>
      <c r="BA466" s="43"/>
      <c r="BF466" s="43"/>
      <c r="BK466" s="43"/>
      <c r="BQ466" s="43"/>
      <c r="BV466" s="43"/>
      <c r="CC466" s="43"/>
    </row>
    <row r="467" spans="2:81" ht="15.75" customHeight="1">
      <c r="B467" s="36"/>
      <c r="D467" s="36"/>
      <c r="F467" s="43"/>
      <c r="L467" s="43"/>
      <c r="Q467" s="43"/>
      <c r="V467" s="43"/>
      <c r="AD467" s="43"/>
      <c r="AG467" s="43"/>
      <c r="AL467" s="43"/>
      <c r="AQ467" s="43"/>
      <c r="AV467" s="43"/>
      <c r="BA467" s="43"/>
      <c r="BF467" s="43"/>
      <c r="BK467" s="43"/>
      <c r="BQ467" s="43"/>
      <c r="BV467" s="43"/>
      <c r="CC467" s="43"/>
    </row>
    <row r="468" spans="2:81" ht="15.75" customHeight="1">
      <c r="B468" s="36"/>
      <c r="D468" s="36"/>
      <c r="F468" s="43"/>
      <c r="L468" s="43"/>
      <c r="Q468" s="43"/>
      <c r="V468" s="43"/>
      <c r="AD468" s="43"/>
      <c r="AG468" s="43"/>
      <c r="AL468" s="43"/>
      <c r="AQ468" s="43"/>
      <c r="AV468" s="43"/>
      <c r="BA468" s="43"/>
      <c r="BF468" s="43"/>
      <c r="BK468" s="43"/>
      <c r="BQ468" s="43"/>
      <c r="BV468" s="43"/>
      <c r="CC468" s="43"/>
    </row>
    <row r="469" spans="2:81" ht="15.75" customHeight="1">
      <c r="B469" s="36"/>
      <c r="D469" s="36"/>
      <c r="F469" s="43"/>
      <c r="L469" s="43"/>
      <c r="Q469" s="43"/>
      <c r="V469" s="43"/>
      <c r="AD469" s="43"/>
      <c r="AG469" s="43"/>
      <c r="AL469" s="43"/>
      <c r="AQ469" s="43"/>
      <c r="AV469" s="43"/>
      <c r="BA469" s="43"/>
      <c r="BF469" s="43"/>
      <c r="BK469" s="43"/>
      <c r="BQ469" s="43"/>
      <c r="BV469" s="43"/>
      <c r="CC469" s="43"/>
    </row>
    <row r="470" spans="2:81" ht="15.75" customHeight="1">
      <c r="B470" s="36"/>
      <c r="D470" s="36"/>
      <c r="F470" s="43"/>
      <c r="L470" s="43"/>
      <c r="Q470" s="43"/>
      <c r="V470" s="43"/>
      <c r="AD470" s="43"/>
      <c r="AG470" s="43"/>
      <c r="AL470" s="43"/>
      <c r="AQ470" s="43"/>
      <c r="AV470" s="43"/>
      <c r="BA470" s="43"/>
      <c r="BF470" s="43"/>
      <c r="BK470" s="43"/>
      <c r="BQ470" s="43"/>
      <c r="BV470" s="43"/>
      <c r="CC470" s="43"/>
    </row>
    <row r="471" spans="2:81" ht="15.75" customHeight="1">
      <c r="B471" s="36"/>
      <c r="D471" s="36"/>
      <c r="F471" s="43"/>
      <c r="L471" s="43"/>
      <c r="Q471" s="43"/>
      <c r="V471" s="43"/>
      <c r="AD471" s="43"/>
      <c r="AG471" s="43"/>
      <c r="AL471" s="43"/>
      <c r="AQ471" s="43"/>
      <c r="AV471" s="43"/>
      <c r="BA471" s="43"/>
      <c r="BF471" s="43"/>
      <c r="BK471" s="43"/>
      <c r="BQ471" s="43"/>
      <c r="BV471" s="43"/>
      <c r="CC471" s="43"/>
    </row>
    <row r="472" spans="2:81" ht="15.75" customHeight="1">
      <c r="B472" s="36"/>
      <c r="D472" s="36"/>
      <c r="F472" s="43"/>
      <c r="L472" s="43"/>
      <c r="Q472" s="43"/>
      <c r="V472" s="43"/>
      <c r="AD472" s="43"/>
      <c r="AG472" s="43"/>
      <c r="AL472" s="43"/>
      <c r="AQ472" s="43"/>
      <c r="AV472" s="43"/>
      <c r="BA472" s="43"/>
      <c r="BF472" s="43"/>
      <c r="BK472" s="43"/>
      <c r="BQ472" s="43"/>
      <c r="BV472" s="43"/>
      <c r="CC472" s="43"/>
    </row>
    <row r="473" spans="2:81" ht="15.75" customHeight="1">
      <c r="B473" s="36"/>
      <c r="D473" s="36"/>
      <c r="F473" s="43"/>
      <c r="L473" s="43"/>
      <c r="Q473" s="43"/>
      <c r="V473" s="43"/>
      <c r="AD473" s="43"/>
      <c r="AG473" s="43"/>
      <c r="AL473" s="43"/>
      <c r="AQ473" s="43"/>
      <c r="AV473" s="43"/>
      <c r="BA473" s="43"/>
      <c r="BF473" s="43"/>
      <c r="BK473" s="43"/>
      <c r="BQ473" s="43"/>
      <c r="BV473" s="43"/>
      <c r="CC473" s="43"/>
    </row>
    <row r="474" spans="2:81" ht="15.75" customHeight="1">
      <c r="B474" s="36"/>
      <c r="D474" s="36"/>
      <c r="F474" s="43"/>
      <c r="L474" s="43"/>
      <c r="Q474" s="43"/>
      <c r="V474" s="43"/>
      <c r="AD474" s="43"/>
      <c r="AG474" s="43"/>
      <c r="AL474" s="43"/>
      <c r="AQ474" s="43"/>
      <c r="AV474" s="43"/>
      <c r="BA474" s="43"/>
      <c r="BF474" s="43"/>
      <c r="BK474" s="43"/>
      <c r="BQ474" s="43"/>
      <c r="BV474" s="43"/>
      <c r="CC474" s="43"/>
    </row>
    <row r="475" spans="2:81" ht="15.75" customHeight="1">
      <c r="B475" s="36"/>
      <c r="D475" s="36"/>
      <c r="F475" s="43"/>
      <c r="L475" s="43"/>
      <c r="Q475" s="43"/>
      <c r="V475" s="43"/>
      <c r="AD475" s="43"/>
      <c r="AG475" s="43"/>
      <c r="AL475" s="43"/>
      <c r="AQ475" s="43"/>
      <c r="AV475" s="43"/>
      <c r="BA475" s="43"/>
      <c r="BF475" s="43"/>
      <c r="BK475" s="43"/>
      <c r="BQ475" s="43"/>
      <c r="BV475" s="43"/>
      <c r="CC475" s="43"/>
    </row>
    <row r="476" spans="2:81" ht="15.75" customHeight="1">
      <c r="B476" s="36"/>
      <c r="D476" s="36"/>
      <c r="F476" s="43"/>
      <c r="L476" s="43"/>
      <c r="Q476" s="43"/>
      <c r="V476" s="43"/>
      <c r="AD476" s="43"/>
      <c r="AG476" s="43"/>
      <c r="AL476" s="43"/>
      <c r="AQ476" s="43"/>
      <c r="AV476" s="43"/>
      <c r="BA476" s="43"/>
      <c r="BF476" s="43"/>
      <c r="BK476" s="43"/>
      <c r="BQ476" s="43"/>
      <c r="BV476" s="43"/>
      <c r="CC476" s="43"/>
    </row>
    <row r="477" spans="2:81" ht="15.75" customHeight="1">
      <c r="B477" s="36"/>
      <c r="D477" s="36"/>
      <c r="F477" s="43"/>
      <c r="L477" s="43"/>
      <c r="Q477" s="43"/>
      <c r="V477" s="43"/>
      <c r="AD477" s="43"/>
      <c r="AG477" s="43"/>
      <c r="AL477" s="43"/>
      <c r="AQ477" s="43"/>
      <c r="AV477" s="43"/>
      <c r="BA477" s="43"/>
      <c r="BF477" s="43"/>
      <c r="BK477" s="43"/>
      <c r="BQ477" s="43"/>
      <c r="BV477" s="43"/>
      <c r="CC477" s="43"/>
    </row>
    <row r="478" spans="2:81" ht="15.75" customHeight="1">
      <c r="B478" s="36"/>
      <c r="D478" s="36"/>
      <c r="F478" s="43"/>
      <c r="L478" s="43"/>
      <c r="Q478" s="43"/>
      <c r="V478" s="43"/>
      <c r="AD478" s="43"/>
      <c r="AG478" s="43"/>
      <c r="AL478" s="43"/>
      <c r="AQ478" s="43"/>
      <c r="AV478" s="43"/>
      <c r="BA478" s="43"/>
      <c r="BF478" s="43"/>
      <c r="BK478" s="43"/>
      <c r="BQ478" s="43"/>
      <c r="BV478" s="43"/>
      <c r="CC478" s="43"/>
    </row>
    <row r="479" spans="2:81" ht="15.75" customHeight="1">
      <c r="B479" s="36"/>
      <c r="D479" s="36"/>
      <c r="F479" s="43"/>
      <c r="L479" s="43"/>
      <c r="Q479" s="43"/>
      <c r="V479" s="43"/>
      <c r="AD479" s="43"/>
      <c r="AG479" s="43"/>
      <c r="AL479" s="43"/>
      <c r="AQ479" s="43"/>
      <c r="AV479" s="43"/>
      <c r="BA479" s="43"/>
      <c r="BF479" s="43"/>
      <c r="BK479" s="43"/>
      <c r="BQ479" s="43"/>
      <c r="BV479" s="43"/>
      <c r="CC479" s="43"/>
    </row>
    <row r="480" spans="2:81" ht="15.75" customHeight="1">
      <c r="B480" s="36"/>
      <c r="D480" s="36"/>
      <c r="F480" s="43"/>
      <c r="L480" s="43"/>
      <c r="Q480" s="43"/>
      <c r="V480" s="43"/>
      <c r="AD480" s="43"/>
      <c r="AG480" s="43"/>
      <c r="AL480" s="43"/>
      <c r="AQ480" s="43"/>
      <c r="AV480" s="43"/>
      <c r="BA480" s="43"/>
      <c r="BF480" s="43"/>
      <c r="BK480" s="43"/>
      <c r="BQ480" s="43"/>
      <c r="BV480" s="43"/>
      <c r="CC480" s="43"/>
    </row>
    <row r="481" spans="2:81" ht="15.75" customHeight="1">
      <c r="B481" s="36"/>
      <c r="D481" s="36"/>
      <c r="F481" s="43"/>
      <c r="L481" s="43"/>
      <c r="Q481" s="43"/>
      <c r="V481" s="43"/>
      <c r="AD481" s="43"/>
      <c r="AG481" s="43"/>
      <c r="AL481" s="43"/>
      <c r="AQ481" s="43"/>
      <c r="AV481" s="43"/>
      <c r="BA481" s="43"/>
      <c r="BF481" s="43"/>
      <c r="BK481" s="43"/>
      <c r="BQ481" s="43"/>
      <c r="BV481" s="43"/>
      <c r="CC481" s="43"/>
    </row>
    <row r="482" spans="2:81" ht="15.75" customHeight="1">
      <c r="B482" s="36"/>
      <c r="D482" s="36"/>
      <c r="F482" s="43"/>
      <c r="L482" s="43"/>
      <c r="Q482" s="43"/>
      <c r="V482" s="43"/>
      <c r="AD482" s="43"/>
      <c r="AG482" s="43"/>
      <c r="AL482" s="43"/>
      <c r="AQ482" s="43"/>
      <c r="AV482" s="43"/>
      <c r="BA482" s="43"/>
      <c r="BF482" s="43"/>
      <c r="BK482" s="43"/>
      <c r="BQ482" s="43"/>
      <c r="BV482" s="43"/>
      <c r="CC482" s="43"/>
    </row>
    <row r="483" spans="2:81" ht="15.75" customHeight="1">
      <c r="B483" s="36"/>
      <c r="D483" s="36"/>
      <c r="F483" s="43"/>
      <c r="L483" s="43"/>
      <c r="Q483" s="43"/>
      <c r="V483" s="43"/>
      <c r="AD483" s="43"/>
      <c r="AG483" s="43"/>
      <c r="AL483" s="43"/>
      <c r="AQ483" s="43"/>
      <c r="AV483" s="43"/>
      <c r="BA483" s="43"/>
      <c r="BF483" s="43"/>
      <c r="BK483" s="43"/>
      <c r="BQ483" s="43"/>
      <c r="BV483" s="43"/>
      <c r="CC483" s="43"/>
    </row>
    <row r="484" spans="2:81" ht="15.75" customHeight="1">
      <c r="B484" s="36"/>
      <c r="D484" s="36"/>
      <c r="F484" s="43"/>
      <c r="L484" s="43"/>
      <c r="Q484" s="43"/>
      <c r="V484" s="43"/>
      <c r="AD484" s="43"/>
      <c r="AG484" s="43"/>
      <c r="AL484" s="43"/>
      <c r="AQ484" s="43"/>
      <c r="AV484" s="43"/>
      <c r="BA484" s="43"/>
      <c r="BF484" s="43"/>
      <c r="BK484" s="43"/>
      <c r="BQ484" s="43"/>
      <c r="BV484" s="43"/>
      <c r="CC484" s="43"/>
    </row>
    <row r="485" spans="2:81" ht="15.75" customHeight="1">
      <c r="B485" s="36"/>
      <c r="D485" s="36"/>
      <c r="F485" s="43"/>
      <c r="L485" s="43"/>
      <c r="Q485" s="43"/>
      <c r="V485" s="43"/>
      <c r="AD485" s="43"/>
      <c r="AG485" s="43"/>
      <c r="AL485" s="43"/>
      <c r="AQ485" s="43"/>
      <c r="AV485" s="43"/>
      <c r="BA485" s="43"/>
      <c r="BF485" s="43"/>
      <c r="BK485" s="43"/>
      <c r="BQ485" s="43"/>
      <c r="BV485" s="43"/>
      <c r="CC485" s="43"/>
    </row>
    <row r="486" spans="2:81" ht="15.75" customHeight="1">
      <c r="B486" s="36"/>
      <c r="D486" s="36"/>
      <c r="F486" s="43"/>
      <c r="L486" s="43"/>
      <c r="Q486" s="43"/>
      <c r="V486" s="43"/>
      <c r="AD486" s="43"/>
      <c r="AG486" s="43"/>
      <c r="AL486" s="43"/>
      <c r="AQ486" s="43"/>
      <c r="AV486" s="43"/>
      <c r="BA486" s="43"/>
      <c r="BF486" s="43"/>
      <c r="BK486" s="43"/>
      <c r="BQ486" s="43"/>
      <c r="BV486" s="43"/>
      <c r="CC486" s="43"/>
    </row>
    <row r="487" spans="2:81" ht="15.75" customHeight="1">
      <c r="B487" s="36"/>
      <c r="D487" s="36"/>
      <c r="F487" s="43"/>
      <c r="L487" s="43"/>
      <c r="Q487" s="43"/>
      <c r="V487" s="43"/>
      <c r="AD487" s="43"/>
      <c r="AG487" s="43"/>
      <c r="AL487" s="43"/>
      <c r="AQ487" s="43"/>
      <c r="AV487" s="43"/>
      <c r="BA487" s="43"/>
      <c r="BF487" s="43"/>
      <c r="BK487" s="43"/>
      <c r="BQ487" s="43"/>
      <c r="BV487" s="43"/>
      <c r="CC487" s="43"/>
    </row>
    <row r="488" spans="2:81" ht="15.75" customHeight="1">
      <c r="B488" s="36"/>
      <c r="D488" s="36"/>
      <c r="F488" s="43"/>
      <c r="L488" s="43"/>
      <c r="Q488" s="43"/>
      <c r="V488" s="43"/>
      <c r="AD488" s="43"/>
      <c r="AG488" s="43"/>
      <c r="AL488" s="43"/>
      <c r="AQ488" s="43"/>
      <c r="AV488" s="43"/>
      <c r="BA488" s="43"/>
      <c r="BF488" s="43"/>
      <c r="BK488" s="43"/>
      <c r="BQ488" s="43"/>
      <c r="BV488" s="43"/>
      <c r="CC488" s="43"/>
    </row>
    <row r="489" spans="2:81" ht="15.75" customHeight="1">
      <c r="B489" s="36"/>
      <c r="D489" s="36"/>
      <c r="F489" s="43"/>
      <c r="L489" s="43"/>
      <c r="Q489" s="43"/>
      <c r="V489" s="43"/>
      <c r="AD489" s="43"/>
      <c r="AG489" s="43"/>
      <c r="AL489" s="43"/>
      <c r="AQ489" s="43"/>
      <c r="AV489" s="43"/>
      <c r="BA489" s="43"/>
      <c r="BF489" s="43"/>
      <c r="BK489" s="43"/>
      <c r="BQ489" s="43"/>
      <c r="BV489" s="43"/>
      <c r="CC489" s="43"/>
    </row>
    <row r="490" spans="2:81" ht="15.75" customHeight="1">
      <c r="B490" s="36"/>
      <c r="D490" s="36"/>
      <c r="F490" s="43"/>
      <c r="L490" s="43"/>
      <c r="Q490" s="43"/>
      <c r="V490" s="43"/>
      <c r="AD490" s="43"/>
      <c r="AG490" s="43"/>
      <c r="AL490" s="43"/>
      <c r="AQ490" s="43"/>
      <c r="AV490" s="43"/>
      <c r="BA490" s="43"/>
      <c r="BF490" s="43"/>
      <c r="BK490" s="43"/>
      <c r="BQ490" s="43"/>
      <c r="BV490" s="43"/>
      <c r="CC490" s="43"/>
    </row>
    <row r="491" spans="2:81" ht="15.75" customHeight="1">
      <c r="B491" s="36"/>
      <c r="D491" s="36"/>
      <c r="F491" s="43"/>
      <c r="L491" s="43"/>
      <c r="Q491" s="43"/>
      <c r="V491" s="43"/>
      <c r="AD491" s="43"/>
      <c r="AG491" s="43"/>
      <c r="AL491" s="43"/>
      <c r="AQ491" s="43"/>
      <c r="AV491" s="43"/>
      <c r="BA491" s="43"/>
      <c r="BF491" s="43"/>
      <c r="BK491" s="43"/>
      <c r="BQ491" s="43"/>
      <c r="BV491" s="43"/>
      <c r="CC491" s="43"/>
    </row>
    <row r="492" spans="2:81" ht="15.75" customHeight="1">
      <c r="B492" s="36"/>
      <c r="D492" s="36"/>
      <c r="F492" s="43"/>
      <c r="L492" s="43"/>
      <c r="Q492" s="43"/>
      <c r="V492" s="43"/>
      <c r="AD492" s="43"/>
      <c r="AG492" s="43"/>
      <c r="AL492" s="43"/>
      <c r="AQ492" s="43"/>
      <c r="AV492" s="43"/>
      <c r="BA492" s="43"/>
      <c r="BF492" s="43"/>
      <c r="BK492" s="43"/>
      <c r="BQ492" s="43"/>
      <c r="BV492" s="43"/>
      <c r="CC492" s="43"/>
    </row>
    <row r="493" spans="2:81" ht="15.75" customHeight="1">
      <c r="B493" s="36"/>
      <c r="D493" s="36"/>
      <c r="F493" s="43"/>
      <c r="L493" s="43"/>
      <c r="Q493" s="43"/>
      <c r="V493" s="43"/>
      <c r="AD493" s="43"/>
      <c r="AG493" s="43"/>
      <c r="AL493" s="43"/>
      <c r="AQ493" s="43"/>
      <c r="AV493" s="43"/>
      <c r="BA493" s="43"/>
      <c r="BF493" s="43"/>
      <c r="BK493" s="43"/>
      <c r="BQ493" s="43"/>
      <c r="BV493" s="43"/>
      <c r="CC493" s="43"/>
    </row>
    <row r="494" spans="2:81" ht="15.75" customHeight="1">
      <c r="B494" s="36"/>
      <c r="D494" s="36"/>
      <c r="F494" s="43"/>
      <c r="L494" s="43"/>
      <c r="Q494" s="43"/>
      <c r="V494" s="43"/>
      <c r="AD494" s="43"/>
      <c r="AG494" s="43"/>
      <c r="AL494" s="43"/>
      <c r="AQ494" s="43"/>
      <c r="AV494" s="43"/>
      <c r="BA494" s="43"/>
      <c r="BF494" s="43"/>
      <c r="BK494" s="43"/>
      <c r="BQ494" s="43"/>
      <c r="BV494" s="43"/>
      <c r="CC494" s="43"/>
    </row>
    <row r="495" spans="2:81" ht="15.75" customHeight="1">
      <c r="B495" s="36"/>
      <c r="D495" s="36"/>
      <c r="F495" s="43"/>
      <c r="L495" s="43"/>
      <c r="Q495" s="43"/>
      <c r="V495" s="43"/>
      <c r="AD495" s="43"/>
      <c r="AG495" s="43"/>
      <c r="AL495" s="43"/>
      <c r="AQ495" s="43"/>
      <c r="AV495" s="43"/>
      <c r="BA495" s="43"/>
      <c r="BF495" s="43"/>
      <c r="BK495" s="43"/>
      <c r="BQ495" s="43"/>
      <c r="BV495" s="43"/>
      <c r="CC495" s="43"/>
    </row>
    <row r="496" spans="2:81" ht="15.75" customHeight="1">
      <c r="B496" s="36"/>
      <c r="D496" s="36"/>
      <c r="F496" s="43"/>
      <c r="L496" s="43"/>
      <c r="Q496" s="43"/>
      <c r="V496" s="43"/>
      <c r="AD496" s="43"/>
      <c r="AG496" s="43"/>
      <c r="AL496" s="43"/>
      <c r="AQ496" s="43"/>
      <c r="AV496" s="43"/>
      <c r="BA496" s="43"/>
      <c r="BF496" s="43"/>
      <c r="BK496" s="43"/>
      <c r="BQ496" s="43"/>
      <c r="BV496" s="43"/>
      <c r="CC496" s="43"/>
    </row>
    <row r="497" spans="2:81" ht="15.75" customHeight="1">
      <c r="B497" s="36"/>
      <c r="D497" s="36"/>
      <c r="F497" s="43"/>
      <c r="L497" s="43"/>
      <c r="Q497" s="43"/>
      <c r="V497" s="43"/>
      <c r="AD497" s="43"/>
      <c r="AG497" s="43"/>
      <c r="AL497" s="43"/>
      <c r="AQ497" s="43"/>
      <c r="AV497" s="43"/>
      <c r="BA497" s="43"/>
      <c r="BF497" s="43"/>
      <c r="BK497" s="43"/>
      <c r="BQ497" s="43"/>
      <c r="BV497" s="43"/>
      <c r="CC497" s="43"/>
    </row>
    <row r="498" spans="2:81" ht="15.75" customHeight="1">
      <c r="B498" s="36"/>
      <c r="D498" s="36"/>
      <c r="F498" s="43"/>
      <c r="L498" s="43"/>
      <c r="Q498" s="43"/>
      <c r="V498" s="43"/>
      <c r="AD498" s="43"/>
      <c r="AG498" s="43"/>
      <c r="AL498" s="43"/>
      <c r="AQ498" s="43"/>
      <c r="AV498" s="43"/>
      <c r="BA498" s="43"/>
      <c r="BF498" s="43"/>
      <c r="BK498" s="43"/>
      <c r="BQ498" s="43"/>
      <c r="BV498" s="43"/>
      <c r="CC498" s="43"/>
    </row>
    <row r="499" spans="2:81" ht="15.75" customHeight="1">
      <c r="B499" s="36"/>
      <c r="D499" s="36"/>
      <c r="F499" s="43"/>
      <c r="L499" s="43"/>
      <c r="Q499" s="43"/>
      <c r="V499" s="43"/>
      <c r="AD499" s="43"/>
      <c r="AG499" s="43"/>
      <c r="AL499" s="43"/>
      <c r="AQ499" s="43"/>
      <c r="AV499" s="43"/>
      <c r="BA499" s="43"/>
      <c r="BF499" s="43"/>
      <c r="BK499" s="43"/>
      <c r="BQ499" s="43"/>
      <c r="BV499" s="43"/>
      <c r="CC499" s="43"/>
    </row>
    <row r="500" spans="2:81" ht="15.75" customHeight="1">
      <c r="B500" s="36"/>
      <c r="D500" s="36"/>
      <c r="F500" s="43"/>
      <c r="L500" s="43"/>
      <c r="Q500" s="43"/>
      <c r="V500" s="43"/>
      <c r="AD500" s="43"/>
      <c r="AG500" s="43"/>
      <c r="AL500" s="43"/>
      <c r="AQ500" s="43"/>
      <c r="AV500" s="43"/>
      <c r="BA500" s="43"/>
      <c r="BF500" s="43"/>
      <c r="BK500" s="43"/>
      <c r="BQ500" s="43"/>
      <c r="BV500" s="43"/>
      <c r="CC500" s="43"/>
    </row>
    <row r="501" spans="2:81" ht="15.75" customHeight="1">
      <c r="B501" s="36"/>
      <c r="D501" s="36"/>
      <c r="F501" s="43"/>
      <c r="L501" s="43"/>
      <c r="Q501" s="43"/>
      <c r="V501" s="43"/>
      <c r="AD501" s="43"/>
      <c r="AG501" s="43"/>
      <c r="AL501" s="43"/>
      <c r="AQ501" s="43"/>
      <c r="AV501" s="43"/>
      <c r="BA501" s="43"/>
      <c r="BF501" s="43"/>
      <c r="BK501" s="43"/>
      <c r="BQ501" s="43"/>
      <c r="BV501" s="43"/>
      <c r="CC501" s="43"/>
    </row>
    <row r="502" spans="2:81" ht="15.75" customHeight="1">
      <c r="B502" s="36"/>
      <c r="D502" s="36"/>
      <c r="F502" s="43"/>
      <c r="L502" s="43"/>
      <c r="Q502" s="43"/>
      <c r="V502" s="43"/>
      <c r="AD502" s="43"/>
      <c r="AG502" s="43"/>
      <c r="AL502" s="43"/>
      <c r="AQ502" s="43"/>
      <c r="AV502" s="43"/>
      <c r="BA502" s="43"/>
      <c r="BF502" s="43"/>
      <c r="BK502" s="43"/>
      <c r="BQ502" s="43"/>
      <c r="BV502" s="43"/>
      <c r="CC502" s="43"/>
    </row>
    <row r="503" spans="2:81" ht="15.75" customHeight="1">
      <c r="B503" s="36"/>
      <c r="D503" s="36"/>
      <c r="F503" s="43"/>
      <c r="L503" s="43"/>
      <c r="Q503" s="43"/>
      <c r="V503" s="43"/>
      <c r="AD503" s="43"/>
      <c r="AG503" s="43"/>
      <c r="AL503" s="43"/>
      <c r="AQ503" s="43"/>
      <c r="AV503" s="43"/>
      <c r="BA503" s="43"/>
      <c r="BF503" s="43"/>
      <c r="BK503" s="43"/>
      <c r="BQ503" s="43"/>
      <c r="BV503" s="43"/>
      <c r="CC503" s="43"/>
    </row>
    <row r="504" spans="2:81" ht="15.75" customHeight="1">
      <c r="B504" s="36"/>
      <c r="D504" s="36"/>
      <c r="F504" s="43"/>
      <c r="L504" s="43"/>
      <c r="Q504" s="43"/>
      <c r="V504" s="43"/>
      <c r="AD504" s="43"/>
      <c r="AG504" s="43"/>
      <c r="AL504" s="43"/>
      <c r="AQ504" s="43"/>
      <c r="AV504" s="43"/>
      <c r="BA504" s="43"/>
      <c r="BF504" s="43"/>
      <c r="BK504" s="43"/>
      <c r="BQ504" s="43"/>
      <c r="BV504" s="43"/>
      <c r="CC504" s="43"/>
    </row>
    <row r="505" spans="2:81" ht="15.75" customHeight="1">
      <c r="B505" s="36"/>
      <c r="D505" s="36"/>
      <c r="F505" s="43"/>
      <c r="L505" s="43"/>
      <c r="Q505" s="43"/>
      <c r="V505" s="43"/>
      <c r="AD505" s="43"/>
      <c r="AG505" s="43"/>
      <c r="AL505" s="43"/>
      <c r="AQ505" s="43"/>
      <c r="AV505" s="43"/>
      <c r="BA505" s="43"/>
      <c r="BF505" s="43"/>
      <c r="BK505" s="43"/>
      <c r="BQ505" s="43"/>
      <c r="BV505" s="43"/>
      <c r="CC505" s="43"/>
    </row>
    <row r="506" spans="2:81" ht="15.75" customHeight="1">
      <c r="B506" s="36"/>
      <c r="D506" s="36"/>
      <c r="F506" s="43"/>
      <c r="L506" s="43"/>
      <c r="Q506" s="43"/>
      <c r="V506" s="43"/>
      <c r="AD506" s="43"/>
      <c r="AG506" s="43"/>
      <c r="AL506" s="43"/>
      <c r="AQ506" s="43"/>
      <c r="AV506" s="43"/>
      <c r="BA506" s="43"/>
      <c r="BF506" s="43"/>
      <c r="BK506" s="43"/>
      <c r="BQ506" s="43"/>
      <c r="BV506" s="43"/>
      <c r="CC506" s="43"/>
    </row>
    <row r="507" spans="2:81" ht="15.75" customHeight="1">
      <c r="B507" s="36"/>
      <c r="D507" s="36"/>
      <c r="F507" s="43"/>
      <c r="L507" s="43"/>
      <c r="Q507" s="43"/>
      <c r="V507" s="43"/>
      <c r="AD507" s="43"/>
      <c r="AG507" s="43"/>
      <c r="AL507" s="43"/>
      <c r="AQ507" s="43"/>
      <c r="AV507" s="43"/>
      <c r="BA507" s="43"/>
      <c r="BF507" s="43"/>
      <c r="BK507" s="43"/>
      <c r="BQ507" s="43"/>
      <c r="BV507" s="43"/>
      <c r="CC507" s="43"/>
    </row>
    <row r="508" spans="2:81" ht="15.75" customHeight="1">
      <c r="B508" s="36"/>
      <c r="D508" s="36"/>
      <c r="F508" s="43"/>
      <c r="L508" s="43"/>
      <c r="Q508" s="43"/>
      <c r="V508" s="43"/>
      <c r="AD508" s="43"/>
      <c r="AG508" s="43"/>
      <c r="AL508" s="43"/>
      <c r="AQ508" s="43"/>
      <c r="AV508" s="43"/>
      <c r="BA508" s="43"/>
      <c r="BF508" s="43"/>
      <c r="BK508" s="43"/>
      <c r="BQ508" s="43"/>
      <c r="BV508" s="43"/>
      <c r="CC508" s="43"/>
    </row>
    <row r="509" spans="2:81" ht="15.75" customHeight="1">
      <c r="B509" s="36"/>
      <c r="D509" s="36"/>
      <c r="F509" s="43"/>
      <c r="L509" s="43"/>
      <c r="Q509" s="43"/>
      <c r="V509" s="43"/>
      <c r="AD509" s="43"/>
      <c r="AG509" s="43"/>
      <c r="AL509" s="43"/>
      <c r="AQ509" s="43"/>
      <c r="AV509" s="43"/>
      <c r="BA509" s="43"/>
      <c r="BF509" s="43"/>
      <c r="BK509" s="43"/>
      <c r="BQ509" s="43"/>
      <c r="BV509" s="43"/>
      <c r="CC509" s="43"/>
    </row>
    <row r="510" spans="2:81" ht="15.75" customHeight="1">
      <c r="B510" s="36"/>
      <c r="D510" s="36"/>
      <c r="F510" s="43"/>
      <c r="L510" s="43"/>
      <c r="Q510" s="43"/>
      <c r="V510" s="43"/>
      <c r="AD510" s="43"/>
      <c r="AG510" s="43"/>
      <c r="AL510" s="43"/>
      <c r="AQ510" s="43"/>
      <c r="AV510" s="43"/>
      <c r="BA510" s="43"/>
      <c r="BF510" s="43"/>
      <c r="BK510" s="43"/>
      <c r="BQ510" s="43"/>
      <c r="BV510" s="43"/>
      <c r="CC510" s="43"/>
    </row>
    <row r="511" spans="2:81" ht="15.75" customHeight="1">
      <c r="B511" s="36"/>
      <c r="D511" s="36"/>
      <c r="F511" s="43"/>
      <c r="L511" s="43"/>
      <c r="Q511" s="43"/>
      <c r="V511" s="43"/>
      <c r="AD511" s="43"/>
      <c r="AG511" s="43"/>
      <c r="AL511" s="43"/>
      <c r="AQ511" s="43"/>
      <c r="AV511" s="43"/>
      <c r="BA511" s="43"/>
      <c r="BF511" s="43"/>
      <c r="BK511" s="43"/>
      <c r="BQ511" s="43"/>
      <c r="BV511" s="43"/>
      <c r="CC511" s="43"/>
    </row>
    <row r="512" spans="2:81" ht="15.75" customHeight="1">
      <c r="B512" s="36"/>
      <c r="D512" s="36"/>
      <c r="F512" s="43"/>
      <c r="L512" s="43"/>
      <c r="Q512" s="43"/>
      <c r="V512" s="43"/>
      <c r="AD512" s="43"/>
      <c r="AG512" s="43"/>
      <c r="AL512" s="43"/>
      <c r="AQ512" s="43"/>
      <c r="AV512" s="43"/>
      <c r="BA512" s="43"/>
      <c r="BF512" s="43"/>
      <c r="BK512" s="43"/>
      <c r="BQ512" s="43"/>
      <c r="BV512" s="43"/>
      <c r="CC512" s="43"/>
    </row>
    <row r="513" spans="2:81" ht="15.75" customHeight="1">
      <c r="B513" s="36"/>
      <c r="D513" s="36"/>
      <c r="F513" s="43"/>
      <c r="L513" s="43"/>
      <c r="Q513" s="43"/>
      <c r="V513" s="43"/>
      <c r="AD513" s="43"/>
      <c r="AG513" s="43"/>
      <c r="AL513" s="43"/>
      <c r="AQ513" s="43"/>
      <c r="AV513" s="43"/>
      <c r="BA513" s="43"/>
      <c r="BF513" s="43"/>
      <c r="BK513" s="43"/>
      <c r="BQ513" s="43"/>
      <c r="BV513" s="43"/>
      <c r="CC513" s="43"/>
    </row>
    <row r="514" spans="2:81" ht="15.75" customHeight="1">
      <c r="B514" s="36"/>
      <c r="D514" s="36"/>
      <c r="F514" s="43"/>
      <c r="L514" s="43"/>
      <c r="Q514" s="43"/>
      <c r="V514" s="43"/>
      <c r="AD514" s="43"/>
      <c r="AG514" s="43"/>
      <c r="AL514" s="43"/>
      <c r="AQ514" s="43"/>
      <c r="AV514" s="43"/>
      <c r="BA514" s="43"/>
      <c r="BF514" s="43"/>
      <c r="BK514" s="43"/>
      <c r="BQ514" s="43"/>
      <c r="BV514" s="43"/>
      <c r="CC514" s="43"/>
    </row>
    <row r="515" spans="2:81" ht="15.75" customHeight="1">
      <c r="B515" s="36"/>
      <c r="D515" s="36"/>
      <c r="F515" s="43"/>
      <c r="L515" s="43"/>
      <c r="Q515" s="43"/>
      <c r="V515" s="43"/>
      <c r="AD515" s="43"/>
      <c r="AG515" s="43"/>
      <c r="AL515" s="43"/>
      <c r="AQ515" s="43"/>
      <c r="AV515" s="43"/>
      <c r="BA515" s="43"/>
      <c r="BF515" s="43"/>
      <c r="BK515" s="43"/>
      <c r="BQ515" s="43"/>
      <c r="BV515" s="43"/>
      <c r="CC515" s="43"/>
    </row>
    <row r="516" spans="2:81" ht="15.75" customHeight="1">
      <c r="B516" s="36"/>
      <c r="D516" s="36"/>
      <c r="F516" s="43"/>
      <c r="L516" s="43"/>
      <c r="Q516" s="43"/>
      <c r="V516" s="43"/>
      <c r="AD516" s="43"/>
      <c r="AG516" s="43"/>
      <c r="AL516" s="43"/>
      <c r="AQ516" s="43"/>
      <c r="AV516" s="43"/>
      <c r="BA516" s="43"/>
      <c r="BF516" s="43"/>
      <c r="BK516" s="43"/>
      <c r="BQ516" s="43"/>
      <c r="BV516" s="43"/>
      <c r="CC516" s="43"/>
    </row>
    <row r="517" spans="2:81" ht="15.75" customHeight="1">
      <c r="B517" s="36"/>
      <c r="D517" s="36"/>
      <c r="F517" s="43"/>
      <c r="L517" s="43"/>
      <c r="Q517" s="43"/>
      <c r="V517" s="43"/>
      <c r="AD517" s="43"/>
      <c r="AG517" s="43"/>
      <c r="AL517" s="43"/>
      <c r="AQ517" s="43"/>
      <c r="AV517" s="43"/>
      <c r="BA517" s="43"/>
      <c r="BF517" s="43"/>
      <c r="BK517" s="43"/>
      <c r="BQ517" s="43"/>
      <c r="BV517" s="43"/>
      <c r="CC517" s="43"/>
    </row>
    <row r="518" spans="2:81" ht="15.75" customHeight="1">
      <c r="B518" s="36"/>
      <c r="D518" s="36"/>
      <c r="F518" s="43"/>
      <c r="L518" s="43"/>
      <c r="Q518" s="43"/>
      <c r="V518" s="43"/>
      <c r="AD518" s="43"/>
      <c r="AG518" s="43"/>
      <c r="AL518" s="43"/>
      <c r="AQ518" s="43"/>
      <c r="AV518" s="43"/>
      <c r="BA518" s="43"/>
      <c r="BF518" s="43"/>
      <c r="BK518" s="43"/>
      <c r="BQ518" s="43"/>
      <c r="BV518" s="43"/>
      <c r="CC518" s="43"/>
    </row>
    <row r="519" spans="2:81" ht="15.75" customHeight="1">
      <c r="B519" s="36"/>
      <c r="D519" s="36"/>
      <c r="F519" s="43"/>
      <c r="L519" s="43"/>
      <c r="Q519" s="43"/>
      <c r="V519" s="43"/>
      <c r="AD519" s="43"/>
      <c r="AG519" s="43"/>
      <c r="AL519" s="43"/>
      <c r="AQ519" s="43"/>
      <c r="AV519" s="43"/>
      <c r="BA519" s="43"/>
      <c r="BF519" s="43"/>
      <c r="BK519" s="43"/>
      <c r="BQ519" s="43"/>
      <c r="BV519" s="43"/>
      <c r="CC519" s="43"/>
    </row>
    <row r="520" spans="2:81" ht="15.75" customHeight="1">
      <c r="B520" s="36"/>
      <c r="D520" s="36"/>
      <c r="F520" s="43"/>
      <c r="L520" s="43"/>
      <c r="Q520" s="43"/>
      <c r="V520" s="43"/>
      <c r="AD520" s="43"/>
      <c r="AG520" s="43"/>
      <c r="AL520" s="43"/>
      <c r="AQ520" s="43"/>
      <c r="AV520" s="43"/>
      <c r="BA520" s="43"/>
      <c r="BF520" s="43"/>
      <c r="BK520" s="43"/>
      <c r="BQ520" s="43"/>
      <c r="BV520" s="43"/>
      <c r="CC520" s="43"/>
    </row>
    <row r="521" spans="2:81" ht="15.75" customHeight="1">
      <c r="B521" s="36"/>
      <c r="D521" s="36"/>
      <c r="F521" s="43"/>
      <c r="L521" s="43"/>
      <c r="Q521" s="43"/>
      <c r="V521" s="43"/>
      <c r="AD521" s="43"/>
      <c r="AG521" s="43"/>
      <c r="AL521" s="43"/>
      <c r="AQ521" s="43"/>
      <c r="AV521" s="43"/>
      <c r="BA521" s="43"/>
      <c r="BF521" s="43"/>
      <c r="BK521" s="43"/>
      <c r="BQ521" s="43"/>
      <c r="BV521" s="43"/>
      <c r="CC521" s="43"/>
    </row>
    <row r="522" spans="2:81" ht="15.75" customHeight="1">
      <c r="B522" s="36"/>
      <c r="D522" s="36"/>
      <c r="F522" s="43"/>
      <c r="L522" s="43"/>
      <c r="Q522" s="43"/>
      <c r="V522" s="43"/>
      <c r="AD522" s="43"/>
      <c r="AG522" s="43"/>
      <c r="AL522" s="43"/>
      <c r="AQ522" s="43"/>
      <c r="AV522" s="43"/>
      <c r="BA522" s="43"/>
      <c r="BF522" s="43"/>
      <c r="BK522" s="43"/>
      <c r="BQ522" s="43"/>
      <c r="BV522" s="43"/>
      <c r="CC522" s="43"/>
    </row>
    <row r="523" spans="2:81" ht="15.75" customHeight="1">
      <c r="B523" s="36"/>
      <c r="D523" s="36"/>
      <c r="F523" s="43"/>
      <c r="L523" s="43"/>
      <c r="Q523" s="43"/>
      <c r="V523" s="43"/>
      <c r="AD523" s="43"/>
      <c r="AG523" s="43"/>
      <c r="AL523" s="43"/>
      <c r="AQ523" s="43"/>
      <c r="AV523" s="43"/>
      <c r="BA523" s="43"/>
      <c r="BF523" s="43"/>
      <c r="BK523" s="43"/>
      <c r="BQ523" s="43"/>
      <c r="BV523" s="43"/>
      <c r="CC523" s="43"/>
    </row>
    <row r="524" spans="2:81" ht="15.75" customHeight="1">
      <c r="B524" s="36"/>
      <c r="D524" s="36"/>
      <c r="F524" s="43"/>
      <c r="L524" s="43"/>
      <c r="Q524" s="43"/>
      <c r="V524" s="43"/>
      <c r="AD524" s="43"/>
      <c r="AG524" s="43"/>
      <c r="AL524" s="43"/>
      <c r="AQ524" s="43"/>
      <c r="AV524" s="43"/>
      <c r="BA524" s="43"/>
      <c r="BF524" s="43"/>
      <c r="BK524" s="43"/>
      <c r="BQ524" s="43"/>
      <c r="BV524" s="43"/>
      <c r="CC524" s="43"/>
    </row>
    <row r="525" spans="2:81" ht="15.75" customHeight="1">
      <c r="B525" s="36"/>
      <c r="D525" s="36"/>
      <c r="F525" s="43"/>
      <c r="L525" s="43"/>
      <c r="Q525" s="43"/>
      <c r="V525" s="43"/>
      <c r="AD525" s="43"/>
      <c r="AG525" s="43"/>
      <c r="AL525" s="43"/>
      <c r="AQ525" s="43"/>
      <c r="AV525" s="43"/>
      <c r="BA525" s="43"/>
      <c r="BF525" s="43"/>
      <c r="BK525" s="43"/>
      <c r="BQ525" s="43"/>
      <c r="BV525" s="43"/>
      <c r="CC525" s="43"/>
    </row>
    <row r="526" spans="2:81" ht="15.75" customHeight="1">
      <c r="B526" s="36"/>
      <c r="D526" s="36"/>
      <c r="F526" s="43"/>
      <c r="L526" s="43"/>
      <c r="Q526" s="43"/>
      <c r="V526" s="43"/>
      <c r="AD526" s="43"/>
      <c r="AG526" s="43"/>
      <c r="AL526" s="43"/>
      <c r="AQ526" s="43"/>
      <c r="AV526" s="43"/>
      <c r="BA526" s="43"/>
      <c r="BF526" s="43"/>
      <c r="BK526" s="43"/>
      <c r="BQ526" s="43"/>
      <c r="BV526" s="43"/>
      <c r="CC526" s="43"/>
    </row>
    <row r="527" spans="2:81" ht="15.75" customHeight="1">
      <c r="B527" s="36"/>
      <c r="D527" s="36"/>
      <c r="F527" s="43"/>
      <c r="L527" s="43"/>
      <c r="Q527" s="43"/>
      <c r="V527" s="43"/>
      <c r="AD527" s="43"/>
      <c r="AG527" s="43"/>
      <c r="AL527" s="43"/>
      <c r="AQ527" s="43"/>
      <c r="AV527" s="43"/>
      <c r="BA527" s="43"/>
      <c r="BF527" s="43"/>
      <c r="BK527" s="43"/>
      <c r="BQ527" s="43"/>
      <c r="BV527" s="43"/>
      <c r="CC527" s="43"/>
    </row>
    <row r="528" spans="2:81" ht="15.75" customHeight="1">
      <c r="B528" s="36"/>
      <c r="D528" s="36"/>
      <c r="F528" s="43"/>
      <c r="L528" s="43"/>
      <c r="Q528" s="43"/>
      <c r="V528" s="43"/>
      <c r="AD528" s="43"/>
      <c r="AG528" s="43"/>
      <c r="AL528" s="43"/>
      <c r="AQ528" s="43"/>
      <c r="AV528" s="43"/>
      <c r="BA528" s="43"/>
      <c r="BF528" s="43"/>
      <c r="BK528" s="43"/>
      <c r="BQ528" s="43"/>
      <c r="BV528" s="43"/>
      <c r="CC528" s="43"/>
    </row>
    <row r="529" spans="2:81" ht="15.75" customHeight="1">
      <c r="B529" s="36"/>
      <c r="D529" s="36"/>
      <c r="F529" s="43"/>
      <c r="L529" s="43"/>
      <c r="Q529" s="43"/>
      <c r="V529" s="43"/>
      <c r="AD529" s="43"/>
      <c r="AG529" s="43"/>
      <c r="AL529" s="43"/>
      <c r="AQ529" s="43"/>
      <c r="AV529" s="43"/>
      <c r="BA529" s="43"/>
      <c r="BF529" s="43"/>
      <c r="BK529" s="43"/>
      <c r="BQ529" s="43"/>
      <c r="BV529" s="43"/>
      <c r="CC529" s="43"/>
    </row>
    <row r="530" spans="2:81" ht="15.75" customHeight="1">
      <c r="B530" s="36"/>
      <c r="D530" s="36"/>
      <c r="F530" s="43"/>
      <c r="L530" s="43"/>
      <c r="Q530" s="43"/>
      <c r="V530" s="43"/>
      <c r="AD530" s="43"/>
      <c r="AG530" s="43"/>
      <c r="AL530" s="43"/>
      <c r="AQ530" s="43"/>
      <c r="AV530" s="43"/>
      <c r="BA530" s="43"/>
      <c r="BF530" s="43"/>
      <c r="BK530" s="43"/>
      <c r="BQ530" s="43"/>
      <c r="BV530" s="43"/>
      <c r="CC530" s="43"/>
    </row>
    <row r="531" spans="2:81" ht="15.75" customHeight="1">
      <c r="B531" s="36"/>
      <c r="D531" s="36"/>
      <c r="F531" s="43"/>
      <c r="L531" s="43"/>
      <c r="Q531" s="43"/>
      <c r="V531" s="43"/>
      <c r="AD531" s="43"/>
      <c r="AG531" s="43"/>
      <c r="AL531" s="43"/>
      <c r="AQ531" s="43"/>
      <c r="AV531" s="43"/>
      <c r="BA531" s="43"/>
      <c r="BF531" s="43"/>
      <c r="BK531" s="43"/>
      <c r="BQ531" s="43"/>
      <c r="BV531" s="43"/>
      <c r="CC531" s="43"/>
    </row>
    <row r="532" spans="2:81" ht="15.75" customHeight="1">
      <c r="B532" s="36"/>
      <c r="D532" s="36"/>
      <c r="F532" s="43"/>
      <c r="L532" s="43"/>
      <c r="Q532" s="43"/>
      <c r="V532" s="43"/>
      <c r="AD532" s="43"/>
      <c r="AG532" s="43"/>
      <c r="AL532" s="43"/>
      <c r="AQ532" s="43"/>
      <c r="AV532" s="43"/>
      <c r="BA532" s="43"/>
      <c r="BF532" s="43"/>
      <c r="BK532" s="43"/>
      <c r="BQ532" s="43"/>
      <c r="BV532" s="43"/>
      <c r="CC532" s="43"/>
    </row>
    <row r="533" spans="2:81" ht="15.75" customHeight="1">
      <c r="B533" s="36"/>
      <c r="D533" s="36"/>
      <c r="F533" s="43"/>
      <c r="L533" s="43"/>
      <c r="Q533" s="43"/>
      <c r="V533" s="43"/>
      <c r="AD533" s="43"/>
      <c r="AG533" s="43"/>
      <c r="AL533" s="43"/>
      <c r="AQ533" s="43"/>
      <c r="AV533" s="43"/>
      <c r="BA533" s="43"/>
      <c r="BF533" s="43"/>
      <c r="BK533" s="43"/>
      <c r="BQ533" s="43"/>
      <c r="BV533" s="43"/>
      <c r="CC533" s="43"/>
    </row>
    <row r="534" spans="2:81" ht="15.75" customHeight="1">
      <c r="B534" s="36"/>
      <c r="D534" s="36"/>
      <c r="F534" s="43"/>
      <c r="L534" s="43"/>
      <c r="Q534" s="43"/>
      <c r="V534" s="43"/>
      <c r="AD534" s="43"/>
      <c r="AG534" s="43"/>
      <c r="AL534" s="43"/>
      <c r="AQ534" s="43"/>
      <c r="AV534" s="43"/>
      <c r="BA534" s="43"/>
      <c r="BF534" s="43"/>
      <c r="BK534" s="43"/>
      <c r="BQ534" s="43"/>
      <c r="BV534" s="43"/>
      <c r="CC534" s="43"/>
    </row>
    <row r="535" spans="2:81" ht="15.75" customHeight="1">
      <c r="B535" s="36"/>
      <c r="D535" s="36"/>
      <c r="F535" s="43"/>
      <c r="L535" s="43"/>
      <c r="Q535" s="43"/>
      <c r="V535" s="43"/>
      <c r="AD535" s="43"/>
      <c r="AG535" s="43"/>
      <c r="AL535" s="43"/>
      <c r="AQ535" s="43"/>
      <c r="AV535" s="43"/>
      <c r="BA535" s="43"/>
      <c r="BF535" s="43"/>
      <c r="BK535" s="43"/>
      <c r="BQ535" s="43"/>
      <c r="BV535" s="43"/>
      <c r="CC535" s="43"/>
    </row>
    <row r="536" spans="2:81" ht="15.75" customHeight="1">
      <c r="B536" s="36"/>
      <c r="D536" s="36"/>
      <c r="F536" s="43"/>
      <c r="L536" s="43"/>
      <c r="Q536" s="43"/>
      <c r="V536" s="43"/>
      <c r="AD536" s="43"/>
      <c r="AG536" s="43"/>
      <c r="AL536" s="43"/>
      <c r="AQ536" s="43"/>
      <c r="AV536" s="43"/>
      <c r="BA536" s="43"/>
      <c r="BF536" s="43"/>
      <c r="BK536" s="43"/>
      <c r="BQ536" s="43"/>
      <c r="BV536" s="43"/>
      <c r="CC536" s="43"/>
    </row>
    <row r="537" spans="2:81" ht="15.75" customHeight="1">
      <c r="B537" s="36"/>
      <c r="D537" s="36"/>
      <c r="F537" s="43"/>
      <c r="L537" s="43"/>
      <c r="Q537" s="43"/>
      <c r="V537" s="43"/>
      <c r="AD537" s="43"/>
      <c r="AG537" s="43"/>
      <c r="AL537" s="43"/>
      <c r="AQ537" s="43"/>
      <c r="AV537" s="43"/>
      <c r="BA537" s="43"/>
      <c r="BF537" s="43"/>
      <c r="BK537" s="43"/>
      <c r="BQ537" s="43"/>
      <c r="BV537" s="43"/>
      <c r="CC537" s="43"/>
    </row>
    <row r="538" spans="2:81" ht="15.75" customHeight="1">
      <c r="B538" s="36"/>
      <c r="D538" s="36"/>
      <c r="F538" s="43"/>
      <c r="L538" s="43"/>
      <c r="Q538" s="43"/>
      <c r="V538" s="43"/>
      <c r="AD538" s="43"/>
      <c r="AG538" s="43"/>
      <c r="AL538" s="43"/>
      <c r="AQ538" s="43"/>
      <c r="AV538" s="43"/>
      <c r="BA538" s="43"/>
      <c r="BF538" s="43"/>
      <c r="BK538" s="43"/>
      <c r="BQ538" s="43"/>
      <c r="BV538" s="43"/>
      <c r="CC538" s="43"/>
    </row>
    <row r="539" spans="2:81" ht="15.75" customHeight="1">
      <c r="B539" s="36"/>
      <c r="D539" s="36"/>
      <c r="F539" s="43"/>
      <c r="L539" s="43"/>
      <c r="Q539" s="43"/>
      <c r="V539" s="43"/>
      <c r="AD539" s="43"/>
      <c r="AG539" s="43"/>
      <c r="AL539" s="43"/>
      <c r="AQ539" s="43"/>
      <c r="AV539" s="43"/>
      <c r="BA539" s="43"/>
      <c r="BF539" s="43"/>
      <c r="BK539" s="43"/>
      <c r="BQ539" s="43"/>
      <c r="BV539" s="43"/>
      <c r="CC539" s="43"/>
    </row>
    <row r="540" spans="2:81" ht="15.75" customHeight="1">
      <c r="B540" s="36"/>
      <c r="D540" s="36"/>
      <c r="F540" s="43"/>
      <c r="L540" s="43"/>
      <c r="Q540" s="43"/>
      <c r="V540" s="43"/>
      <c r="AD540" s="43"/>
      <c r="AG540" s="43"/>
      <c r="AL540" s="43"/>
      <c r="AQ540" s="43"/>
      <c r="AV540" s="43"/>
      <c r="BA540" s="43"/>
      <c r="BF540" s="43"/>
      <c r="BK540" s="43"/>
      <c r="BQ540" s="43"/>
      <c r="BV540" s="43"/>
      <c r="CC540" s="43"/>
    </row>
    <row r="541" spans="2:81" ht="15.75" customHeight="1">
      <c r="B541" s="36"/>
      <c r="D541" s="36"/>
      <c r="F541" s="43"/>
      <c r="L541" s="43"/>
      <c r="Q541" s="43"/>
      <c r="V541" s="43"/>
      <c r="AD541" s="43"/>
      <c r="AG541" s="43"/>
      <c r="AL541" s="43"/>
      <c r="AQ541" s="43"/>
      <c r="AV541" s="43"/>
      <c r="BA541" s="43"/>
      <c r="BF541" s="43"/>
      <c r="BK541" s="43"/>
      <c r="BQ541" s="43"/>
      <c r="BV541" s="43"/>
      <c r="CC541" s="43"/>
    </row>
    <row r="542" spans="2:81" ht="15.75" customHeight="1">
      <c r="B542" s="36"/>
      <c r="D542" s="36"/>
      <c r="F542" s="43"/>
      <c r="L542" s="43"/>
      <c r="Q542" s="43"/>
      <c r="V542" s="43"/>
      <c r="AD542" s="43"/>
      <c r="AG542" s="43"/>
      <c r="AL542" s="43"/>
      <c r="AQ542" s="43"/>
      <c r="AV542" s="43"/>
      <c r="BA542" s="43"/>
      <c r="BF542" s="43"/>
      <c r="BK542" s="43"/>
      <c r="BQ542" s="43"/>
      <c r="BV542" s="43"/>
      <c r="CC542" s="43"/>
    </row>
    <row r="543" spans="2:81" ht="15.75" customHeight="1">
      <c r="B543" s="36"/>
      <c r="D543" s="36"/>
      <c r="F543" s="43"/>
      <c r="L543" s="43"/>
      <c r="Q543" s="43"/>
      <c r="V543" s="43"/>
      <c r="AD543" s="43"/>
      <c r="AG543" s="43"/>
      <c r="AL543" s="43"/>
      <c r="AQ543" s="43"/>
      <c r="AV543" s="43"/>
      <c r="BA543" s="43"/>
      <c r="BF543" s="43"/>
      <c r="BK543" s="43"/>
      <c r="BQ543" s="43"/>
      <c r="BV543" s="43"/>
      <c r="CC543" s="43"/>
    </row>
    <row r="544" spans="2:81" ht="15.75" customHeight="1">
      <c r="B544" s="36"/>
      <c r="D544" s="36"/>
      <c r="F544" s="43"/>
      <c r="L544" s="43"/>
      <c r="Q544" s="43"/>
      <c r="V544" s="43"/>
      <c r="AD544" s="43"/>
      <c r="AG544" s="43"/>
      <c r="AL544" s="43"/>
      <c r="AQ544" s="43"/>
      <c r="AV544" s="43"/>
      <c r="BA544" s="43"/>
      <c r="BF544" s="43"/>
      <c r="BK544" s="43"/>
      <c r="BQ544" s="43"/>
      <c r="BV544" s="43"/>
      <c r="CC544" s="43"/>
    </row>
    <row r="545" spans="2:81" ht="15.75" customHeight="1">
      <c r="B545" s="36"/>
      <c r="D545" s="36"/>
      <c r="F545" s="43"/>
      <c r="L545" s="43"/>
      <c r="Q545" s="43"/>
      <c r="V545" s="43"/>
      <c r="AD545" s="43"/>
      <c r="AG545" s="43"/>
      <c r="AL545" s="43"/>
      <c r="AQ545" s="43"/>
      <c r="AV545" s="43"/>
      <c r="BA545" s="43"/>
      <c r="BF545" s="43"/>
      <c r="BK545" s="43"/>
      <c r="BQ545" s="43"/>
      <c r="BV545" s="43"/>
      <c r="CC545" s="43"/>
    </row>
    <row r="546" spans="2:81" ht="15.75" customHeight="1">
      <c r="B546" s="36"/>
      <c r="D546" s="36"/>
      <c r="F546" s="43"/>
      <c r="L546" s="43"/>
      <c r="Q546" s="43"/>
      <c r="V546" s="43"/>
      <c r="AD546" s="43"/>
      <c r="AG546" s="43"/>
      <c r="AL546" s="43"/>
      <c r="AQ546" s="43"/>
      <c r="AV546" s="43"/>
      <c r="BA546" s="43"/>
      <c r="BF546" s="43"/>
      <c r="BK546" s="43"/>
      <c r="BQ546" s="43"/>
      <c r="BV546" s="43"/>
      <c r="CC546" s="43"/>
    </row>
    <row r="547" spans="2:81" ht="15.75" customHeight="1">
      <c r="B547" s="36"/>
      <c r="D547" s="36"/>
      <c r="F547" s="43"/>
      <c r="L547" s="43"/>
      <c r="Q547" s="43"/>
      <c r="V547" s="43"/>
      <c r="AD547" s="43"/>
      <c r="AG547" s="43"/>
      <c r="AL547" s="43"/>
      <c r="AQ547" s="43"/>
      <c r="AV547" s="43"/>
      <c r="BA547" s="43"/>
      <c r="BF547" s="43"/>
      <c r="BK547" s="43"/>
      <c r="BQ547" s="43"/>
      <c r="BV547" s="43"/>
      <c r="CC547" s="43"/>
    </row>
    <row r="548" spans="2:81" ht="15.75" customHeight="1">
      <c r="B548" s="36"/>
      <c r="D548" s="36"/>
      <c r="F548" s="43"/>
      <c r="L548" s="43"/>
      <c r="Q548" s="43"/>
      <c r="V548" s="43"/>
      <c r="AD548" s="43"/>
      <c r="AG548" s="43"/>
      <c r="AL548" s="43"/>
      <c r="AQ548" s="43"/>
      <c r="AV548" s="43"/>
      <c r="BA548" s="43"/>
      <c r="BF548" s="43"/>
      <c r="BK548" s="43"/>
      <c r="BQ548" s="43"/>
      <c r="BV548" s="43"/>
      <c r="CC548" s="43"/>
    </row>
    <row r="549" spans="2:81" ht="15.75" customHeight="1">
      <c r="B549" s="36"/>
      <c r="D549" s="36"/>
      <c r="F549" s="43"/>
      <c r="L549" s="43"/>
      <c r="Q549" s="43"/>
      <c r="V549" s="43"/>
      <c r="AD549" s="43"/>
      <c r="AG549" s="43"/>
      <c r="AL549" s="43"/>
      <c r="AQ549" s="43"/>
      <c r="AV549" s="43"/>
      <c r="BA549" s="43"/>
      <c r="BF549" s="43"/>
      <c r="BK549" s="43"/>
      <c r="BQ549" s="43"/>
      <c r="BV549" s="43"/>
      <c r="CC549" s="43"/>
    </row>
    <row r="550" spans="2:81" ht="15.75" customHeight="1">
      <c r="B550" s="36"/>
      <c r="D550" s="36"/>
      <c r="F550" s="43"/>
      <c r="L550" s="43"/>
      <c r="Q550" s="43"/>
      <c r="V550" s="43"/>
      <c r="AD550" s="43"/>
      <c r="AG550" s="43"/>
      <c r="AL550" s="43"/>
      <c r="AQ550" s="43"/>
      <c r="AV550" s="43"/>
      <c r="BA550" s="43"/>
      <c r="BF550" s="43"/>
      <c r="BK550" s="43"/>
      <c r="BQ550" s="43"/>
      <c r="BV550" s="43"/>
      <c r="CC550" s="43"/>
    </row>
    <row r="551" spans="2:81" ht="15.75" customHeight="1">
      <c r="B551" s="36"/>
      <c r="D551" s="36"/>
      <c r="F551" s="43"/>
      <c r="L551" s="43"/>
      <c r="Q551" s="43"/>
      <c r="V551" s="43"/>
      <c r="AD551" s="43"/>
      <c r="AG551" s="43"/>
      <c r="AL551" s="43"/>
      <c r="AQ551" s="43"/>
      <c r="AV551" s="43"/>
      <c r="BA551" s="43"/>
      <c r="BF551" s="43"/>
      <c r="BK551" s="43"/>
      <c r="BQ551" s="43"/>
      <c r="BV551" s="43"/>
      <c r="CC551" s="43"/>
    </row>
    <row r="552" spans="2:81" ht="15.75" customHeight="1">
      <c r="B552" s="36"/>
      <c r="D552" s="36"/>
      <c r="F552" s="43"/>
      <c r="L552" s="43"/>
      <c r="Q552" s="43"/>
      <c r="V552" s="43"/>
      <c r="AD552" s="43"/>
      <c r="AG552" s="43"/>
      <c r="AL552" s="43"/>
      <c r="AQ552" s="43"/>
      <c r="AV552" s="43"/>
      <c r="BA552" s="43"/>
      <c r="BF552" s="43"/>
      <c r="BK552" s="43"/>
      <c r="BQ552" s="43"/>
      <c r="BV552" s="43"/>
      <c r="CC552" s="43"/>
    </row>
    <row r="553" spans="2:81" ht="15.75" customHeight="1">
      <c r="B553" s="36"/>
      <c r="D553" s="36"/>
      <c r="F553" s="43"/>
      <c r="L553" s="43"/>
      <c r="Q553" s="43"/>
      <c r="V553" s="43"/>
      <c r="AD553" s="43"/>
      <c r="AG553" s="43"/>
      <c r="AL553" s="43"/>
      <c r="AQ553" s="43"/>
      <c r="AV553" s="43"/>
      <c r="BA553" s="43"/>
      <c r="BF553" s="43"/>
      <c r="BK553" s="43"/>
      <c r="BQ553" s="43"/>
      <c r="BV553" s="43"/>
      <c r="CC553" s="43"/>
    </row>
    <row r="554" spans="2:81" ht="15.75" customHeight="1">
      <c r="B554" s="36"/>
      <c r="D554" s="36"/>
      <c r="F554" s="43"/>
      <c r="L554" s="43"/>
      <c r="Q554" s="43"/>
      <c r="V554" s="43"/>
      <c r="AD554" s="43"/>
      <c r="AG554" s="43"/>
      <c r="AL554" s="43"/>
      <c r="AQ554" s="43"/>
      <c r="AV554" s="43"/>
      <c r="BA554" s="43"/>
      <c r="BF554" s="43"/>
      <c r="BK554" s="43"/>
      <c r="BQ554" s="43"/>
      <c r="BV554" s="43"/>
      <c r="CC554" s="43"/>
    </row>
    <row r="555" spans="2:81" ht="15.75" customHeight="1">
      <c r="B555" s="36"/>
      <c r="D555" s="36"/>
      <c r="F555" s="43"/>
      <c r="L555" s="43"/>
      <c r="Q555" s="43"/>
      <c r="V555" s="43"/>
      <c r="AD555" s="43"/>
      <c r="AG555" s="43"/>
      <c r="AL555" s="43"/>
      <c r="AQ555" s="43"/>
      <c r="AV555" s="43"/>
      <c r="BA555" s="43"/>
      <c r="BF555" s="43"/>
      <c r="BK555" s="43"/>
      <c r="BQ555" s="43"/>
      <c r="BV555" s="43"/>
      <c r="CC555" s="43"/>
    </row>
    <row r="556" spans="2:81" ht="15.75" customHeight="1">
      <c r="B556" s="36"/>
      <c r="D556" s="36"/>
      <c r="F556" s="43"/>
      <c r="L556" s="43"/>
      <c r="Q556" s="43"/>
      <c r="V556" s="43"/>
      <c r="AD556" s="43"/>
      <c r="AG556" s="43"/>
      <c r="AL556" s="43"/>
      <c r="AQ556" s="43"/>
      <c r="AV556" s="43"/>
      <c r="BA556" s="43"/>
      <c r="BF556" s="43"/>
      <c r="BK556" s="43"/>
      <c r="BQ556" s="43"/>
      <c r="BV556" s="43"/>
      <c r="CC556" s="43"/>
    </row>
    <row r="557" spans="2:81" ht="15.75" customHeight="1">
      <c r="B557" s="36"/>
      <c r="D557" s="36"/>
      <c r="F557" s="43"/>
      <c r="L557" s="43"/>
      <c r="Q557" s="43"/>
      <c r="V557" s="43"/>
      <c r="AD557" s="43"/>
      <c r="AG557" s="43"/>
      <c r="AL557" s="43"/>
      <c r="AQ557" s="43"/>
      <c r="AV557" s="43"/>
      <c r="BA557" s="43"/>
      <c r="BF557" s="43"/>
      <c r="BK557" s="43"/>
      <c r="BQ557" s="43"/>
      <c r="BV557" s="43"/>
      <c r="CC557" s="43"/>
    </row>
    <row r="558" spans="2:81" ht="15.75" customHeight="1">
      <c r="B558" s="36"/>
      <c r="D558" s="36"/>
      <c r="F558" s="43"/>
      <c r="L558" s="43"/>
      <c r="Q558" s="43"/>
      <c r="V558" s="43"/>
      <c r="AD558" s="43"/>
      <c r="AG558" s="43"/>
      <c r="AL558" s="43"/>
      <c r="AQ558" s="43"/>
      <c r="AV558" s="43"/>
      <c r="BA558" s="43"/>
      <c r="BF558" s="43"/>
      <c r="BK558" s="43"/>
      <c r="BQ558" s="43"/>
      <c r="BV558" s="43"/>
      <c r="CC558" s="43"/>
    </row>
    <row r="559" spans="2:81" ht="15.75" customHeight="1">
      <c r="B559" s="36"/>
      <c r="D559" s="36"/>
      <c r="F559" s="43"/>
      <c r="L559" s="43"/>
      <c r="Q559" s="43"/>
      <c r="V559" s="43"/>
      <c r="AD559" s="43"/>
      <c r="AG559" s="43"/>
      <c r="AL559" s="43"/>
      <c r="AQ559" s="43"/>
      <c r="AV559" s="43"/>
      <c r="BA559" s="43"/>
      <c r="BF559" s="43"/>
      <c r="BK559" s="43"/>
      <c r="BQ559" s="43"/>
      <c r="BV559" s="43"/>
      <c r="CC559" s="43"/>
    </row>
    <row r="560" spans="2:81" ht="15.75" customHeight="1">
      <c r="B560" s="36"/>
      <c r="D560" s="36"/>
      <c r="F560" s="43"/>
      <c r="L560" s="43"/>
      <c r="Q560" s="43"/>
      <c r="V560" s="43"/>
      <c r="AD560" s="43"/>
      <c r="AG560" s="43"/>
      <c r="AL560" s="43"/>
      <c r="AQ560" s="43"/>
      <c r="AV560" s="43"/>
      <c r="BA560" s="43"/>
      <c r="BF560" s="43"/>
      <c r="BK560" s="43"/>
      <c r="BQ560" s="43"/>
      <c r="BV560" s="43"/>
      <c r="CC560" s="43"/>
    </row>
    <row r="561" spans="2:81" ht="15.75" customHeight="1">
      <c r="B561" s="36"/>
      <c r="D561" s="36"/>
      <c r="F561" s="43"/>
      <c r="L561" s="43"/>
      <c r="Q561" s="43"/>
      <c r="V561" s="43"/>
      <c r="AD561" s="43"/>
      <c r="AG561" s="43"/>
      <c r="AL561" s="43"/>
      <c r="AQ561" s="43"/>
      <c r="AV561" s="43"/>
      <c r="BA561" s="43"/>
      <c r="BF561" s="43"/>
      <c r="BK561" s="43"/>
      <c r="BQ561" s="43"/>
      <c r="BV561" s="43"/>
      <c r="CC561" s="43"/>
    </row>
    <row r="562" spans="2:81" ht="15.75" customHeight="1">
      <c r="B562" s="36"/>
      <c r="D562" s="36"/>
      <c r="F562" s="43"/>
      <c r="L562" s="43"/>
      <c r="Q562" s="43"/>
      <c r="V562" s="43"/>
      <c r="AD562" s="43"/>
      <c r="AG562" s="43"/>
      <c r="AL562" s="43"/>
      <c r="AQ562" s="43"/>
      <c r="AV562" s="43"/>
      <c r="BA562" s="43"/>
      <c r="BF562" s="43"/>
      <c r="BK562" s="43"/>
      <c r="BQ562" s="43"/>
      <c r="BV562" s="43"/>
      <c r="CC562" s="43"/>
    </row>
    <row r="563" spans="2:81" ht="15.75" customHeight="1">
      <c r="B563" s="36"/>
      <c r="D563" s="36"/>
      <c r="F563" s="43"/>
      <c r="L563" s="43"/>
      <c r="Q563" s="43"/>
      <c r="V563" s="43"/>
      <c r="AD563" s="43"/>
      <c r="AG563" s="43"/>
      <c r="AL563" s="43"/>
      <c r="AQ563" s="43"/>
      <c r="AV563" s="43"/>
      <c r="BA563" s="43"/>
      <c r="BF563" s="43"/>
      <c r="BK563" s="43"/>
      <c r="BQ563" s="43"/>
      <c r="BV563" s="43"/>
      <c r="CC563" s="43"/>
    </row>
    <row r="564" spans="2:81" ht="15.75" customHeight="1">
      <c r="B564" s="36"/>
      <c r="D564" s="36"/>
      <c r="F564" s="43"/>
      <c r="L564" s="43"/>
      <c r="Q564" s="43"/>
      <c r="V564" s="43"/>
      <c r="AD564" s="43"/>
      <c r="AG564" s="43"/>
      <c r="AL564" s="43"/>
      <c r="AQ564" s="43"/>
      <c r="AV564" s="43"/>
      <c r="BA564" s="43"/>
      <c r="BF564" s="43"/>
      <c r="BK564" s="43"/>
      <c r="BQ564" s="43"/>
      <c r="BV564" s="43"/>
      <c r="CC564" s="43"/>
    </row>
    <row r="565" spans="2:81" ht="15.75" customHeight="1">
      <c r="B565" s="36"/>
      <c r="D565" s="36"/>
      <c r="F565" s="43"/>
      <c r="L565" s="43"/>
      <c r="Q565" s="43"/>
      <c r="V565" s="43"/>
      <c r="AD565" s="43"/>
      <c r="AG565" s="43"/>
      <c r="AL565" s="43"/>
      <c r="AQ565" s="43"/>
      <c r="AV565" s="43"/>
      <c r="BA565" s="43"/>
      <c r="BF565" s="43"/>
      <c r="BK565" s="43"/>
      <c r="BQ565" s="43"/>
      <c r="BV565" s="43"/>
      <c r="CC565" s="43"/>
    </row>
    <row r="566" spans="2:81" ht="15.75" customHeight="1">
      <c r="B566" s="36"/>
      <c r="D566" s="36"/>
      <c r="F566" s="43"/>
      <c r="L566" s="43"/>
      <c r="Q566" s="43"/>
      <c r="V566" s="43"/>
      <c r="AD566" s="43"/>
      <c r="AG566" s="43"/>
      <c r="AL566" s="43"/>
      <c r="AQ566" s="43"/>
      <c r="AV566" s="43"/>
      <c r="BA566" s="43"/>
      <c r="BF566" s="43"/>
      <c r="BK566" s="43"/>
      <c r="BQ566" s="43"/>
      <c r="BV566" s="43"/>
      <c r="CC566" s="43"/>
    </row>
    <row r="567" spans="2:81" ht="15.75" customHeight="1">
      <c r="B567" s="36"/>
      <c r="D567" s="36"/>
      <c r="F567" s="43"/>
      <c r="L567" s="43"/>
      <c r="Q567" s="43"/>
      <c r="V567" s="43"/>
      <c r="AD567" s="43"/>
      <c r="AG567" s="43"/>
      <c r="AL567" s="43"/>
      <c r="AQ567" s="43"/>
      <c r="AV567" s="43"/>
      <c r="BA567" s="43"/>
      <c r="BF567" s="43"/>
      <c r="BK567" s="43"/>
      <c r="BQ567" s="43"/>
      <c r="BV567" s="43"/>
      <c r="CC567" s="43"/>
    </row>
    <row r="568" spans="2:81" ht="15.75" customHeight="1">
      <c r="B568" s="36"/>
      <c r="D568" s="36"/>
      <c r="F568" s="43"/>
      <c r="L568" s="43"/>
      <c r="Q568" s="43"/>
      <c r="V568" s="43"/>
      <c r="AD568" s="43"/>
      <c r="AG568" s="43"/>
      <c r="AL568" s="43"/>
      <c r="AQ568" s="43"/>
      <c r="AV568" s="43"/>
      <c r="BA568" s="43"/>
      <c r="BF568" s="43"/>
      <c r="BK568" s="43"/>
      <c r="BQ568" s="43"/>
      <c r="BV568" s="43"/>
      <c r="CC568" s="43"/>
    </row>
    <row r="569" spans="2:81" ht="15.75" customHeight="1">
      <c r="B569" s="36"/>
      <c r="D569" s="36"/>
      <c r="F569" s="43"/>
      <c r="L569" s="43"/>
      <c r="Q569" s="43"/>
      <c r="V569" s="43"/>
      <c r="AD569" s="43"/>
      <c r="AG569" s="43"/>
      <c r="AL569" s="43"/>
      <c r="AQ569" s="43"/>
      <c r="AV569" s="43"/>
      <c r="BA569" s="43"/>
      <c r="BF569" s="43"/>
      <c r="BK569" s="43"/>
      <c r="BQ569" s="43"/>
      <c r="BV569" s="43"/>
      <c r="CC569" s="43"/>
    </row>
    <row r="570" spans="2:81" ht="15.75" customHeight="1">
      <c r="B570" s="36"/>
      <c r="D570" s="36"/>
      <c r="F570" s="43"/>
      <c r="L570" s="43"/>
      <c r="Q570" s="43"/>
      <c r="V570" s="43"/>
      <c r="AD570" s="43"/>
      <c r="AG570" s="43"/>
      <c r="AL570" s="43"/>
      <c r="AQ570" s="43"/>
      <c r="AV570" s="43"/>
      <c r="BA570" s="43"/>
      <c r="BF570" s="43"/>
      <c r="BK570" s="43"/>
      <c r="BQ570" s="43"/>
      <c r="BV570" s="43"/>
      <c r="CC570" s="43"/>
    </row>
    <row r="571" spans="2:81" ht="15.75" customHeight="1">
      <c r="B571" s="36"/>
      <c r="D571" s="36"/>
      <c r="F571" s="43"/>
      <c r="L571" s="43"/>
      <c r="Q571" s="43"/>
      <c r="V571" s="43"/>
      <c r="AD571" s="43"/>
      <c r="AG571" s="43"/>
      <c r="AL571" s="43"/>
      <c r="AQ571" s="43"/>
      <c r="AV571" s="43"/>
      <c r="BA571" s="43"/>
      <c r="BF571" s="43"/>
      <c r="BK571" s="43"/>
      <c r="BQ571" s="43"/>
      <c r="BV571" s="43"/>
      <c r="CC571" s="43"/>
    </row>
    <row r="572" spans="2:81" ht="15.75" customHeight="1">
      <c r="B572" s="36"/>
      <c r="D572" s="36"/>
      <c r="F572" s="43"/>
      <c r="L572" s="43"/>
      <c r="Q572" s="43"/>
      <c r="V572" s="43"/>
      <c r="AD572" s="43"/>
      <c r="AG572" s="43"/>
      <c r="AL572" s="43"/>
      <c r="AQ572" s="43"/>
      <c r="AV572" s="43"/>
      <c r="BA572" s="43"/>
      <c r="BF572" s="43"/>
      <c r="BK572" s="43"/>
      <c r="BQ572" s="43"/>
      <c r="BV572" s="43"/>
      <c r="CC572" s="43"/>
    </row>
    <row r="573" spans="2:81" ht="15.75" customHeight="1">
      <c r="B573" s="36"/>
      <c r="D573" s="36"/>
      <c r="F573" s="43"/>
      <c r="L573" s="43"/>
      <c r="Q573" s="43"/>
      <c r="V573" s="43"/>
      <c r="AD573" s="43"/>
      <c r="AG573" s="43"/>
      <c r="AL573" s="43"/>
      <c r="AQ573" s="43"/>
      <c r="AV573" s="43"/>
      <c r="BA573" s="43"/>
      <c r="BF573" s="43"/>
      <c r="BK573" s="43"/>
      <c r="BQ573" s="43"/>
      <c r="BV573" s="43"/>
      <c r="CC573" s="43"/>
    </row>
    <row r="574" spans="2:81" ht="15.75" customHeight="1">
      <c r="B574" s="36"/>
      <c r="D574" s="36"/>
      <c r="F574" s="43"/>
      <c r="L574" s="43"/>
      <c r="Q574" s="43"/>
      <c r="V574" s="43"/>
      <c r="AD574" s="43"/>
      <c r="AG574" s="43"/>
      <c r="AL574" s="43"/>
      <c r="AQ574" s="43"/>
      <c r="AV574" s="43"/>
      <c r="BA574" s="43"/>
      <c r="BF574" s="43"/>
      <c r="BK574" s="43"/>
      <c r="BQ574" s="43"/>
      <c r="BV574" s="43"/>
      <c r="CC574" s="43"/>
    </row>
    <row r="575" spans="2:81" ht="15.75" customHeight="1">
      <c r="B575" s="36"/>
      <c r="D575" s="36"/>
      <c r="F575" s="43"/>
      <c r="L575" s="43"/>
      <c r="Q575" s="43"/>
      <c r="V575" s="43"/>
      <c r="AD575" s="43"/>
      <c r="AG575" s="43"/>
      <c r="AL575" s="43"/>
      <c r="AQ575" s="43"/>
      <c r="AV575" s="43"/>
      <c r="BA575" s="43"/>
      <c r="BF575" s="43"/>
      <c r="BK575" s="43"/>
      <c r="BQ575" s="43"/>
      <c r="BV575" s="43"/>
      <c r="CC575" s="43"/>
    </row>
    <row r="576" spans="2:81" ht="15.75" customHeight="1">
      <c r="B576" s="36"/>
      <c r="D576" s="36"/>
      <c r="F576" s="43"/>
      <c r="L576" s="43"/>
      <c r="Q576" s="43"/>
      <c r="V576" s="43"/>
      <c r="AD576" s="43"/>
      <c r="AG576" s="43"/>
      <c r="AL576" s="43"/>
      <c r="AQ576" s="43"/>
      <c r="AV576" s="43"/>
      <c r="BA576" s="43"/>
      <c r="BF576" s="43"/>
      <c r="BK576" s="43"/>
      <c r="BQ576" s="43"/>
      <c r="BV576" s="43"/>
      <c r="CC576" s="43"/>
    </row>
    <row r="577" spans="2:81" ht="15.75" customHeight="1">
      <c r="B577" s="36"/>
      <c r="D577" s="36"/>
      <c r="F577" s="43"/>
      <c r="L577" s="43"/>
      <c r="Q577" s="43"/>
      <c r="V577" s="43"/>
      <c r="AD577" s="43"/>
      <c r="AG577" s="43"/>
      <c r="AL577" s="43"/>
      <c r="AQ577" s="43"/>
      <c r="AV577" s="43"/>
      <c r="BA577" s="43"/>
      <c r="BF577" s="43"/>
      <c r="BK577" s="43"/>
      <c r="BQ577" s="43"/>
      <c r="BV577" s="43"/>
      <c r="CC577" s="43"/>
    </row>
    <row r="578" spans="2:81" ht="15.75" customHeight="1">
      <c r="B578" s="36"/>
      <c r="D578" s="36"/>
      <c r="F578" s="43"/>
      <c r="L578" s="43"/>
      <c r="Q578" s="43"/>
      <c r="V578" s="43"/>
      <c r="AD578" s="43"/>
      <c r="AG578" s="43"/>
      <c r="AL578" s="43"/>
      <c r="AQ578" s="43"/>
      <c r="AV578" s="43"/>
      <c r="BA578" s="43"/>
      <c r="BF578" s="43"/>
      <c r="BK578" s="43"/>
      <c r="BQ578" s="43"/>
      <c r="BV578" s="43"/>
      <c r="CC578" s="43"/>
    </row>
    <row r="579" spans="2:81" ht="15.75" customHeight="1">
      <c r="B579" s="36"/>
      <c r="D579" s="36"/>
      <c r="F579" s="43"/>
      <c r="L579" s="43"/>
      <c r="Q579" s="43"/>
      <c r="V579" s="43"/>
      <c r="AD579" s="43"/>
      <c r="AG579" s="43"/>
      <c r="AL579" s="43"/>
      <c r="AQ579" s="43"/>
      <c r="AV579" s="43"/>
      <c r="BA579" s="43"/>
      <c r="BF579" s="43"/>
      <c r="BK579" s="43"/>
      <c r="BQ579" s="43"/>
      <c r="BV579" s="43"/>
      <c r="CC579" s="43"/>
    </row>
    <row r="580" spans="2:81" ht="15.75" customHeight="1">
      <c r="B580" s="36"/>
      <c r="D580" s="36"/>
      <c r="F580" s="43"/>
      <c r="L580" s="43"/>
      <c r="Q580" s="43"/>
      <c r="V580" s="43"/>
      <c r="AD580" s="43"/>
      <c r="AG580" s="43"/>
      <c r="AL580" s="43"/>
      <c r="AQ580" s="43"/>
      <c r="AV580" s="43"/>
      <c r="BA580" s="43"/>
      <c r="BF580" s="43"/>
      <c r="BK580" s="43"/>
      <c r="BQ580" s="43"/>
      <c r="BV580" s="43"/>
      <c r="CC580" s="43"/>
    </row>
    <row r="581" spans="2:81" ht="15.75" customHeight="1">
      <c r="B581" s="36"/>
      <c r="D581" s="36"/>
      <c r="F581" s="43"/>
      <c r="L581" s="43"/>
      <c r="Q581" s="43"/>
      <c r="V581" s="43"/>
      <c r="AD581" s="43"/>
      <c r="AG581" s="43"/>
      <c r="AL581" s="43"/>
      <c r="AQ581" s="43"/>
      <c r="AV581" s="43"/>
      <c r="BA581" s="43"/>
      <c r="BF581" s="43"/>
      <c r="BK581" s="43"/>
      <c r="BQ581" s="43"/>
      <c r="BV581" s="43"/>
      <c r="CC581" s="43"/>
    </row>
    <row r="582" spans="2:81" ht="15.75" customHeight="1">
      <c r="B582" s="36"/>
      <c r="D582" s="36"/>
      <c r="F582" s="43"/>
      <c r="L582" s="43"/>
      <c r="Q582" s="43"/>
      <c r="V582" s="43"/>
      <c r="AD582" s="43"/>
      <c r="AG582" s="43"/>
      <c r="AL582" s="43"/>
      <c r="AQ582" s="43"/>
      <c r="AV582" s="43"/>
      <c r="BA582" s="43"/>
      <c r="BF582" s="43"/>
      <c r="BK582" s="43"/>
      <c r="BQ582" s="43"/>
      <c r="BV582" s="43"/>
      <c r="CC582" s="43"/>
    </row>
    <row r="583" spans="2:81" ht="15.75" customHeight="1">
      <c r="B583" s="36"/>
      <c r="D583" s="36"/>
      <c r="F583" s="43"/>
      <c r="L583" s="43"/>
      <c r="Q583" s="43"/>
      <c r="V583" s="43"/>
      <c r="AD583" s="43"/>
      <c r="AG583" s="43"/>
      <c r="AL583" s="43"/>
      <c r="AQ583" s="43"/>
      <c r="AV583" s="43"/>
      <c r="BA583" s="43"/>
      <c r="BF583" s="43"/>
      <c r="BK583" s="43"/>
      <c r="BQ583" s="43"/>
      <c r="BV583" s="43"/>
      <c r="CC583" s="43"/>
    </row>
    <row r="584" spans="2:81" ht="15.75" customHeight="1">
      <c r="B584" s="36"/>
      <c r="D584" s="36"/>
      <c r="F584" s="43"/>
      <c r="L584" s="43"/>
      <c r="Q584" s="43"/>
      <c r="V584" s="43"/>
      <c r="AD584" s="43"/>
      <c r="AG584" s="43"/>
      <c r="AL584" s="43"/>
      <c r="AQ584" s="43"/>
      <c r="AV584" s="43"/>
      <c r="BA584" s="43"/>
      <c r="BF584" s="43"/>
      <c r="BK584" s="43"/>
      <c r="BQ584" s="43"/>
      <c r="BV584" s="43"/>
      <c r="CC584" s="43"/>
    </row>
    <row r="585" spans="2:81" ht="15.75" customHeight="1">
      <c r="B585" s="36"/>
      <c r="D585" s="36"/>
      <c r="F585" s="43"/>
      <c r="L585" s="43"/>
      <c r="Q585" s="43"/>
      <c r="V585" s="43"/>
      <c r="AD585" s="43"/>
      <c r="AG585" s="43"/>
      <c r="AL585" s="43"/>
      <c r="AQ585" s="43"/>
      <c r="AV585" s="43"/>
      <c r="BA585" s="43"/>
      <c r="BF585" s="43"/>
      <c r="BK585" s="43"/>
      <c r="BQ585" s="43"/>
      <c r="BV585" s="43"/>
      <c r="CC585" s="43"/>
    </row>
    <row r="586" spans="2:81" ht="15.75" customHeight="1">
      <c r="B586" s="36"/>
      <c r="D586" s="36"/>
      <c r="F586" s="43"/>
      <c r="L586" s="43"/>
      <c r="Q586" s="43"/>
      <c r="V586" s="43"/>
      <c r="AD586" s="43"/>
      <c r="AG586" s="43"/>
      <c r="AL586" s="43"/>
      <c r="AQ586" s="43"/>
      <c r="AV586" s="43"/>
      <c r="BA586" s="43"/>
      <c r="BF586" s="43"/>
      <c r="BK586" s="43"/>
      <c r="BQ586" s="43"/>
      <c r="BV586" s="43"/>
      <c r="CC586" s="43"/>
    </row>
    <row r="587" spans="2:81" ht="15.75" customHeight="1">
      <c r="B587" s="36"/>
      <c r="D587" s="36"/>
      <c r="F587" s="43"/>
      <c r="L587" s="43"/>
      <c r="Q587" s="43"/>
      <c r="V587" s="43"/>
      <c r="AD587" s="43"/>
      <c r="AG587" s="43"/>
      <c r="AL587" s="43"/>
      <c r="AQ587" s="43"/>
      <c r="AV587" s="43"/>
      <c r="BA587" s="43"/>
      <c r="BF587" s="43"/>
      <c r="BK587" s="43"/>
      <c r="BQ587" s="43"/>
      <c r="BV587" s="43"/>
      <c r="CC587" s="43"/>
    </row>
    <row r="588" spans="2:81" ht="15.75" customHeight="1">
      <c r="B588" s="36"/>
      <c r="D588" s="36"/>
      <c r="F588" s="43"/>
      <c r="L588" s="43"/>
      <c r="Q588" s="43"/>
      <c r="V588" s="43"/>
      <c r="AD588" s="43"/>
      <c r="AG588" s="43"/>
      <c r="AL588" s="43"/>
      <c r="AQ588" s="43"/>
      <c r="AV588" s="43"/>
      <c r="BA588" s="43"/>
      <c r="BF588" s="43"/>
      <c r="BK588" s="43"/>
      <c r="BQ588" s="43"/>
      <c r="BV588" s="43"/>
      <c r="CC588" s="43"/>
    </row>
    <row r="589" spans="2:81" ht="15.75" customHeight="1">
      <c r="B589" s="36"/>
      <c r="D589" s="36"/>
      <c r="F589" s="43"/>
      <c r="L589" s="43"/>
      <c r="Q589" s="43"/>
      <c r="V589" s="43"/>
      <c r="AD589" s="43"/>
      <c r="AG589" s="43"/>
      <c r="AL589" s="43"/>
      <c r="AQ589" s="43"/>
      <c r="AV589" s="43"/>
      <c r="BA589" s="43"/>
      <c r="BF589" s="43"/>
      <c r="BK589" s="43"/>
      <c r="BQ589" s="43"/>
      <c r="BV589" s="43"/>
      <c r="CC589" s="43"/>
    </row>
    <row r="590" spans="2:81" ht="15.75" customHeight="1">
      <c r="B590" s="36"/>
      <c r="D590" s="36"/>
      <c r="F590" s="43"/>
      <c r="L590" s="43"/>
      <c r="Q590" s="43"/>
      <c r="V590" s="43"/>
      <c r="AD590" s="43"/>
      <c r="AG590" s="43"/>
      <c r="AL590" s="43"/>
      <c r="AQ590" s="43"/>
      <c r="AV590" s="43"/>
      <c r="BA590" s="43"/>
      <c r="BF590" s="43"/>
      <c r="BK590" s="43"/>
      <c r="BQ590" s="43"/>
      <c r="BV590" s="43"/>
      <c r="CC590" s="43"/>
    </row>
    <row r="591" spans="2:81" ht="15.75" customHeight="1">
      <c r="B591" s="36"/>
      <c r="D591" s="36"/>
      <c r="F591" s="43"/>
      <c r="L591" s="43"/>
      <c r="Q591" s="43"/>
      <c r="V591" s="43"/>
      <c r="AD591" s="43"/>
      <c r="AG591" s="43"/>
      <c r="AL591" s="43"/>
      <c r="AQ591" s="43"/>
      <c r="AV591" s="43"/>
      <c r="BA591" s="43"/>
      <c r="BF591" s="43"/>
      <c r="BK591" s="43"/>
      <c r="BQ591" s="43"/>
      <c r="BV591" s="43"/>
      <c r="CC591" s="43"/>
    </row>
    <row r="592" spans="2:81" ht="15.75" customHeight="1">
      <c r="B592" s="36"/>
      <c r="D592" s="36"/>
      <c r="F592" s="43"/>
      <c r="L592" s="43"/>
      <c r="Q592" s="43"/>
      <c r="V592" s="43"/>
      <c r="AD592" s="43"/>
      <c r="AG592" s="43"/>
      <c r="AL592" s="43"/>
      <c r="AQ592" s="43"/>
      <c r="AV592" s="43"/>
      <c r="BA592" s="43"/>
      <c r="BF592" s="43"/>
      <c r="BK592" s="43"/>
      <c r="BQ592" s="43"/>
      <c r="BV592" s="43"/>
      <c r="CC592" s="43"/>
    </row>
    <row r="593" spans="2:81" ht="15.75" customHeight="1">
      <c r="B593" s="36"/>
      <c r="D593" s="36"/>
      <c r="F593" s="43"/>
      <c r="L593" s="43"/>
      <c r="Q593" s="43"/>
      <c r="V593" s="43"/>
      <c r="AD593" s="43"/>
      <c r="AG593" s="43"/>
      <c r="AL593" s="43"/>
      <c r="AQ593" s="43"/>
      <c r="AV593" s="43"/>
      <c r="BA593" s="43"/>
      <c r="BF593" s="43"/>
      <c r="BK593" s="43"/>
      <c r="BQ593" s="43"/>
      <c r="BV593" s="43"/>
      <c r="CC593" s="43"/>
    </row>
    <row r="594" spans="2:81" ht="15.75" customHeight="1">
      <c r="B594" s="36"/>
      <c r="D594" s="36"/>
      <c r="F594" s="43"/>
      <c r="L594" s="43"/>
      <c r="Q594" s="43"/>
      <c r="V594" s="43"/>
      <c r="AD594" s="43"/>
      <c r="AG594" s="43"/>
      <c r="AL594" s="43"/>
      <c r="AQ594" s="43"/>
      <c r="AV594" s="43"/>
      <c r="BA594" s="43"/>
      <c r="BF594" s="43"/>
      <c r="BK594" s="43"/>
      <c r="BQ594" s="43"/>
      <c r="BV594" s="43"/>
      <c r="CC594" s="43"/>
    </row>
    <row r="595" spans="2:81" ht="15.75" customHeight="1">
      <c r="B595" s="36"/>
      <c r="D595" s="36"/>
      <c r="F595" s="43"/>
      <c r="L595" s="43"/>
      <c r="Q595" s="43"/>
      <c r="V595" s="43"/>
      <c r="AD595" s="43"/>
      <c r="AG595" s="43"/>
      <c r="AL595" s="43"/>
      <c r="AQ595" s="43"/>
      <c r="AV595" s="43"/>
      <c r="BA595" s="43"/>
      <c r="BF595" s="43"/>
      <c r="BK595" s="43"/>
      <c r="BQ595" s="43"/>
      <c r="BV595" s="43"/>
      <c r="CC595" s="43"/>
    </row>
    <row r="596" spans="2:81" ht="15.75" customHeight="1">
      <c r="B596" s="36"/>
      <c r="D596" s="36"/>
      <c r="F596" s="43"/>
      <c r="L596" s="43"/>
      <c r="Q596" s="43"/>
      <c r="V596" s="43"/>
      <c r="AD596" s="43"/>
      <c r="AG596" s="43"/>
      <c r="AL596" s="43"/>
      <c r="AQ596" s="43"/>
      <c r="AV596" s="43"/>
      <c r="BA596" s="43"/>
      <c r="BF596" s="43"/>
      <c r="BK596" s="43"/>
      <c r="BQ596" s="43"/>
      <c r="BV596" s="43"/>
      <c r="CC596" s="43"/>
    </row>
    <row r="597" spans="2:81" ht="15.75" customHeight="1">
      <c r="B597" s="36"/>
      <c r="D597" s="36"/>
      <c r="F597" s="43"/>
      <c r="L597" s="43"/>
      <c r="Q597" s="43"/>
      <c r="V597" s="43"/>
      <c r="AD597" s="43"/>
      <c r="AG597" s="43"/>
      <c r="AL597" s="43"/>
      <c r="AQ597" s="43"/>
      <c r="AV597" s="43"/>
      <c r="BA597" s="43"/>
      <c r="BF597" s="43"/>
      <c r="BK597" s="43"/>
      <c r="BQ597" s="43"/>
      <c r="BV597" s="43"/>
      <c r="CC597" s="43"/>
    </row>
    <row r="598" spans="2:81" ht="15.75" customHeight="1">
      <c r="B598" s="36"/>
      <c r="D598" s="36"/>
      <c r="F598" s="43"/>
      <c r="L598" s="43"/>
      <c r="Q598" s="43"/>
      <c r="V598" s="43"/>
      <c r="AD598" s="43"/>
      <c r="AG598" s="43"/>
      <c r="AL598" s="43"/>
      <c r="AQ598" s="43"/>
      <c r="AV598" s="43"/>
      <c r="BA598" s="43"/>
      <c r="BF598" s="43"/>
      <c r="BK598" s="43"/>
      <c r="BQ598" s="43"/>
      <c r="BV598" s="43"/>
      <c r="CC598" s="43"/>
    </row>
    <row r="599" spans="2:81" ht="15.75" customHeight="1">
      <c r="B599" s="36"/>
      <c r="D599" s="36"/>
      <c r="F599" s="43"/>
      <c r="L599" s="43"/>
      <c r="Q599" s="43"/>
      <c r="V599" s="43"/>
      <c r="AD599" s="43"/>
      <c r="AG599" s="43"/>
      <c r="AL599" s="43"/>
      <c r="AQ599" s="43"/>
      <c r="AV599" s="43"/>
      <c r="BA599" s="43"/>
      <c r="BF599" s="43"/>
      <c r="BK599" s="43"/>
      <c r="BQ599" s="43"/>
      <c r="BV599" s="43"/>
      <c r="CC599" s="43"/>
    </row>
    <row r="600" spans="2:81" ht="15.75" customHeight="1">
      <c r="B600" s="36"/>
      <c r="D600" s="36"/>
      <c r="F600" s="43"/>
      <c r="L600" s="43"/>
      <c r="Q600" s="43"/>
      <c r="V600" s="43"/>
      <c r="AD600" s="43"/>
      <c r="AG600" s="43"/>
      <c r="AL600" s="43"/>
      <c r="AQ600" s="43"/>
      <c r="AV600" s="43"/>
      <c r="BA600" s="43"/>
      <c r="BF600" s="43"/>
      <c r="BK600" s="43"/>
      <c r="BQ600" s="43"/>
      <c r="BV600" s="43"/>
      <c r="CC600" s="43"/>
    </row>
    <row r="601" spans="2:81" ht="15.75" customHeight="1">
      <c r="B601" s="36"/>
      <c r="D601" s="36"/>
      <c r="F601" s="43"/>
      <c r="L601" s="43"/>
      <c r="Q601" s="43"/>
      <c r="V601" s="43"/>
      <c r="AD601" s="43"/>
      <c r="AG601" s="43"/>
      <c r="AL601" s="43"/>
      <c r="AQ601" s="43"/>
      <c r="AV601" s="43"/>
      <c r="BA601" s="43"/>
      <c r="BF601" s="43"/>
      <c r="BK601" s="43"/>
      <c r="BQ601" s="43"/>
      <c r="BV601" s="43"/>
      <c r="CC601" s="43"/>
    </row>
    <row r="602" spans="2:81" ht="15.75" customHeight="1">
      <c r="B602" s="36"/>
      <c r="D602" s="36"/>
      <c r="F602" s="43"/>
      <c r="L602" s="43"/>
      <c r="Q602" s="43"/>
      <c r="V602" s="43"/>
      <c r="AD602" s="43"/>
      <c r="AG602" s="43"/>
      <c r="AL602" s="43"/>
      <c r="AQ602" s="43"/>
      <c r="AV602" s="43"/>
      <c r="BA602" s="43"/>
      <c r="BF602" s="43"/>
      <c r="BK602" s="43"/>
      <c r="BQ602" s="43"/>
      <c r="BV602" s="43"/>
      <c r="CC602" s="43"/>
    </row>
    <row r="603" spans="2:81" ht="15.75" customHeight="1">
      <c r="B603" s="36"/>
      <c r="D603" s="36"/>
      <c r="F603" s="43"/>
      <c r="L603" s="43"/>
      <c r="Q603" s="43"/>
      <c r="V603" s="43"/>
      <c r="AD603" s="43"/>
      <c r="AG603" s="43"/>
      <c r="AL603" s="43"/>
      <c r="AQ603" s="43"/>
      <c r="AV603" s="43"/>
      <c r="BA603" s="43"/>
      <c r="BF603" s="43"/>
      <c r="BK603" s="43"/>
      <c r="BQ603" s="43"/>
      <c r="BV603" s="43"/>
      <c r="CC603" s="43"/>
    </row>
    <row r="604" spans="2:81" ht="15.75" customHeight="1">
      <c r="B604" s="36"/>
      <c r="D604" s="36"/>
      <c r="F604" s="43"/>
      <c r="L604" s="43"/>
      <c r="Q604" s="43"/>
      <c r="V604" s="43"/>
      <c r="AD604" s="43"/>
      <c r="AG604" s="43"/>
      <c r="AL604" s="43"/>
      <c r="AQ604" s="43"/>
      <c r="AV604" s="43"/>
      <c r="BA604" s="43"/>
      <c r="BF604" s="43"/>
      <c r="BK604" s="43"/>
      <c r="BQ604" s="43"/>
      <c r="BV604" s="43"/>
      <c r="CC604" s="43"/>
    </row>
    <row r="605" spans="2:81" ht="15.75" customHeight="1">
      <c r="B605" s="36"/>
      <c r="D605" s="36"/>
      <c r="F605" s="43"/>
      <c r="L605" s="43"/>
      <c r="Q605" s="43"/>
      <c r="V605" s="43"/>
      <c r="AD605" s="43"/>
      <c r="AG605" s="43"/>
      <c r="AL605" s="43"/>
      <c r="AQ605" s="43"/>
      <c r="AV605" s="43"/>
      <c r="BA605" s="43"/>
      <c r="BF605" s="43"/>
      <c r="BK605" s="43"/>
      <c r="BQ605" s="43"/>
      <c r="BV605" s="43"/>
      <c r="CC605" s="43"/>
    </row>
    <row r="606" spans="2:81" ht="15.75" customHeight="1">
      <c r="B606" s="36"/>
      <c r="D606" s="36"/>
      <c r="F606" s="43"/>
      <c r="L606" s="43"/>
      <c r="Q606" s="43"/>
      <c r="V606" s="43"/>
      <c r="AD606" s="43"/>
      <c r="AG606" s="43"/>
      <c r="AL606" s="43"/>
      <c r="AQ606" s="43"/>
      <c r="AV606" s="43"/>
      <c r="BA606" s="43"/>
      <c r="BF606" s="43"/>
      <c r="BK606" s="43"/>
      <c r="BQ606" s="43"/>
      <c r="BV606" s="43"/>
      <c r="CC606" s="43"/>
    </row>
    <row r="607" spans="2:81" ht="15.75" customHeight="1">
      <c r="B607" s="36"/>
      <c r="D607" s="36"/>
      <c r="F607" s="43"/>
      <c r="L607" s="43"/>
      <c r="Q607" s="43"/>
      <c r="V607" s="43"/>
      <c r="AD607" s="43"/>
      <c r="AG607" s="43"/>
      <c r="AL607" s="43"/>
      <c r="AQ607" s="43"/>
      <c r="AV607" s="43"/>
      <c r="BA607" s="43"/>
      <c r="BF607" s="43"/>
      <c r="BK607" s="43"/>
      <c r="BQ607" s="43"/>
      <c r="BV607" s="43"/>
      <c r="CC607" s="43"/>
    </row>
    <row r="608" spans="2:81" ht="15.75" customHeight="1">
      <c r="B608" s="36"/>
      <c r="D608" s="36"/>
      <c r="F608" s="43"/>
      <c r="L608" s="43"/>
      <c r="Q608" s="43"/>
      <c r="V608" s="43"/>
      <c r="AD608" s="43"/>
      <c r="AG608" s="43"/>
      <c r="AL608" s="43"/>
      <c r="AQ608" s="43"/>
      <c r="AV608" s="43"/>
      <c r="BA608" s="43"/>
      <c r="BF608" s="43"/>
      <c r="BK608" s="43"/>
      <c r="BQ608" s="43"/>
      <c r="BV608" s="43"/>
      <c r="CC608" s="43"/>
    </row>
    <row r="609" spans="2:81" ht="15.75" customHeight="1">
      <c r="B609" s="36"/>
      <c r="D609" s="36"/>
      <c r="F609" s="43"/>
      <c r="L609" s="43"/>
      <c r="Q609" s="43"/>
      <c r="V609" s="43"/>
      <c r="AD609" s="43"/>
      <c r="AG609" s="43"/>
      <c r="AL609" s="43"/>
      <c r="AQ609" s="43"/>
      <c r="AV609" s="43"/>
      <c r="BA609" s="43"/>
      <c r="BF609" s="43"/>
      <c r="BK609" s="43"/>
      <c r="BQ609" s="43"/>
      <c r="BV609" s="43"/>
      <c r="CC609" s="43"/>
    </row>
    <row r="610" spans="2:81" ht="15.75" customHeight="1">
      <c r="B610" s="36"/>
      <c r="D610" s="36"/>
      <c r="F610" s="43"/>
      <c r="L610" s="43"/>
      <c r="Q610" s="43"/>
      <c r="V610" s="43"/>
      <c r="AD610" s="43"/>
      <c r="AG610" s="43"/>
      <c r="AL610" s="43"/>
      <c r="AQ610" s="43"/>
      <c r="AV610" s="43"/>
      <c r="BA610" s="43"/>
      <c r="BF610" s="43"/>
      <c r="BK610" s="43"/>
      <c r="BQ610" s="43"/>
      <c r="BV610" s="43"/>
      <c r="CC610" s="43"/>
    </row>
    <row r="611" spans="2:81" ht="15.75" customHeight="1">
      <c r="B611" s="36"/>
      <c r="D611" s="36"/>
      <c r="F611" s="43"/>
      <c r="L611" s="43"/>
      <c r="Q611" s="43"/>
      <c r="V611" s="43"/>
      <c r="AD611" s="43"/>
      <c r="AG611" s="43"/>
      <c r="AL611" s="43"/>
      <c r="AQ611" s="43"/>
      <c r="AV611" s="43"/>
      <c r="BA611" s="43"/>
      <c r="BF611" s="43"/>
      <c r="BK611" s="43"/>
      <c r="BQ611" s="43"/>
      <c r="BV611" s="43"/>
      <c r="CC611" s="43"/>
    </row>
    <row r="612" spans="2:81" ht="15.75" customHeight="1">
      <c r="B612" s="36"/>
      <c r="D612" s="36"/>
      <c r="F612" s="43"/>
      <c r="L612" s="43"/>
      <c r="Q612" s="43"/>
      <c r="V612" s="43"/>
      <c r="AD612" s="43"/>
      <c r="AG612" s="43"/>
      <c r="AL612" s="43"/>
      <c r="AQ612" s="43"/>
      <c r="AV612" s="43"/>
      <c r="BA612" s="43"/>
      <c r="BF612" s="43"/>
      <c r="BK612" s="43"/>
      <c r="BQ612" s="43"/>
      <c r="BV612" s="43"/>
      <c r="CC612" s="43"/>
    </row>
    <row r="613" spans="2:81" ht="15.75" customHeight="1">
      <c r="B613" s="36"/>
      <c r="D613" s="36"/>
      <c r="F613" s="43"/>
      <c r="L613" s="43"/>
      <c r="Q613" s="43"/>
      <c r="V613" s="43"/>
      <c r="AD613" s="43"/>
      <c r="AG613" s="43"/>
      <c r="AL613" s="43"/>
      <c r="AQ613" s="43"/>
      <c r="AV613" s="43"/>
      <c r="BA613" s="43"/>
      <c r="BF613" s="43"/>
      <c r="BK613" s="43"/>
      <c r="BQ613" s="43"/>
      <c r="BV613" s="43"/>
      <c r="CC613" s="43"/>
    </row>
    <row r="614" spans="2:81" ht="15.75" customHeight="1">
      <c r="B614" s="36"/>
      <c r="D614" s="36"/>
      <c r="F614" s="43"/>
      <c r="L614" s="43"/>
      <c r="Q614" s="43"/>
      <c r="V614" s="43"/>
      <c r="AD614" s="43"/>
      <c r="AG614" s="43"/>
      <c r="AL614" s="43"/>
      <c r="AQ614" s="43"/>
      <c r="AV614" s="43"/>
      <c r="BA614" s="43"/>
      <c r="BF614" s="43"/>
      <c r="BK614" s="43"/>
      <c r="BQ614" s="43"/>
      <c r="BV614" s="43"/>
      <c r="CC614" s="43"/>
    </row>
    <row r="615" spans="2:81" ht="15.75" customHeight="1">
      <c r="B615" s="36"/>
      <c r="D615" s="36"/>
      <c r="F615" s="43"/>
      <c r="L615" s="43"/>
      <c r="Q615" s="43"/>
      <c r="V615" s="43"/>
      <c r="AD615" s="43"/>
      <c r="AG615" s="43"/>
      <c r="AL615" s="43"/>
      <c r="AQ615" s="43"/>
      <c r="AV615" s="43"/>
      <c r="BA615" s="43"/>
      <c r="BF615" s="43"/>
      <c r="BK615" s="43"/>
      <c r="BQ615" s="43"/>
      <c r="BV615" s="43"/>
      <c r="CC615" s="43"/>
    </row>
    <row r="616" spans="2:81" ht="15.75" customHeight="1">
      <c r="B616" s="36"/>
      <c r="D616" s="36"/>
      <c r="F616" s="43"/>
      <c r="L616" s="43"/>
      <c r="Q616" s="43"/>
      <c r="V616" s="43"/>
      <c r="AD616" s="43"/>
      <c r="AG616" s="43"/>
      <c r="AL616" s="43"/>
      <c r="AQ616" s="43"/>
      <c r="AV616" s="43"/>
      <c r="BA616" s="43"/>
      <c r="BF616" s="43"/>
      <c r="BK616" s="43"/>
      <c r="BQ616" s="43"/>
      <c r="BV616" s="43"/>
      <c r="CC616" s="43"/>
    </row>
    <row r="617" spans="2:81" ht="15.75" customHeight="1">
      <c r="B617" s="36"/>
      <c r="D617" s="36"/>
      <c r="F617" s="43"/>
      <c r="L617" s="43"/>
      <c r="Q617" s="43"/>
      <c r="V617" s="43"/>
      <c r="AD617" s="43"/>
      <c r="AG617" s="43"/>
      <c r="AL617" s="43"/>
      <c r="AQ617" s="43"/>
      <c r="AV617" s="43"/>
      <c r="BA617" s="43"/>
      <c r="BF617" s="43"/>
      <c r="BK617" s="43"/>
      <c r="BQ617" s="43"/>
      <c r="BV617" s="43"/>
      <c r="CC617" s="43"/>
    </row>
    <row r="618" spans="2:81" ht="15.75" customHeight="1">
      <c r="B618" s="36"/>
      <c r="D618" s="36"/>
      <c r="F618" s="43"/>
      <c r="L618" s="43"/>
      <c r="Q618" s="43"/>
      <c r="V618" s="43"/>
      <c r="AD618" s="43"/>
      <c r="AG618" s="43"/>
      <c r="AL618" s="43"/>
      <c r="AQ618" s="43"/>
      <c r="AV618" s="43"/>
      <c r="BA618" s="43"/>
      <c r="BF618" s="43"/>
      <c r="BK618" s="43"/>
      <c r="BQ618" s="43"/>
      <c r="BV618" s="43"/>
      <c r="CC618" s="43"/>
    </row>
    <row r="619" spans="2:81" ht="15.75" customHeight="1">
      <c r="B619" s="36"/>
      <c r="D619" s="36"/>
      <c r="F619" s="43"/>
      <c r="L619" s="43"/>
      <c r="Q619" s="43"/>
      <c r="V619" s="43"/>
      <c r="AD619" s="43"/>
      <c r="AG619" s="43"/>
      <c r="AL619" s="43"/>
      <c r="AQ619" s="43"/>
      <c r="AV619" s="43"/>
      <c r="BA619" s="43"/>
      <c r="BF619" s="43"/>
      <c r="BK619" s="43"/>
      <c r="BQ619" s="43"/>
      <c r="BV619" s="43"/>
      <c r="CC619" s="43"/>
    </row>
    <row r="620" spans="2:81" ht="15.75" customHeight="1">
      <c r="B620" s="36"/>
      <c r="D620" s="36"/>
      <c r="F620" s="43"/>
      <c r="L620" s="43"/>
      <c r="Q620" s="43"/>
      <c r="V620" s="43"/>
      <c r="AD620" s="43"/>
      <c r="AG620" s="43"/>
      <c r="AL620" s="43"/>
      <c r="AQ620" s="43"/>
      <c r="AV620" s="43"/>
      <c r="BA620" s="43"/>
      <c r="BF620" s="43"/>
      <c r="BK620" s="43"/>
      <c r="BQ620" s="43"/>
      <c r="BV620" s="43"/>
      <c r="CC620" s="43"/>
    </row>
    <row r="621" spans="2:81" ht="15.75" customHeight="1">
      <c r="B621" s="36"/>
      <c r="D621" s="36"/>
      <c r="F621" s="43"/>
      <c r="L621" s="43"/>
      <c r="Q621" s="43"/>
      <c r="V621" s="43"/>
      <c r="AD621" s="43"/>
      <c r="AG621" s="43"/>
      <c r="AL621" s="43"/>
      <c r="AQ621" s="43"/>
      <c r="AV621" s="43"/>
      <c r="BA621" s="43"/>
      <c r="BF621" s="43"/>
      <c r="BK621" s="43"/>
      <c r="BQ621" s="43"/>
      <c r="BV621" s="43"/>
      <c r="CC621" s="43"/>
    </row>
    <row r="622" spans="2:81" ht="15.75" customHeight="1">
      <c r="B622" s="36"/>
      <c r="D622" s="36"/>
      <c r="F622" s="43"/>
      <c r="L622" s="43"/>
      <c r="Q622" s="43"/>
      <c r="V622" s="43"/>
      <c r="AD622" s="43"/>
      <c r="AG622" s="43"/>
      <c r="AL622" s="43"/>
      <c r="AQ622" s="43"/>
      <c r="AV622" s="43"/>
      <c r="BA622" s="43"/>
      <c r="BF622" s="43"/>
      <c r="BK622" s="43"/>
      <c r="BQ622" s="43"/>
      <c r="BV622" s="43"/>
      <c r="CC622" s="43"/>
    </row>
    <row r="623" spans="2:81" ht="15.75" customHeight="1">
      <c r="B623" s="36"/>
      <c r="D623" s="36"/>
      <c r="F623" s="43"/>
      <c r="L623" s="43"/>
      <c r="Q623" s="43"/>
      <c r="V623" s="43"/>
      <c r="AD623" s="43"/>
      <c r="AG623" s="43"/>
      <c r="AL623" s="43"/>
      <c r="AQ623" s="43"/>
      <c r="AV623" s="43"/>
      <c r="BA623" s="43"/>
      <c r="BF623" s="43"/>
      <c r="BK623" s="43"/>
      <c r="BQ623" s="43"/>
      <c r="BV623" s="43"/>
      <c r="CC623" s="43"/>
    </row>
    <row r="624" spans="2:81" ht="15.75" customHeight="1">
      <c r="B624" s="36"/>
      <c r="D624" s="36"/>
      <c r="F624" s="43"/>
      <c r="L624" s="43"/>
      <c r="Q624" s="43"/>
      <c r="V624" s="43"/>
      <c r="AD624" s="43"/>
      <c r="AG624" s="43"/>
      <c r="AL624" s="43"/>
      <c r="AQ624" s="43"/>
      <c r="AV624" s="43"/>
      <c r="BA624" s="43"/>
      <c r="BF624" s="43"/>
      <c r="BK624" s="43"/>
      <c r="BQ624" s="43"/>
      <c r="BV624" s="43"/>
      <c r="CC624" s="43"/>
    </row>
    <row r="625" spans="2:81" ht="15.75" customHeight="1">
      <c r="B625" s="36"/>
      <c r="D625" s="36"/>
      <c r="F625" s="43"/>
      <c r="L625" s="43"/>
      <c r="Q625" s="43"/>
      <c r="V625" s="43"/>
      <c r="AD625" s="43"/>
      <c r="AG625" s="43"/>
      <c r="AL625" s="43"/>
      <c r="AQ625" s="43"/>
      <c r="AV625" s="43"/>
      <c r="BA625" s="43"/>
      <c r="BF625" s="43"/>
      <c r="BK625" s="43"/>
      <c r="BQ625" s="43"/>
      <c r="BV625" s="43"/>
      <c r="CC625" s="43"/>
    </row>
    <row r="626" spans="2:81" ht="15.75" customHeight="1">
      <c r="B626" s="36"/>
      <c r="D626" s="36"/>
      <c r="F626" s="43"/>
      <c r="L626" s="43"/>
      <c r="Q626" s="43"/>
      <c r="V626" s="43"/>
      <c r="AD626" s="43"/>
      <c r="AG626" s="43"/>
      <c r="AL626" s="43"/>
      <c r="AQ626" s="43"/>
      <c r="AV626" s="43"/>
      <c r="BA626" s="43"/>
      <c r="BF626" s="43"/>
      <c r="BK626" s="43"/>
      <c r="BQ626" s="43"/>
      <c r="BV626" s="43"/>
      <c r="CC626" s="43"/>
    </row>
    <row r="627" spans="2:81" ht="15.75" customHeight="1">
      <c r="B627" s="36"/>
      <c r="D627" s="36"/>
      <c r="F627" s="43"/>
      <c r="L627" s="43"/>
      <c r="Q627" s="43"/>
      <c r="V627" s="43"/>
      <c r="AD627" s="43"/>
      <c r="AG627" s="43"/>
      <c r="AL627" s="43"/>
      <c r="AQ627" s="43"/>
      <c r="AV627" s="43"/>
      <c r="BA627" s="43"/>
      <c r="BF627" s="43"/>
      <c r="BK627" s="43"/>
      <c r="BQ627" s="43"/>
      <c r="BV627" s="43"/>
      <c r="CC627" s="43"/>
    </row>
    <row r="628" spans="2:81" ht="15.75" customHeight="1">
      <c r="B628" s="36"/>
      <c r="D628" s="36"/>
      <c r="F628" s="43"/>
      <c r="L628" s="43"/>
      <c r="Q628" s="43"/>
      <c r="V628" s="43"/>
      <c r="AD628" s="43"/>
      <c r="AG628" s="43"/>
      <c r="AL628" s="43"/>
      <c r="AQ628" s="43"/>
      <c r="AV628" s="43"/>
      <c r="BA628" s="43"/>
      <c r="BF628" s="43"/>
      <c r="BK628" s="43"/>
      <c r="BQ628" s="43"/>
      <c r="BV628" s="43"/>
      <c r="CC628" s="43"/>
    </row>
    <row r="629" spans="2:81" ht="15.75" customHeight="1">
      <c r="B629" s="36"/>
      <c r="D629" s="36"/>
      <c r="F629" s="43"/>
      <c r="L629" s="43"/>
      <c r="Q629" s="43"/>
      <c r="V629" s="43"/>
      <c r="AD629" s="43"/>
      <c r="AG629" s="43"/>
      <c r="AL629" s="43"/>
      <c r="AQ629" s="43"/>
      <c r="AV629" s="43"/>
      <c r="BA629" s="43"/>
      <c r="BF629" s="43"/>
      <c r="BK629" s="43"/>
      <c r="BQ629" s="43"/>
      <c r="BV629" s="43"/>
      <c r="CC629" s="43"/>
    </row>
    <row r="630" spans="2:81" ht="15.75" customHeight="1">
      <c r="B630" s="36"/>
      <c r="D630" s="36"/>
      <c r="F630" s="43"/>
      <c r="L630" s="43"/>
      <c r="Q630" s="43"/>
      <c r="V630" s="43"/>
      <c r="AD630" s="43"/>
      <c r="AG630" s="43"/>
      <c r="AL630" s="43"/>
      <c r="AQ630" s="43"/>
      <c r="AV630" s="43"/>
      <c r="BA630" s="43"/>
      <c r="BF630" s="43"/>
      <c r="BK630" s="43"/>
      <c r="BQ630" s="43"/>
      <c r="BV630" s="43"/>
      <c r="CC630" s="43"/>
    </row>
    <row r="631" spans="2:81" ht="15.75" customHeight="1">
      <c r="B631" s="36"/>
      <c r="D631" s="36"/>
      <c r="F631" s="43"/>
      <c r="L631" s="43"/>
      <c r="Q631" s="43"/>
      <c r="V631" s="43"/>
      <c r="AD631" s="43"/>
      <c r="AG631" s="43"/>
      <c r="AL631" s="43"/>
      <c r="AQ631" s="43"/>
      <c r="AV631" s="43"/>
      <c r="BA631" s="43"/>
      <c r="BF631" s="43"/>
      <c r="BK631" s="43"/>
      <c r="BQ631" s="43"/>
      <c r="BV631" s="43"/>
      <c r="CC631" s="43"/>
    </row>
    <row r="632" spans="2:81" ht="15.75" customHeight="1">
      <c r="B632" s="36"/>
      <c r="D632" s="36"/>
      <c r="F632" s="43"/>
      <c r="L632" s="43"/>
      <c r="Q632" s="43"/>
      <c r="V632" s="43"/>
      <c r="AD632" s="43"/>
      <c r="AG632" s="43"/>
      <c r="AL632" s="43"/>
      <c r="AQ632" s="43"/>
      <c r="AV632" s="43"/>
      <c r="BA632" s="43"/>
      <c r="BF632" s="43"/>
      <c r="BK632" s="43"/>
      <c r="BQ632" s="43"/>
      <c r="BV632" s="43"/>
      <c r="CC632" s="43"/>
    </row>
    <row r="633" spans="2:81" ht="15.75" customHeight="1">
      <c r="B633" s="36"/>
      <c r="D633" s="36"/>
      <c r="F633" s="43"/>
      <c r="L633" s="43"/>
      <c r="Q633" s="43"/>
      <c r="V633" s="43"/>
      <c r="AD633" s="43"/>
      <c r="AG633" s="43"/>
      <c r="AL633" s="43"/>
      <c r="AQ633" s="43"/>
      <c r="AV633" s="43"/>
      <c r="BA633" s="43"/>
      <c r="BF633" s="43"/>
      <c r="BK633" s="43"/>
      <c r="BQ633" s="43"/>
      <c r="BV633" s="43"/>
      <c r="CC633" s="43"/>
    </row>
    <row r="634" spans="2:81" ht="15.75" customHeight="1">
      <c r="B634" s="36"/>
      <c r="D634" s="36"/>
      <c r="F634" s="43"/>
      <c r="L634" s="43"/>
      <c r="Q634" s="43"/>
      <c r="V634" s="43"/>
      <c r="AD634" s="43"/>
      <c r="AG634" s="43"/>
      <c r="AL634" s="43"/>
      <c r="AQ634" s="43"/>
      <c r="AV634" s="43"/>
      <c r="BA634" s="43"/>
      <c r="BF634" s="43"/>
      <c r="BK634" s="43"/>
      <c r="BQ634" s="43"/>
      <c r="BV634" s="43"/>
      <c r="CC634" s="43"/>
    </row>
    <row r="635" spans="2:81" ht="15.75" customHeight="1">
      <c r="B635" s="36"/>
      <c r="D635" s="36"/>
      <c r="F635" s="43"/>
      <c r="L635" s="43"/>
      <c r="Q635" s="43"/>
      <c r="V635" s="43"/>
      <c r="AD635" s="43"/>
      <c r="AG635" s="43"/>
      <c r="AL635" s="43"/>
      <c r="AQ635" s="43"/>
      <c r="AV635" s="43"/>
      <c r="BA635" s="43"/>
      <c r="BF635" s="43"/>
      <c r="BK635" s="43"/>
      <c r="BQ635" s="43"/>
      <c r="BV635" s="43"/>
      <c r="CC635" s="43"/>
    </row>
    <row r="636" spans="2:81" ht="15.75" customHeight="1">
      <c r="B636" s="36"/>
      <c r="D636" s="36"/>
      <c r="F636" s="43"/>
      <c r="L636" s="43"/>
      <c r="Q636" s="43"/>
      <c r="V636" s="43"/>
      <c r="AD636" s="43"/>
      <c r="AG636" s="43"/>
      <c r="AL636" s="43"/>
      <c r="AQ636" s="43"/>
      <c r="AV636" s="43"/>
      <c r="BA636" s="43"/>
      <c r="BF636" s="43"/>
      <c r="BK636" s="43"/>
      <c r="BQ636" s="43"/>
      <c r="BV636" s="43"/>
      <c r="CC636" s="43"/>
    </row>
    <row r="637" spans="2:81" ht="15.75" customHeight="1">
      <c r="B637" s="36"/>
      <c r="D637" s="36"/>
      <c r="F637" s="43"/>
      <c r="L637" s="43"/>
      <c r="Q637" s="43"/>
      <c r="V637" s="43"/>
      <c r="AD637" s="43"/>
      <c r="AG637" s="43"/>
      <c r="AL637" s="43"/>
      <c r="AQ637" s="43"/>
      <c r="AV637" s="43"/>
      <c r="BA637" s="43"/>
      <c r="BF637" s="43"/>
      <c r="BK637" s="43"/>
      <c r="BQ637" s="43"/>
      <c r="BV637" s="43"/>
      <c r="CC637" s="43"/>
    </row>
    <row r="638" spans="2:81" ht="15.75" customHeight="1">
      <c r="B638" s="36"/>
      <c r="D638" s="36"/>
      <c r="F638" s="43"/>
      <c r="L638" s="43"/>
      <c r="Q638" s="43"/>
      <c r="V638" s="43"/>
      <c r="AD638" s="43"/>
      <c r="AG638" s="43"/>
      <c r="AL638" s="43"/>
      <c r="AQ638" s="43"/>
      <c r="AV638" s="43"/>
      <c r="BA638" s="43"/>
      <c r="BF638" s="43"/>
      <c r="BK638" s="43"/>
      <c r="BQ638" s="43"/>
      <c r="BV638" s="43"/>
      <c r="CC638" s="43"/>
    </row>
    <row r="639" spans="2:81" ht="15.75" customHeight="1">
      <c r="B639" s="36"/>
      <c r="D639" s="36"/>
      <c r="F639" s="43"/>
      <c r="L639" s="43"/>
      <c r="Q639" s="43"/>
      <c r="V639" s="43"/>
      <c r="AD639" s="43"/>
      <c r="AG639" s="43"/>
      <c r="AL639" s="43"/>
      <c r="AQ639" s="43"/>
      <c r="AV639" s="43"/>
      <c r="BA639" s="43"/>
      <c r="BF639" s="43"/>
      <c r="BK639" s="43"/>
      <c r="BQ639" s="43"/>
      <c r="BV639" s="43"/>
      <c r="CC639" s="43"/>
    </row>
    <row r="640" spans="2:81" ht="15.75" customHeight="1">
      <c r="B640" s="36"/>
      <c r="D640" s="36"/>
      <c r="F640" s="43"/>
      <c r="L640" s="43"/>
      <c r="Q640" s="43"/>
      <c r="V640" s="43"/>
      <c r="AD640" s="43"/>
      <c r="AG640" s="43"/>
      <c r="AL640" s="43"/>
      <c r="AQ640" s="43"/>
      <c r="AV640" s="43"/>
      <c r="BA640" s="43"/>
      <c r="BF640" s="43"/>
      <c r="BK640" s="43"/>
      <c r="BQ640" s="43"/>
      <c r="BV640" s="43"/>
      <c r="CC640" s="43"/>
    </row>
    <row r="641" spans="2:81" ht="15.75" customHeight="1">
      <c r="B641" s="36"/>
      <c r="D641" s="36"/>
      <c r="F641" s="43"/>
      <c r="L641" s="43"/>
      <c r="Q641" s="43"/>
      <c r="V641" s="43"/>
      <c r="AD641" s="43"/>
      <c r="AG641" s="43"/>
      <c r="AL641" s="43"/>
      <c r="AQ641" s="43"/>
      <c r="AV641" s="43"/>
      <c r="BA641" s="43"/>
      <c r="BF641" s="43"/>
      <c r="BK641" s="43"/>
      <c r="BQ641" s="43"/>
      <c r="BV641" s="43"/>
      <c r="CC641" s="43"/>
    </row>
    <row r="642" spans="2:81" ht="15.75" customHeight="1">
      <c r="B642" s="36"/>
      <c r="D642" s="36"/>
      <c r="F642" s="43"/>
      <c r="L642" s="43"/>
      <c r="Q642" s="43"/>
      <c r="V642" s="43"/>
      <c r="AD642" s="43"/>
      <c r="AG642" s="43"/>
      <c r="AL642" s="43"/>
      <c r="AQ642" s="43"/>
      <c r="AV642" s="43"/>
      <c r="BA642" s="43"/>
      <c r="BF642" s="43"/>
      <c r="BK642" s="43"/>
      <c r="BQ642" s="43"/>
      <c r="BV642" s="43"/>
      <c r="CC642" s="43"/>
    </row>
    <row r="643" spans="2:81" ht="15.75" customHeight="1">
      <c r="B643" s="36"/>
      <c r="D643" s="36"/>
      <c r="F643" s="43"/>
      <c r="L643" s="43"/>
      <c r="Q643" s="43"/>
      <c r="V643" s="43"/>
      <c r="AD643" s="43"/>
      <c r="AG643" s="43"/>
      <c r="AL643" s="43"/>
      <c r="AQ643" s="43"/>
      <c r="AV643" s="43"/>
      <c r="BA643" s="43"/>
      <c r="BF643" s="43"/>
      <c r="BK643" s="43"/>
      <c r="BQ643" s="43"/>
      <c r="BV643" s="43"/>
      <c r="CC643" s="43"/>
    </row>
    <row r="644" spans="2:81" ht="15.75" customHeight="1">
      <c r="B644" s="36"/>
      <c r="D644" s="36"/>
      <c r="F644" s="43"/>
      <c r="L644" s="43"/>
      <c r="Q644" s="43"/>
      <c r="V644" s="43"/>
      <c r="AD644" s="43"/>
      <c r="AG644" s="43"/>
      <c r="AL644" s="43"/>
      <c r="AQ644" s="43"/>
      <c r="AV644" s="43"/>
      <c r="BA644" s="43"/>
      <c r="BF644" s="43"/>
      <c r="BK644" s="43"/>
      <c r="BQ644" s="43"/>
      <c r="BV644" s="43"/>
      <c r="CC644" s="43"/>
    </row>
    <row r="645" spans="2:81" ht="15.75" customHeight="1">
      <c r="B645" s="36"/>
      <c r="D645" s="36"/>
      <c r="F645" s="43"/>
      <c r="L645" s="43"/>
      <c r="Q645" s="43"/>
      <c r="V645" s="43"/>
      <c r="AD645" s="43"/>
      <c r="AG645" s="43"/>
      <c r="AL645" s="43"/>
      <c r="AQ645" s="43"/>
      <c r="AV645" s="43"/>
      <c r="BA645" s="43"/>
      <c r="BF645" s="43"/>
      <c r="BK645" s="43"/>
      <c r="BQ645" s="43"/>
      <c r="BV645" s="43"/>
      <c r="CC645" s="43"/>
    </row>
    <row r="646" spans="2:81" ht="15.75" customHeight="1">
      <c r="B646" s="36"/>
      <c r="D646" s="36"/>
      <c r="F646" s="43"/>
      <c r="L646" s="43"/>
      <c r="Q646" s="43"/>
      <c r="V646" s="43"/>
      <c r="AD646" s="43"/>
      <c r="AG646" s="43"/>
      <c r="AL646" s="43"/>
      <c r="AQ646" s="43"/>
      <c r="AV646" s="43"/>
      <c r="BA646" s="43"/>
      <c r="BF646" s="43"/>
      <c r="BK646" s="43"/>
      <c r="BQ646" s="43"/>
      <c r="BV646" s="43"/>
      <c r="CC646" s="43"/>
    </row>
    <row r="647" spans="2:81" ht="15.75" customHeight="1">
      <c r="B647" s="36"/>
      <c r="D647" s="36"/>
      <c r="F647" s="43"/>
      <c r="L647" s="43"/>
      <c r="Q647" s="43"/>
      <c r="V647" s="43"/>
      <c r="AD647" s="43"/>
      <c r="AG647" s="43"/>
      <c r="AL647" s="43"/>
      <c r="AQ647" s="43"/>
      <c r="AV647" s="43"/>
      <c r="BA647" s="43"/>
      <c r="BF647" s="43"/>
      <c r="BK647" s="43"/>
      <c r="BQ647" s="43"/>
      <c r="BV647" s="43"/>
      <c r="CC647" s="43"/>
    </row>
    <row r="648" spans="2:81" ht="15.75" customHeight="1">
      <c r="B648" s="36"/>
      <c r="D648" s="36"/>
      <c r="F648" s="43"/>
      <c r="L648" s="43"/>
      <c r="Q648" s="43"/>
      <c r="V648" s="43"/>
      <c r="AD648" s="43"/>
      <c r="AG648" s="43"/>
      <c r="AL648" s="43"/>
      <c r="AQ648" s="43"/>
      <c r="AV648" s="43"/>
      <c r="BA648" s="43"/>
      <c r="BF648" s="43"/>
      <c r="BK648" s="43"/>
      <c r="BQ648" s="43"/>
      <c r="BV648" s="43"/>
      <c r="CC648" s="43"/>
    </row>
    <row r="649" spans="2:81" ht="15.75" customHeight="1">
      <c r="B649" s="36"/>
      <c r="D649" s="36"/>
      <c r="F649" s="43"/>
      <c r="L649" s="43"/>
      <c r="Q649" s="43"/>
      <c r="V649" s="43"/>
      <c r="AD649" s="43"/>
      <c r="AG649" s="43"/>
      <c r="AL649" s="43"/>
      <c r="AQ649" s="43"/>
      <c r="AV649" s="43"/>
      <c r="BA649" s="43"/>
      <c r="BF649" s="43"/>
      <c r="BK649" s="43"/>
      <c r="BQ649" s="43"/>
      <c r="BV649" s="43"/>
      <c r="CC649" s="43"/>
    </row>
    <row r="650" spans="2:81" ht="15.75" customHeight="1">
      <c r="B650" s="36"/>
      <c r="D650" s="36"/>
      <c r="F650" s="43"/>
      <c r="L650" s="43"/>
      <c r="Q650" s="43"/>
      <c r="V650" s="43"/>
      <c r="AD650" s="43"/>
      <c r="AG650" s="43"/>
      <c r="AL650" s="43"/>
      <c r="AQ650" s="43"/>
      <c r="AV650" s="43"/>
      <c r="BA650" s="43"/>
      <c r="BF650" s="43"/>
      <c r="BK650" s="43"/>
      <c r="BQ650" s="43"/>
      <c r="BV650" s="43"/>
      <c r="CC650" s="43"/>
    </row>
    <row r="651" spans="2:81" ht="15.75" customHeight="1">
      <c r="B651" s="36"/>
      <c r="D651" s="36"/>
      <c r="F651" s="43"/>
      <c r="L651" s="43"/>
      <c r="Q651" s="43"/>
      <c r="V651" s="43"/>
      <c r="AD651" s="43"/>
      <c r="AG651" s="43"/>
      <c r="AL651" s="43"/>
      <c r="AQ651" s="43"/>
      <c r="AV651" s="43"/>
      <c r="BA651" s="43"/>
      <c r="BF651" s="43"/>
      <c r="BK651" s="43"/>
      <c r="BQ651" s="43"/>
      <c r="BV651" s="43"/>
      <c r="CC651" s="43"/>
    </row>
    <row r="652" spans="2:81" ht="15.75" customHeight="1">
      <c r="B652" s="36"/>
      <c r="D652" s="36"/>
      <c r="F652" s="43"/>
      <c r="L652" s="43"/>
      <c r="Q652" s="43"/>
      <c r="V652" s="43"/>
      <c r="AD652" s="43"/>
      <c r="AG652" s="43"/>
      <c r="AL652" s="43"/>
      <c r="AQ652" s="43"/>
      <c r="AV652" s="43"/>
      <c r="BA652" s="43"/>
      <c r="BF652" s="43"/>
      <c r="BK652" s="43"/>
      <c r="BQ652" s="43"/>
      <c r="BV652" s="43"/>
      <c r="CC652" s="43"/>
    </row>
    <row r="653" spans="2:81" ht="15.75" customHeight="1">
      <c r="B653" s="36"/>
      <c r="D653" s="36"/>
      <c r="F653" s="43"/>
      <c r="L653" s="43"/>
      <c r="Q653" s="43"/>
      <c r="V653" s="43"/>
      <c r="AD653" s="43"/>
      <c r="AG653" s="43"/>
      <c r="AL653" s="43"/>
      <c r="AQ653" s="43"/>
      <c r="AV653" s="43"/>
      <c r="BA653" s="43"/>
      <c r="BF653" s="43"/>
      <c r="BK653" s="43"/>
      <c r="BQ653" s="43"/>
      <c r="BV653" s="43"/>
      <c r="CC653" s="43"/>
    </row>
    <row r="654" spans="2:81" ht="15.75" customHeight="1">
      <c r="B654" s="36"/>
      <c r="D654" s="36"/>
      <c r="F654" s="43"/>
      <c r="L654" s="43"/>
      <c r="Q654" s="43"/>
      <c r="V654" s="43"/>
      <c r="AD654" s="43"/>
      <c r="AG654" s="43"/>
      <c r="AL654" s="43"/>
      <c r="AQ654" s="43"/>
      <c r="AV654" s="43"/>
      <c r="BA654" s="43"/>
      <c r="BF654" s="43"/>
      <c r="BK654" s="43"/>
      <c r="BQ654" s="43"/>
      <c r="BV654" s="43"/>
      <c r="CC654" s="43"/>
    </row>
    <row r="655" spans="2:81" ht="15.75" customHeight="1">
      <c r="B655" s="36"/>
      <c r="D655" s="36"/>
      <c r="F655" s="43"/>
      <c r="L655" s="43"/>
      <c r="Q655" s="43"/>
      <c r="V655" s="43"/>
      <c r="AD655" s="43"/>
      <c r="AG655" s="43"/>
      <c r="AL655" s="43"/>
      <c r="AQ655" s="43"/>
      <c r="AV655" s="43"/>
      <c r="BA655" s="43"/>
      <c r="BF655" s="43"/>
      <c r="BK655" s="43"/>
      <c r="BQ655" s="43"/>
      <c r="BV655" s="43"/>
      <c r="CC655" s="43"/>
    </row>
    <row r="656" spans="2:81" ht="15.75" customHeight="1">
      <c r="B656" s="36"/>
      <c r="D656" s="36"/>
      <c r="F656" s="43"/>
      <c r="L656" s="43"/>
      <c r="Q656" s="43"/>
      <c r="V656" s="43"/>
      <c r="AD656" s="43"/>
      <c r="AG656" s="43"/>
      <c r="AL656" s="43"/>
      <c r="AQ656" s="43"/>
      <c r="AV656" s="43"/>
      <c r="BA656" s="43"/>
      <c r="BF656" s="43"/>
      <c r="BK656" s="43"/>
      <c r="BQ656" s="43"/>
      <c r="BV656" s="43"/>
      <c r="CC656" s="43"/>
    </row>
    <row r="657" spans="2:81" ht="15.75" customHeight="1">
      <c r="B657" s="36"/>
      <c r="D657" s="36"/>
      <c r="F657" s="43"/>
      <c r="L657" s="43"/>
      <c r="Q657" s="43"/>
      <c r="V657" s="43"/>
      <c r="AD657" s="43"/>
      <c r="AG657" s="43"/>
      <c r="AL657" s="43"/>
      <c r="AQ657" s="43"/>
      <c r="AV657" s="43"/>
      <c r="BA657" s="43"/>
      <c r="BF657" s="43"/>
      <c r="BK657" s="43"/>
      <c r="BQ657" s="43"/>
      <c r="BV657" s="43"/>
      <c r="CC657" s="43"/>
    </row>
    <row r="658" spans="2:81" ht="15.75" customHeight="1">
      <c r="B658" s="36"/>
      <c r="D658" s="36"/>
      <c r="F658" s="43"/>
      <c r="L658" s="43"/>
      <c r="Q658" s="43"/>
      <c r="V658" s="43"/>
      <c r="AD658" s="43"/>
      <c r="AG658" s="43"/>
      <c r="AL658" s="43"/>
      <c r="AQ658" s="43"/>
      <c r="AV658" s="43"/>
      <c r="BA658" s="43"/>
      <c r="BF658" s="43"/>
      <c r="BK658" s="43"/>
      <c r="BQ658" s="43"/>
      <c r="BV658" s="43"/>
      <c r="CC658" s="43"/>
    </row>
    <row r="659" spans="2:81" ht="15.75" customHeight="1">
      <c r="B659" s="36"/>
      <c r="D659" s="36"/>
      <c r="F659" s="43"/>
      <c r="L659" s="43"/>
      <c r="Q659" s="43"/>
      <c r="V659" s="43"/>
      <c r="AD659" s="43"/>
      <c r="AG659" s="43"/>
      <c r="AL659" s="43"/>
      <c r="AQ659" s="43"/>
      <c r="AV659" s="43"/>
      <c r="BA659" s="43"/>
      <c r="BF659" s="43"/>
      <c r="BK659" s="43"/>
      <c r="BQ659" s="43"/>
      <c r="BV659" s="43"/>
      <c r="CC659" s="43"/>
    </row>
    <row r="660" spans="2:81" ht="15.75" customHeight="1">
      <c r="B660" s="36"/>
      <c r="D660" s="36"/>
      <c r="F660" s="43"/>
      <c r="L660" s="43"/>
      <c r="Q660" s="43"/>
      <c r="V660" s="43"/>
      <c r="AD660" s="43"/>
      <c r="AG660" s="43"/>
      <c r="AL660" s="43"/>
      <c r="AQ660" s="43"/>
      <c r="AV660" s="43"/>
      <c r="BA660" s="43"/>
      <c r="BF660" s="43"/>
      <c r="BK660" s="43"/>
      <c r="BQ660" s="43"/>
      <c r="BV660" s="43"/>
      <c r="CC660" s="43"/>
    </row>
    <row r="661" spans="2:81" ht="15.75" customHeight="1">
      <c r="B661" s="36"/>
      <c r="D661" s="36"/>
      <c r="F661" s="43"/>
      <c r="L661" s="43"/>
      <c r="Q661" s="43"/>
      <c r="V661" s="43"/>
      <c r="AD661" s="43"/>
      <c r="AG661" s="43"/>
      <c r="AL661" s="43"/>
      <c r="AQ661" s="43"/>
      <c r="AV661" s="43"/>
      <c r="BA661" s="43"/>
      <c r="BF661" s="43"/>
      <c r="BK661" s="43"/>
      <c r="BQ661" s="43"/>
      <c r="BV661" s="43"/>
      <c r="CC661" s="43"/>
    </row>
    <row r="662" spans="2:81" ht="15.75" customHeight="1">
      <c r="B662" s="36"/>
      <c r="D662" s="36"/>
      <c r="F662" s="43"/>
      <c r="L662" s="43"/>
      <c r="Q662" s="43"/>
      <c r="V662" s="43"/>
      <c r="AD662" s="43"/>
      <c r="AG662" s="43"/>
      <c r="AL662" s="43"/>
      <c r="AQ662" s="43"/>
      <c r="AV662" s="43"/>
      <c r="BA662" s="43"/>
      <c r="BF662" s="43"/>
      <c r="BK662" s="43"/>
      <c r="BQ662" s="43"/>
      <c r="BV662" s="43"/>
      <c r="CC662" s="43"/>
    </row>
    <row r="663" spans="2:81" ht="15.75" customHeight="1">
      <c r="B663" s="36"/>
      <c r="D663" s="36"/>
      <c r="F663" s="43"/>
      <c r="L663" s="43"/>
      <c r="Q663" s="43"/>
      <c r="V663" s="43"/>
      <c r="AD663" s="43"/>
      <c r="AG663" s="43"/>
      <c r="AL663" s="43"/>
      <c r="AQ663" s="43"/>
      <c r="AV663" s="43"/>
      <c r="BA663" s="43"/>
      <c r="BF663" s="43"/>
      <c r="BK663" s="43"/>
      <c r="BQ663" s="43"/>
      <c r="BV663" s="43"/>
      <c r="CC663" s="43"/>
    </row>
    <row r="664" spans="2:81" ht="15.75" customHeight="1">
      <c r="B664" s="36"/>
      <c r="D664" s="36"/>
      <c r="F664" s="43"/>
      <c r="L664" s="43"/>
      <c r="Q664" s="43"/>
      <c r="V664" s="43"/>
      <c r="AD664" s="43"/>
      <c r="AG664" s="43"/>
      <c r="AL664" s="43"/>
      <c r="AQ664" s="43"/>
      <c r="AV664" s="43"/>
      <c r="BA664" s="43"/>
      <c r="BF664" s="43"/>
      <c r="BK664" s="43"/>
      <c r="BQ664" s="43"/>
      <c r="BV664" s="43"/>
      <c r="CC664" s="43"/>
    </row>
    <row r="665" spans="2:81" ht="15.75" customHeight="1">
      <c r="B665" s="36"/>
      <c r="D665" s="36"/>
      <c r="F665" s="43"/>
      <c r="L665" s="43"/>
      <c r="Q665" s="43"/>
      <c r="V665" s="43"/>
      <c r="AD665" s="43"/>
      <c r="AG665" s="43"/>
      <c r="AL665" s="43"/>
      <c r="AQ665" s="43"/>
      <c r="AV665" s="43"/>
      <c r="BA665" s="43"/>
      <c r="BF665" s="43"/>
      <c r="BK665" s="43"/>
      <c r="BQ665" s="43"/>
      <c r="BV665" s="43"/>
      <c r="CC665" s="43"/>
    </row>
    <row r="666" spans="2:81" ht="15.75" customHeight="1">
      <c r="B666" s="36"/>
      <c r="D666" s="36"/>
      <c r="F666" s="43"/>
      <c r="L666" s="43"/>
      <c r="Q666" s="43"/>
      <c r="V666" s="43"/>
      <c r="AD666" s="43"/>
      <c r="AG666" s="43"/>
      <c r="AL666" s="43"/>
      <c r="AQ666" s="43"/>
      <c r="AV666" s="43"/>
      <c r="BA666" s="43"/>
      <c r="BF666" s="43"/>
      <c r="BK666" s="43"/>
      <c r="BQ666" s="43"/>
      <c r="BV666" s="43"/>
      <c r="CC666" s="43"/>
    </row>
    <row r="667" spans="2:81" ht="15.75" customHeight="1">
      <c r="B667" s="36"/>
      <c r="D667" s="36"/>
      <c r="F667" s="43"/>
      <c r="L667" s="43"/>
      <c r="Q667" s="43"/>
      <c r="V667" s="43"/>
      <c r="AD667" s="43"/>
      <c r="AG667" s="43"/>
      <c r="AL667" s="43"/>
      <c r="AQ667" s="43"/>
      <c r="AV667" s="43"/>
      <c r="BA667" s="43"/>
      <c r="BF667" s="43"/>
      <c r="BK667" s="43"/>
      <c r="BQ667" s="43"/>
      <c r="BV667" s="43"/>
      <c r="CC667" s="43"/>
    </row>
    <row r="668" spans="2:81" ht="15.75" customHeight="1">
      <c r="B668" s="36"/>
      <c r="D668" s="36"/>
      <c r="F668" s="43"/>
      <c r="L668" s="43"/>
      <c r="Q668" s="43"/>
      <c r="V668" s="43"/>
      <c r="AD668" s="43"/>
      <c r="AG668" s="43"/>
      <c r="AL668" s="43"/>
      <c r="AQ668" s="43"/>
      <c r="AV668" s="43"/>
      <c r="BA668" s="43"/>
      <c r="BF668" s="43"/>
      <c r="BK668" s="43"/>
      <c r="BQ668" s="43"/>
      <c r="BV668" s="43"/>
      <c r="CC668" s="43"/>
    </row>
    <row r="669" spans="2:81" ht="15.75" customHeight="1">
      <c r="B669" s="36"/>
      <c r="D669" s="36"/>
      <c r="F669" s="43"/>
      <c r="L669" s="43"/>
      <c r="Q669" s="43"/>
      <c r="V669" s="43"/>
      <c r="AD669" s="43"/>
      <c r="AG669" s="43"/>
      <c r="AL669" s="43"/>
      <c r="AQ669" s="43"/>
      <c r="AV669" s="43"/>
      <c r="BA669" s="43"/>
      <c r="BF669" s="43"/>
      <c r="BK669" s="43"/>
      <c r="BQ669" s="43"/>
      <c r="BV669" s="43"/>
      <c r="CC669" s="43"/>
    </row>
    <row r="670" spans="2:81" ht="15.75" customHeight="1">
      <c r="B670" s="36"/>
      <c r="D670" s="36"/>
      <c r="F670" s="43"/>
      <c r="L670" s="43"/>
      <c r="Q670" s="43"/>
      <c r="V670" s="43"/>
      <c r="AD670" s="43"/>
      <c r="AG670" s="43"/>
      <c r="AL670" s="43"/>
      <c r="AQ670" s="43"/>
      <c r="AV670" s="43"/>
      <c r="BA670" s="43"/>
      <c r="BF670" s="43"/>
      <c r="BK670" s="43"/>
      <c r="BQ670" s="43"/>
      <c r="BV670" s="43"/>
      <c r="CC670" s="43"/>
    </row>
    <row r="671" spans="2:81" ht="15.75" customHeight="1">
      <c r="B671" s="36"/>
      <c r="D671" s="36"/>
      <c r="F671" s="43"/>
      <c r="L671" s="43"/>
      <c r="Q671" s="43"/>
      <c r="V671" s="43"/>
      <c r="AD671" s="43"/>
      <c r="AG671" s="43"/>
      <c r="AL671" s="43"/>
      <c r="AQ671" s="43"/>
      <c r="AV671" s="43"/>
      <c r="BA671" s="43"/>
      <c r="BF671" s="43"/>
      <c r="BK671" s="43"/>
      <c r="BQ671" s="43"/>
      <c r="BV671" s="43"/>
      <c r="CC671" s="43"/>
    </row>
    <row r="672" spans="2:81" ht="15.75" customHeight="1">
      <c r="B672" s="36"/>
      <c r="D672" s="36"/>
      <c r="F672" s="43"/>
      <c r="L672" s="43"/>
      <c r="Q672" s="43"/>
      <c r="V672" s="43"/>
      <c r="AD672" s="43"/>
      <c r="AG672" s="43"/>
      <c r="AL672" s="43"/>
      <c r="AQ672" s="43"/>
      <c r="AV672" s="43"/>
      <c r="BA672" s="43"/>
      <c r="BF672" s="43"/>
      <c r="BK672" s="43"/>
      <c r="BQ672" s="43"/>
      <c r="BV672" s="43"/>
      <c r="CC672" s="43"/>
    </row>
    <row r="673" spans="2:81" ht="15.75" customHeight="1">
      <c r="B673" s="36"/>
      <c r="D673" s="36"/>
      <c r="F673" s="43"/>
      <c r="L673" s="43"/>
      <c r="Q673" s="43"/>
      <c r="V673" s="43"/>
      <c r="AD673" s="43"/>
      <c r="AG673" s="43"/>
      <c r="AL673" s="43"/>
      <c r="AQ673" s="43"/>
      <c r="AV673" s="43"/>
      <c r="BA673" s="43"/>
      <c r="BF673" s="43"/>
      <c r="BK673" s="43"/>
      <c r="BQ673" s="43"/>
      <c r="BV673" s="43"/>
      <c r="CC673" s="43"/>
    </row>
    <row r="674" spans="2:81" ht="15.75" customHeight="1">
      <c r="B674" s="36"/>
      <c r="D674" s="36"/>
      <c r="F674" s="43"/>
      <c r="L674" s="43"/>
      <c r="Q674" s="43"/>
      <c r="V674" s="43"/>
      <c r="AD674" s="43"/>
      <c r="AG674" s="43"/>
      <c r="AL674" s="43"/>
      <c r="AQ674" s="43"/>
      <c r="AV674" s="43"/>
      <c r="BA674" s="43"/>
      <c r="BF674" s="43"/>
      <c r="BK674" s="43"/>
      <c r="BQ674" s="43"/>
      <c r="BV674" s="43"/>
      <c r="CC674" s="43"/>
    </row>
    <row r="675" spans="2:81" ht="15.75" customHeight="1">
      <c r="B675" s="36"/>
      <c r="D675" s="36"/>
      <c r="F675" s="43"/>
      <c r="L675" s="43"/>
      <c r="Q675" s="43"/>
      <c r="V675" s="43"/>
      <c r="AD675" s="43"/>
      <c r="AG675" s="43"/>
      <c r="AL675" s="43"/>
      <c r="AQ675" s="43"/>
      <c r="AV675" s="43"/>
      <c r="BA675" s="43"/>
      <c r="BF675" s="43"/>
      <c r="BK675" s="43"/>
      <c r="BQ675" s="43"/>
      <c r="BV675" s="43"/>
      <c r="CC675" s="43"/>
    </row>
    <row r="676" spans="2:81" ht="15.75" customHeight="1">
      <c r="B676" s="36"/>
      <c r="D676" s="36"/>
      <c r="F676" s="43"/>
      <c r="L676" s="43"/>
      <c r="Q676" s="43"/>
      <c r="V676" s="43"/>
      <c r="AD676" s="43"/>
      <c r="AG676" s="43"/>
      <c r="AL676" s="43"/>
      <c r="AQ676" s="43"/>
      <c r="AV676" s="43"/>
      <c r="BA676" s="43"/>
      <c r="BF676" s="43"/>
      <c r="BK676" s="43"/>
      <c r="BQ676" s="43"/>
      <c r="BV676" s="43"/>
      <c r="CC676" s="43"/>
    </row>
    <row r="677" spans="2:81" ht="15.75" customHeight="1">
      <c r="B677" s="36"/>
      <c r="D677" s="36"/>
      <c r="F677" s="43"/>
      <c r="L677" s="43"/>
      <c r="Q677" s="43"/>
      <c r="V677" s="43"/>
      <c r="AD677" s="43"/>
      <c r="AG677" s="43"/>
      <c r="AL677" s="43"/>
      <c r="AQ677" s="43"/>
      <c r="AV677" s="43"/>
      <c r="BA677" s="43"/>
      <c r="BF677" s="43"/>
      <c r="BK677" s="43"/>
      <c r="BQ677" s="43"/>
      <c r="BV677" s="43"/>
      <c r="CC677" s="43"/>
    </row>
    <row r="678" spans="2:81" ht="15.75" customHeight="1">
      <c r="B678" s="36"/>
      <c r="D678" s="36"/>
      <c r="F678" s="43"/>
      <c r="L678" s="43"/>
      <c r="Q678" s="43"/>
      <c r="V678" s="43"/>
      <c r="AD678" s="43"/>
      <c r="AG678" s="43"/>
      <c r="AL678" s="43"/>
      <c r="AQ678" s="43"/>
      <c r="AV678" s="43"/>
      <c r="BA678" s="43"/>
      <c r="BF678" s="43"/>
      <c r="BK678" s="43"/>
      <c r="BQ678" s="43"/>
      <c r="BV678" s="43"/>
      <c r="CC678" s="43"/>
    </row>
    <row r="679" spans="2:81" ht="15.75" customHeight="1">
      <c r="B679" s="36"/>
      <c r="D679" s="36"/>
      <c r="F679" s="43"/>
      <c r="L679" s="43"/>
      <c r="Q679" s="43"/>
      <c r="V679" s="43"/>
      <c r="AD679" s="43"/>
      <c r="AG679" s="43"/>
      <c r="AL679" s="43"/>
      <c r="AQ679" s="43"/>
      <c r="AV679" s="43"/>
      <c r="BA679" s="43"/>
      <c r="BF679" s="43"/>
      <c r="BK679" s="43"/>
      <c r="BQ679" s="43"/>
      <c r="BV679" s="43"/>
      <c r="CC679" s="43"/>
    </row>
    <row r="680" spans="2:81" ht="15.75" customHeight="1">
      <c r="B680" s="36"/>
      <c r="D680" s="36"/>
      <c r="F680" s="43"/>
      <c r="L680" s="43"/>
      <c r="Q680" s="43"/>
      <c r="V680" s="43"/>
      <c r="AD680" s="43"/>
      <c r="AG680" s="43"/>
      <c r="AL680" s="43"/>
      <c r="AQ680" s="43"/>
      <c r="AV680" s="43"/>
      <c r="BA680" s="43"/>
      <c r="BF680" s="43"/>
      <c r="BK680" s="43"/>
      <c r="BQ680" s="43"/>
      <c r="BV680" s="43"/>
      <c r="CC680" s="43"/>
    </row>
    <row r="681" spans="2:81" ht="15.75" customHeight="1">
      <c r="B681" s="36"/>
      <c r="D681" s="36"/>
      <c r="F681" s="43"/>
      <c r="L681" s="43"/>
      <c r="Q681" s="43"/>
      <c r="V681" s="43"/>
      <c r="AD681" s="43"/>
      <c r="AG681" s="43"/>
      <c r="AL681" s="43"/>
      <c r="AQ681" s="43"/>
      <c r="AV681" s="43"/>
      <c r="BA681" s="43"/>
      <c r="BF681" s="43"/>
      <c r="BK681" s="43"/>
      <c r="BQ681" s="43"/>
      <c r="BV681" s="43"/>
      <c r="CC681" s="43"/>
    </row>
    <row r="682" spans="2:81" ht="15.75" customHeight="1">
      <c r="B682" s="36"/>
      <c r="D682" s="36"/>
      <c r="F682" s="43"/>
      <c r="L682" s="43"/>
      <c r="Q682" s="43"/>
      <c r="V682" s="43"/>
      <c r="AD682" s="43"/>
      <c r="AG682" s="43"/>
      <c r="AL682" s="43"/>
      <c r="AQ682" s="43"/>
      <c r="AV682" s="43"/>
      <c r="BA682" s="43"/>
      <c r="BF682" s="43"/>
      <c r="BK682" s="43"/>
      <c r="BQ682" s="43"/>
      <c r="BV682" s="43"/>
      <c r="CC682" s="43"/>
    </row>
    <row r="683" spans="2:81" ht="15.75" customHeight="1">
      <c r="B683" s="36"/>
      <c r="D683" s="36"/>
      <c r="F683" s="43"/>
      <c r="L683" s="43"/>
      <c r="Q683" s="43"/>
      <c r="V683" s="43"/>
      <c r="AD683" s="43"/>
      <c r="AG683" s="43"/>
      <c r="AL683" s="43"/>
      <c r="AQ683" s="43"/>
      <c r="AV683" s="43"/>
      <c r="BA683" s="43"/>
      <c r="BF683" s="43"/>
      <c r="BK683" s="43"/>
      <c r="BQ683" s="43"/>
      <c r="BV683" s="43"/>
      <c r="CC683" s="43"/>
    </row>
    <row r="684" spans="2:81" ht="15.75" customHeight="1">
      <c r="B684" s="36"/>
      <c r="D684" s="36"/>
      <c r="F684" s="43"/>
      <c r="L684" s="43"/>
      <c r="Q684" s="43"/>
      <c r="V684" s="43"/>
      <c r="AD684" s="43"/>
      <c r="AG684" s="43"/>
      <c r="AL684" s="43"/>
      <c r="AQ684" s="43"/>
      <c r="AV684" s="43"/>
      <c r="BA684" s="43"/>
      <c r="BF684" s="43"/>
      <c r="BK684" s="43"/>
      <c r="BQ684" s="43"/>
      <c r="BV684" s="43"/>
      <c r="CC684" s="43"/>
    </row>
    <row r="685" spans="2:81" ht="15.75" customHeight="1">
      <c r="B685" s="36"/>
      <c r="D685" s="36"/>
      <c r="F685" s="43"/>
      <c r="L685" s="43"/>
      <c r="Q685" s="43"/>
      <c r="V685" s="43"/>
      <c r="AD685" s="43"/>
      <c r="AG685" s="43"/>
      <c r="AL685" s="43"/>
      <c r="AQ685" s="43"/>
      <c r="AV685" s="43"/>
      <c r="BA685" s="43"/>
      <c r="BF685" s="43"/>
      <c r="BK685" s="43"/>
      <c r="BQ685" s="43"/>
      <c r="BV685" s="43"/>
      <c r="CC685" s="43"/>
    </row>
    <row r="686" spans="2:81" ht="15.75" customHeight="1">
      <c r="B686" s="36"/>
      <c r="D686" s="36"/>
      <c r="F686" s="43"/>
      <c r="L686" s="43"/>
      <c r="Q686" s="43"/>
      <c r="V686" s="43"/>
      <c r="AD686" s="43"/>
      <c r="AG686" s="43"/>
      <c r="AL686" s="43"/>
      <c r="AQ686" s="43"/>
      <c r="AV686" s="43"/>
      <c r="BA686" s="43"/>
      <c r="BF686" s="43"/>
      <c r="BK686" s="43"/>
      <c r="BQ686" s="43"/>
      <c r="BV686" s="43"/>
      <c r="CC686" s="43"/>
    </row>
    <row r="687" spans="2:81" ht="15.75" customHeight="1">
      <c r="B687" s="36"/>
      <c r="D687" s="36"/>
      <c r="F687" s="43"/>
      <c r="L687" s="43"/>
      <c r="Q687" s="43"/>
      <c r="V687" s="43"/>
      <c r="AD687" s="43"/>
      <c r="AG687" s="43"/>
      <c r="AL687" s="43"/>
      <c r="AQ687" s="43"/>
      <c r="AV687" s="43"/>
      <c r="BA687" s="43"/>
      <c r="BF687" s="43"/>
      <c r="BK687" s="43"/>
      <c r="BQ687" s="43"/>
      <c r="BV687" s="43"/>
      <c r="CC687" s="43"/>
    </row>
    <row r="688" spans="2:81" ht="15.75" customHeight="1">
      <c r="B688" s="36"/>
      <c r="D688" s="36"/>
      <c r="F688" s="43"/>
      <c r="L688" s="43"/>
      <c r="Q688" s="43"/>
      <c r="V688" s="43"/>
      <c r="AD688" s="43"/>
      <c r="AG688" s="43"/>
      <c r="AL688" s="43"/>
      <c r="AQ688" s="43"/>
      <c r="AV688" s="43"/>
      <c r="BA688" s="43"/>
      <c r="BF688" s="43"/>
      <c r="BK688" s="43"/>
      <c r="BQ688" s="43"/>
      <c r="BV688" s="43"/>
      <c r="CC688" s="43"/>
    </row>
    <row r="689" spans="2:81" ht="15.75" customHeight="1">
      <c r="B689" s="36"/>
      <c r="D689" s="36"/>
      <c r="F689" s="43"/>
      <c r="L689" s="43"/>
      <c r="Q689" s="43"/>
      <c r="V689" s="43"/>
      <c r="AD689" s="43"/>
      <c r="AG689" s="43"/>
      <c r="AL689" s="43"/>
      <c r="AQ689" s="43"/>
      <c r="AV689" s="43"/>
      <c r="BA689" s="43"/>
      <c r="BF689" s="43"/>
      <c r="BK689" s="43"/>
      <c r="BQ689" s="43"/>
      <c r="BV689" s="43"/>
      <c r="CC689" s="43"/>
    </row>
    <row r="690" spans="2:81" ht="15.75" customHeight="1">
      <c r="B690" s="36"/>
      <c r="D690" s="36"/>
      <c r="F690" s="43"/>
      <c r="L690" s="43"/>
      <c r="Q690" s="43"/>
      <c r="V690" s="43"/>
      <c r="AD690" s="43"/>
      <c r="AG690" s="43"/>
      <c r="AL690" s="43"/>
      <c r="AQ690" s="43"/>
      <c r="AV690" s="43"/>
      <c r="BA690" s="43"/>
      <c r="BF690" s="43"/>
      <c r="BK690" s="43"/>
      <c r="BQ690" s="43"/>
      <c r="BV690" s="43"/>
      <c r="CC690" s="43"/>
    </row>
    <row r="691" spans="2:81" ht="15.75" customHeight="1">
      <c r="B691" s="36"/>
      <c r="D691" s="36"/>
      <c r="F691" s="43"/>
      <c r="L691" s="43"/>
      <c r="Q691" s="43"/>
      <c r="V691" s="43"/>
      <c r="AD691" s="43"/>
      <c r="AG691" s="43"/>
      <c r="AL691" s="43"/>
      <c r="AQ691" s="43"/>
      <c r="AV691" s="43"/>
      <c r="BA691" s="43"/>
      <c r="BF691" s="43"/>
      <c r="BK691" s="43"/>
      <c r="BQ691" s="43"/>
      <c r="BV691" s="43"/>
      <c r="CC691" s="43"/>
    </row>
    <row r="692" spans="2:81" ht="15.75" customHeight="1">
      <c r="B692" s="36"/>
      <c r="D692" s="36"/>
      <c r="F692" s="43"/>
      <c r="L692" s="43"/>
      <c r="Q692" s="43"/>
      <c r="V692" s="43"/>
      <c r="AD692" s="43"/>
      <c r="AG692" s="43"/>
      <c r="AL692" s="43"/>
      <c r="AQ692" s="43"/>
      <c r="AV692" s="43"/>
      <c r="BA692" s="43"/>
      <c r="BF692" s="43"/>
      <c r="BK692" s="43"/>
      <c r="BQ692" s="43"/>
      <c r="BV692" s="43"/>
      <c r="CC692" s="43"/>
    </row>
    <row r="693" spans="2:81" ht="15.75" customHeight="1">
      <c r="B693" s="36"/>
      <c r="D693" s="36"/>
      <c r="F693" s="43"/>
      <c r="L693" s="43"/>
      <c r="Q693" s="43"/>
      <c r="V693" s="43"/>
      <c r="AD693" s="43"/>
      <c r="AG693" s="43"/>
      <c r="AL693" s="43"/>
      <c r="AQ693" s="43"/>
      <c r="AV693" s="43"/>
      <c r="BA693" s="43"/>
      <c r="BF693" s="43"/>
      <c r="BK693" s="43"/>
      <c r="BQ693" s="43"/>
      <c r="BV693" s="43"/>
      <c r="CC693" s="43"/>
    </row>
    <row r="694" spans="2:81" ht="15.75" customHeight="1">
      <c r="B694" s="36"/>
      <c r="D694" s="36"/>
      <c r="F694" s="43"/>
      <c r="L694" s="43"/>
      <c r="Q694" s="43"/>
      <c r="V694" s="43"/>
      <c r="AD694" s="43"/>
      <c r="AG694" s="43"/>
      <c r="AL694" s="43"/>
      <c r="AQ694" s="43"/>
      <c r="AV694" s="43"/>
      <c r="BA694" s="43"/>
      <c r="BF694" s="43"/>
      <c r="BK694" s="43"/>
      <c r="BQ694" s="43"/>
      <c r="BV694" s="43"/>
      <c r="CC694" s="43"/>
    </row>
    <row r="695" spans="2:81" ht="15.75" customHeight="1">
      <c r="B695" s="36"/>
      <c r="D695" s="36"/>
      <c r="F695" s="43"/>
      <c r="L695" s="43"/>
      <c r="Q695" s="43"/>
      <c r="V695" s="43"/>
      <c r="AD695" s="43"/>
      <c r="AG695" s="43"/>
      <c r="AL695" s="43"/>
      <c r="AQ695" s="43"/>
      <c r="AV695" s="43"/>
      <c r="BA695" s="43"/>
      <c r="BF695" s="43"/>
      <c r="BK695" s="43"/>
      <c r="BQ695" s="43"/>
      <c r="BV695" s="43"/>
      <c r="CC695" s="43"/>
    </row>
    <row r="696" spans="2:81" ht="15.75" customHeight="1">
      <c r="B696" s="36"/>
      <c r="D696" s="36"/>
      <c r="F696" s="43"/>
      <c r="L696" s="43"/>
      <c r="Q696" s="43"/>
      <c r="V696" s="43"/>
      <c r="AD696" s="43"/>
      <c r="AG696" s="43"/>
      <c r="AL696" s="43"/>
      <c r="AQ696" s="43"/>
      <c r="AV696" s="43"/>
      <c r="BA696" s="43"/>
      <c r="BF696" s="43"/>
      <c r="BK696" s="43"/>
      <c r="BQ696" s="43"/>
      <c r="BV696" s="43"/>
      <c r="CC696" s="43"/>
    </row>
    <row r="697" spans="2:81" ht="15.75" customHeight="1">
      <c r="B697" s="36"/>
      <c r="D697" s="36"/>
      <c r="F697" s="43"/>
      <c r="L697" s="43"/>
      <c r="Q697" s="43"/>
      <c r="V697" s="43"/>
      <c r="AD697" s="43"/>
      <c r="AG697" s="43"/>
      <c r="AL697" s="43"/>
      <c r="AQ697" s="43"/>
      <c r="AV697" s="43"/>
      <c r="BA697" s="43"/>
      <c r="BF697" s="43"/>
      <c r="BK697" s="43"/>
      <c r="BQ697" s="43"/>
      <c r="BV697" s="43"/>
      <c r="CC697" s="43"/>
    </row>
    <row r="698" spans="2:81" ht="15.75" customHeight="1">
      <c r="B698" s="36"/>
      <c r="D698" s="36"/>
      <c r="F698" s="43"/>
      <c r="L698" s="43"/>
      <c r="Q698" s="43"/>
      <c r="V698" s="43"/>
      <c r="AD698" s="43"/>
      <c r="AG698" s="43"/>
      <c r="AL698" s="43"/>
      <c r="AQ698" s="43"/>
      <c r="AV698" s="43"/>
      <c r="BA698" s="43"/>
      <c r="BF698" s="43"/>
      <c r="BK698" s="43"/>
      <c r="BQ698" s="43"/>
      <c r="BV698" s="43"/>
      <c r="CC698" s="43"/>
    </row>
    <row r="699" spans="2:81" ht="15.75" customHeight="1">
      <c r="B699" s="36"/>
      <c r="D699" s="36"/>
      <c r="F699" s="43"/>
      <c r="L699" s="43"/>
      <c r="Q699" s="43"/>
      <c r="V699" s="43"/>
      <c r="AD699" s="43"/>
      <c r="AG699" s="43"/>
      <c r="AL699" s="43"/>
      <c r="AQ699" s="43"/>
      <c r="AV699" s="43"/>
      <c r="BA699" s="43"/>
      <c r="BF699" s="43"/>
      <c r="BK699" s="43"/>
      <c r="BQ699" s="43"/>
      <c r="BV699" s="43"/>
      <c r="CC699" s="43"/>
    </row>
    <row r="700" spans="2:81" ht="15.75" customHeight="1">
      <c r="B700" s="36"/>
      <c r="D700" s="36"/>
      <c r="F700" s="43"/>
      <c r="L700" s="43"/>
      <c r="Q700" s="43"/>
      <c r="V700" s="43"/>
      <c r="AD700" s="43"/>
      <c r="AG700" s="43"/>
      <c r="AL700" s="43"/>
      <c r="AQ700" s="43"/>
      <c r="AV700" s="43"/>
      <c r="BA700" s="43"/>
      <c r="BF700" s="43"/>
      <c r="BK700" s="43"/>
      <c r="BQ700" s="43"/>
      <c r="BV700" s="43"/>
      <c r="CC700" s="43"/>
    </row>
    <row r="701" spans="2:81" ht="15.75" customHeight="1">
      <c r="B701" s="36"/>
      <c r="D701" s="36"/>
      <c r="F701" s="43"/>
      <c r="L701" s="43"/>
      <c r="Q701" s="43"/>
      <c r="V701" s="43"/>
      <c r="AD701" s="43"/>
      <c r="AG701" s="43"/>
      <c r="AL701" s="43"/>
      <c r="AQ701" s="43"/>
      <c r="AV701" s="43"/>
      <c r="BA701" s="43"/>
      <c r="BF701" s="43"/>
      <c r="BK701" s="43"/>
      <c r="BQ701" s="43"/>
      <c r="BV701" s="43"/>
      <c r="CC701" s="43"/>
    </row>
    <row r="702" spans="2:81" ht="15.75" customHeight="1">
      <c r="B702" s="36"/>
      <c r="D702" s="36"/>
      <c r="F702" s="43"/>
      <c r="L702" s="43"/>
      <c r="Q702" s="43"/>
      <c r="V702" s="43"/>
      <c r="AD702" s="43"/>
      <c r="AG702" s="43"/>
      <c r="AL702" s="43"/>
      <c r="AQ702" s="43"/>
      <c r="AV702" s="43"/>
      <c r="BA702" s="43"/>
      <c r="BF702" s="43"/>
      <c r="BK702" s="43"/>
      <c r="BQ702" s="43"/>
      <c r="BV702" s="43"/>
      <c r="CC702" s="43"/>
    </row>
    <row r="703" spans="2:81" ht="15.75" customHeight="1">
      <c r="B703" s="36"/>
      <c r="D703" s="36"/>
      <c r="F703" s="43"/>
      <c r="L703" s="43"/>
      <c r="Q703" s="43"/>
      <c r="V703" s="43"/>
      <c r="AD703" s="43"/>
      <c r="AG703" s="43"/>
      <c r="AL703" s="43"/>
      <c r="AQ703" s="43"/>
      <c r="AV703" s="43"/>
      <c r="BA703" s="43"/>
      <c r="BF703" s="43"/>
      <c r="BK703" s="43"/>
      <c r="BQ703" s="43"/>
      <c r="BV703" s="43"/>
      <c r="CC703" s="43"/>
    </row>
    <row r="704" spans="2:81" ht="15.75" customHeight="1">
      <c r="B704" s="36"/>
      <c r="D704" s="36"/>
      <c r="F704" s="43"/>
      <c r="L704" s="43"/>
      <c r="Q704" s="43"/>
      <c r="V704" s="43"/>
      <c r="AD704" s="43"/>
      <c r="AG704" s="43"/>
      <c r="AL704" s="43"/>
      <c r="AQ704" s="43"/>
      <c r="AV704" s="43"/>
      <c r="BA704" s="43"/>
      <c r="BF704" s="43"/>
      <c r="BK704" s="43"/>
      <c r="BQ704" s="43"/>
      <c r="BV704" s="43"/>
      <c r="CC704" s="43"/>
    </row>
    <row r="705" spans="2:81" ht="15.75" customHeight="1">
      <c r="B705" s="36"/>
      <c r="D705" s="36"/>
      <c r="F705" s="43"/>
      <c r="L705" s="43"/>
      <c r="Q705" s="43"/>
      <c r="V705" s="43"/>
      <c r="AD705" s="43"/>
      <c r="AG705" s="43"/>
      <c r="AL705" s="43"/>
      <c r="AQ705" s="43"/>
      <c r="AV705" s="43"/>
      <c r="BA705" s="43"/>
      <c r="BF705" s="43"/>
      <c r="BK705" s="43"/>
      <c r="BQ705" s="43"/>
      <c r="BV705" s="43"/>
      <c r="CC705" s="43"/>
    </row>
    <row r="706" spans="2:81" ht="15.75" customHeight="1">
      <c r="B706" s="36"/>
      <c r="D706" s="36"/>
      <c r="F706" s="43"/>
      <c r="L706" s="43"/>
      <c r="Q706" s="43"/>
      <c r="V706" s="43"/>
      <c r="AD706" s="43"/>
      <c r="AG706" s="43"/>
      <c r="AL706" s="43"/>
      <c r="AQ706" s="43"/>
      <c r="AV706" s="43"/>
      <c r="BA706" s="43"/>
      <c r="BF706" s="43"/>
      <c r="BK706" s="43"/>
      <c r="BQ706" s="43"/>
      <c r="BV706" s="43"/>
      <c r="CC706" s="43"/>
    </row>
    <row r="707" spans="2:81" ht="15.75" customHeight="1">
      <c r="B707" s="36"/>
      <c r="D707" s="36"/>
      <c r="F707" s="43"/>
      <c r="L707" s="43"/>
      <c r="Q707" s="43"/>
      <c r="V707" s="43"/>
      <c r="AD707" s="43"/>
      <c r="AG707" s="43"/>
      <c r="AL707" s="43"/>
      <c r="AQ707" s="43"/>
      <c r="AV707" s="43"/>
      <c r="BA707" s="43"/>
      <c r="BF707" s="43"/>
      <c r="BK707" s="43"/>
      <c r="BQ707" s="43"/>
      <c r="BV707" s="43"/>
      <c r="CC707" s="43"/>
    </row>
    <row r="708" spans="2:81" ht="15.75" customHeight="1">
      <c r="B708" s="36"/>
      <c r="D708" s="36"/>
      <c r="F708" s="43"/>
      <c r="L708" s="43"/>
      <c r="Q708" s="43"/>
      <c r="V708" s="43"/>
      <c r="AD708" s="43"/>
      <c r="AG708" s="43"/>
      <c r="AL708" s="43"/>
      <c r="AQ708" s="43"/>
      <c r="AV708" s="43"/>
      <c r="BA708" s="43"/>
      <c r="BF708" s="43"/>
      <c r="BK708" s="43"/>
      <c r="BQ708" s="43"/>
      <c r="BV708" s="43"/>
      <c r="CC708" s="43"/>
    </row>
    <row r="709" spans="2:81" ht="15.75" customHeight="1">
      <c r="B709" s="36"/>
      <c r="D709" s="36"/>
      <c r="F709" s="43"/>
      <c r="L709" s="43"/>
      <c r="Q709" s="43"/>
      <c r="V709" s="43"/>
      <c r="AD709" s="43"/>
      <c r="AG709" s="43"/>
      <c r="AL709" s="43"/>
      <c r="AQ709" s="43"/>
      <c r="AV709" s="43"/>
      <c r="BA709" s="43"/>
      <c r="BF709" s="43"/>
      <c r="BK709" s="43"/>
      <c r="BQ709" s="43"/>
      <c r="BV709" s="43"/>
      <c r="CC709" s="43"/>
    </row>
    <row r="710" spans="2:81" ht="15.75" customHeight="1">
      <c r="B710" s="36"/>
      <c r="D710" s="36"/>
      <c r="F710" s="43"/>
      <c r="L710" s="43"/>
      <c r="Q710" s="43"/>
      <c r="V710" s="43"/>
      <c r="AD710" s="43"/>
      <c r="AG710" s="43"/>
      <c r="AL710" s="43"/>
      <c r="AQ710" s="43"/>
      <c r="AV710" s="43"/>
      <c r="BA710" s="43"/>
      <c r="BF710" s="43"/>
      <c r="BK710" s="43"/>
      <c r="BQ710" s="43"/>
      <c r="BV710" s="43"/>
      <c r="CC710" s="43"/>
    </row>
    <row r="711" spans="2:81" ht="15.75" customHeight="1">
      <c r="B711" s="36"/>
      <c r="D711" s="36"/>
      <c r="F711" s="43"/>
      <c r="L711" s="43"/>
      <c r="Q711" s="43"/>
      <c r="V711" s="43"/>
      <c r="AD711" s="43"/>
      <c r="AG711" s="43"/>
      <c r="AL711" s="43"/>
      <c r="AQ711" s="43"/>
      <c r="AV711" s="43"/>
      <c r="BA711" s="43"/>
      <c r="BF711" s="43"/>
      <c r="BK711" s="43"/>
      <c r="BQ711" s="43"/>
      <c r="BV711" s="43"/>
      <c r="CC711" s="43"/>
    </row>
    <row r="712" spans="2:81" ht="15.75" customHeight="1">
      <c r="B712" s="36"/>
      <c r="D712" s="36"/>
      <c r="F712" s="43"/>
      <c r="L712" s="43"/>
      <c r="Q712" s="43"/>
      <c r="V712" s="43"/>
      <c r="AD712" s="43"/>
      <c r="AG712" s="43"/>
      <c r="AL712" s="43"/>
      <c r="AQ712" s="43"/>
      <c r="AV712" s="43"/>
      <c r="BA712" s="43"/>
      <c r="BF712" s="43"/>
      <c r="BK712" s="43"/>
      <c r="BQ712" s="43"/>
      <c r="BV712" s="43"/>
      <c r="CC712" s="43"/>
    </row>
    <row r="713" spans="2:81" ht="15.75" customHeight="1">
      <c r="B713" s="36"/>
      <c r="D713" s="36"/>
      <c r="F713" s="43"/>
      <c r="L713" s="43"/>
      <c r="Q713" s="43"/>
      <c r="V713" s="43"/>
      <c r="AD713" s="43"/>
      <c r="AG713" s="43"/>
      <c r="AL713" s="43"/>
      <c r="AQ713" s="43"/>
      <c r="AV713" s="43"/>
      <c r="BA713" s="43"/>
      <c r="BF713" s="43"/>
      <c r="BK713" s="43"/>
      <c r="BQ713" s="43"/>
      <c r="BV713" s="43"/>
      <c r="CC713" s="43"/>
    </row>
    <row r="714" spans="2:81" ht="15.75" customHeight="1">
      <c r="B714" s="36"/>
      <c r="D714" s="36"/>
      <c r="F714" s="43"/>
      <c r="L714" s="43"/>
      <c r="Q714" s="43"/>
      <c r="V714" s="43"/>
      <c r="AD714" s="43"/>
      <c r="AG714" s="43"/>
      <c r="AL714" s="43"/>
      <c r="AQ714" s="43"/>
      <c r="AV714" s="43"/>
      <c r="BA714" s="43"/>
      <c r="BF714" s="43"/>
      <c r="BK714" s="43"/>
      <c r="BQ714" s="43"/>
      <c r="BV714" s="43"/>
      <c r="CC714" s="43"/>
    </row>
    <row r="715" spans="2:81" ht="15.75" customHeight="1">
      <c r="B715" s="36"/>
      <c r="D715" s="36"/>
      <c r="F715" s="43"/>
      <c r="L715" s="43"/>
      <c r="Q715" s="43"/>
      <c r="V715" s="43"/>
      <c r="AD715" s="43"/>
      <c r="AG715" s="43"/>
      <c r="AL715" s="43"/>
      <c r="AQ715" s="43"/>
      <c r="AV715" s="43"/>
      <c r="BA715" s="43"/>
      <c r="BF715" s="43"/>
      <c r="BK715" s="43"/>
      <c r="BQ715" s="43"/>
      <c r="BV715" s="43"/>
      <c r="CC715" s="43"/>
    </row>
    <row r="716" spans="2:81" ht="15.75" customHeight="1">
      <c r="B716" s="36"/>
      <c r="D716" s="36"/>
      <c r="F716" s="43"/>
      <c r="L716" s="43"/>
      <c r="Q716" s="43"/>
      <c r="V716" s="43"/>
      <c r="AD716" s="43"/>
      <c r="AG716" s="43"/>
      <c r="AL716" s="43"/>
      <c r="AQ716" s="43"/>
      <c r="AV716" s="43"/>
      <c r="BA716" s="43"/>
      <c r="BF716" s="43"/>
      <c r="BK716" s="43"/>
      <c r="BQ716" s="43"/>
      <c r="BV716" s="43"/>
      <c r="CC716" s="43"/>
    </row>
    <row r="717" spans="2:81" ht="15.75" customHeight="1">
      <c r="B717" s="36"/>
      <c r="D717" s="36"/>
      <c r="F717" s="43"/>
      <c r="L717" s="43"/>
      <c r="Q717" s="43"/>
      <c r="V717" s="43"/>
      <c r="AD717" s="43"/>
      <c r="AG717" s="43"/>
      <c r="AL717" s="43"/>
      <c r="AQ717" s="43"/>
      <c r="AV717" s="43"/>
      <c r="BA717" s="43"/>
      <c r="BF717" s="43"/>
      <c r="BK717" s="43"/>
      <c r="BQ717" s="43"/>
      <c r="BV717" s="43"/>
      <c r="CC717" s="43"/>
    </row>
    <row r="718" spans="2:81" ht="15.75" customHeight="1">
      <c r="B718" s="36"/>
      <c r="D718" s="36"/>
      <c r="F718" s="43"/>
      <c r="L718" s="43"/>
      <c r="Q718" s="43"/>
      <c r="V718" s="43"/>
      <c r="AD718" s="43"/>
      <c r="AG718" s="43"/>
      <c r="AL718" s="43"/>
      <c r="AQ718" s="43"/>
      <c r="AV718" s="43"/>
      <c r="BA718" s="43"/>
      <c r="BF718" s="43"/>
      <c r="BK718" s="43"/>
      <c r="BQ718" s="43"/>
      <c r="BV718" s="43"/>
      <c r="CC718" s="43"/>
    </row>
    <row r="719" spans="2:81" ht="15.75" customHeight="1">
      <c r="B719" s="36"/>
      <c r="D719" s="36"/>
      <c r="F719" s="43"/>
      <c r="L719" s="43"/>
      <c r="Q719" s="43"/>
      <c r="V719" s="43"/>
      <c r="AD719" s="43"/>
      <c r="AG719" s="43"/>
      <c r="AL719" s="43"/>
      <c r="AQ719" s="43"/>
      <c r="AV719" s="43"/>
      <c r="BA719" s="43"/>
      <c r="BF719" s="43"/>
      <c r="BK719" s="43"/>
      <c r="BQ719" s="43"/>
      <c r="BV719" s="43"/>
      <c r="CC719" s="43"/>
    </row>
    <row r="720" spans="2:81" ht="15.75" customHeight="1">
      <c r="B720" s="36"/>
      <c r="D720" s="36"/>
      <c r="F720" s="43"/>
      <c r="L720" s="43"/>
      <c r="Q720" s="43"/>
      <c r="V720" s="43"/>
      <c r="AD720" s="43"/>
      <c r="AG720" s="43"/>
      <c r="AL720" s="43"/>
      <c r="AQ720" s="43"/>
      <c r="AV720" s="43"/>
      <c r="BA720" s="43"/>
      <c r="BF720" s="43"/>
      <c r="BK720" s="43"/>
      <c r="BQ720" s="43"/>
      <c r="BV720" s="43"/>
      <c r="CC720" s="43"/>
    </row>
    <row r="721" spans="2:81" ht="15.75" customHeight="1">
      <c r="B721" s="36"/>
      <c r="D721" s="36"/>
      <c r="F721" s="43"/>
      <c r="L721" s="43"/>
      <c r="Q721" s="43"/>
      <c r="V721" s="43"/>
      <c r="AD721" s="43"/>
      <c r="AG721" s="43"/>
      <c r="AL721" s="43"/>
      <c r="AQ721" s="43"/>
      <c r="AV721" s="43"/>
      <c r="BA721" s="43"/>
      <c r="BF721" s="43"/>
      <c r="BK721" s="43"/>
      <c r="BQ721" s="43"/>
      <c r="BV721" s="43"/>
      <c r="CC721" s="43"/>
    </row>
    <row r="722" spans="2:81" ht="15.75" customHeight="1">
      <c r="B722" s="36"/>
      <c r="D722" s="36"/>
      <c r="F722" s="43"/>
      <c r="L722" s="43"/>
      <c r="Q722" s="43"/>
      <c r="V722" s="43"/>
      <c r="AD722" s="43"/>
      <c r="AG722" s="43"/>
      <c r="AL722" s="43"/>
      <c r="AQ722" s="43"/>
      <c r="AV722" s="43"/>
      <c r="BA722" s="43"/>
      <c r="BF722" s="43"/>
      <c r="BK722" s="43"/>
      <c r="BQ722" s="43"/>
      <c r="BV722" s="43"/>
      <c r="CC722" s="43"/>
    </row>
    <row r="723" spans="2:81" ht="15.75" customHeight="1">
      <c r="B723" s="36"/>
      <c r="D723" s="36"/>
      <c r="F723" s="43"/>
      <c r="L723" s="43"/>
      <c r="Q723" s="43"/>
      <c r="V723" s="43"/>
      <c r="AD723" s="43"/>
      <c r="AG723" s="43"/>
      <c r="AL723" s="43"/>
      <c r="AQ723" s="43"/>
      <c r="AV723" s="43"/>
      <c r="BA723" s="43"/>
      <c r="BF723" s="43"/>
      <c r="BK723" s="43"/>
      <c r="BQ723" s="43"/>
      <c r="BV723" s="43"/>
      <c r="CC723" s="43"/>
    </row>
    <row r="724" spans="2:81" ht="15.75" customHeight="1">
      <c r="B724" s="36"/>
      <c r="D724" s="36"/>
      <c r="F724" s="43"/>
      <c r="L724" s="43"/>
      <c r="Q724" s="43"/>
      <c r="V724" s="43"/>
      <c r="AD724" s="43"/>
      <c r="AG724" s="43"/>
      <c r="AL724" s="43"/>
      <c r="AQ724" s="43"/>
      <c r="AV724" s="43"/>
      <c r="BA724" s="43"/>
      <c r="BF724" s="43"/>
      <c r="BK724" s="43"/>
      <c r="BQ724" s="43"/>
      <c r="BV724" s="43"/>
      <c r="CC724" s="43"/>
    </row>
    <row r="725" spans="2:81" ht="15.75" customHeight="1">
      <c r="B725" s="36"/>
      <c r="D725" s="36"/>
      <c r="F725" s="43"/>
      <c r="L725" s="43"/>
      <c r="Q725" s="43"/>
      <c r="V725" s="43"/>
      <c r="AD725" s="43"/>
      <c r="AG725" s="43"/>
      <c r="AL725" s="43"/>
      <c r="AQ725" s="43"/>
      <c r="AV725" s="43"/>
      <c r="BA725" s="43"/>
      <c r="BF725" s="43"/>
      <c r="BK725" s="43"/>
      <c r="BQ725" s="43"/>
      <c r="BV725" s="43"/>
      <c r="CC725" s="43"/>
    </row>
    <row r="726" spans="2:81" ht="15.75" customHeight="1">
      <c r="B726" s="36"/>
      <c r="D726" s="36"/>
      <c r="F726" s="43"/>
      <c r="L726" s="43"/>
      <c r="Q726" s="43"/>
      <c r="V726" s="43"/>
      <c r="AD726" s="43"/>
      <c r="AG726" s="43"/>
      <c r="AL726" s="43"/>
      <c r="AQ726" s="43"/>
      <c r="AV726" s="43"/>
      <c r="BA726" s="43"/>
      <c r="BF726" s="43"/>
      <c r="BK726" s="43"/>
      <c r="BQ726" s="43"/>
      <c r="BV726" s="43"/>
      <c r="CC726" s="43"/>
    </row>
    <row r="727" spans="2:81" ht="15.75" customHeight="1">
      <c r="B727" s="36"/>
      <c r="D727" s="36"/>
      <c r="F727" s="43"/>
      <c r="L727" s="43"/>
      <c r="Q727" s="43"/>
      <c r="V727" s="43"/>
      <c r="AD727" s="43"/>
      <c r="AG727" s="43"/>
      <c r="AL727" s="43"/>
      <c r="AQ727" s="43"/>
      <c r="AV727" s="43"/>
      <c r="BA727" s="43"/>
      <c r="BF727" s="43"/>
      <c r="BK727" s="43"/>
      <c r="BQ727" s="43"/>
      <c r="BV727" s="43"/>
      <c r="CC727" s="43"/>
    </row>
    <row r="728" spans="2:81" ht="15.75" customHeight="1">
      <c r="B728" s="36"/>
      <c r="D728" s="36"/>
      <c r="F728" s="43"/>
      <c r="L728" s="43"/>
      <c r="Q728" s="43"/>
      <c r="V728" s="43"/>
      <c r="AD728" s="43"/>
      <c r="AG728" s="43"/>
      <c r="AL728" s="43"/>
      <c r="AQ728" s="43"/>
      <c r="AV728" s="43"/>
      <c r="BA728" s="43"/>
      <c r="BF728" s="43"/>
      <c r="BK728" s="43"/>
      <c r="BQ728" s="43"/>
      <c r="BV728" s="43"/>
      <c r="CC728" s="43"/>
    </row>
    <row r="729" spans="2:81" ht="15.75" customHeight="1">
      <c r="B729" s="36"/>
      <c r="D729" s="36"/>
      <c r="F729" s="43"/>
      <c r="L729" s="43"/>
      <c r="Q729" s="43"/>
      <c r="V729" s="43"/>
      <c r="AD729" s="43"/>
      <c r="AG729" s="43"/>
      <c r="AL729" s="43"/>
      <c r="AQ729" s="43"/>
      <c r="AV729" s="43"/>
      <c r="BA729" s="43"/>
      <c r="BF729" s="43"/>
      <c r="BK729" s="43"/>
      <c r="BQ729" s="43"/>
      <c r="BV729" s="43"/>
      <c r="CC729" s="43"/>
    </row>
    <row r="730" spans="2:81" ht="15.75" customHeight="1">
      <c r="B730" s="36"/>
      <c r="D730" s="36"/>
      <c r="F730" s="43"/>
      <c r="L730" s="43"/>
      <c r="Q730" s="43"/>
      <c r="V730" s="43"/>
      <c r="AD730" s="43"/>
      <c r="AG730" s="43"/>
      <c r="AL730" s="43"/>
      <c r="AQ730" s="43"/>
      <c r="AV730" s="43"/>
      <c r="BA730" s="43"/>
      <c r="BF730" s="43"/>
      <c r="BK730" s="43"/>
      <c r="BQ730" s="43"/>
      <c r="BV730" s="43"/>
      <c r="CC730" s="43"/>
    </row>
    <row r="731" spans="2:81" ht="15.75" customHeight="1">
      <c r="B731" s="36"/>
      <c r="D731" s="36"/>
      <c r="F731" s="43"/>
      <c r="L731" s="43"/>
      <c r="Q731" s="43"/>
      <c r="V731" s="43"/>
      <c r="AD731" s="43"/>
      <c r="AG731" s="43"/>
      <c r="AL731" s="43"/>
      <c r="AQ731" s="43"/>
      <c r="AV731" s="43"/>
      <c r="BA731" s="43"/>
      <c r="BF731" s="43"/>
      <c r="BK731" s="43"/>
      <c r="BQ731" s="43"/>
      <c r="BV731" s="43"/>
      <c r="CC731" s="43"/>
    </row>
    <row r="732" spans="2:81" ht="15.75" customHeight="1">
      <c r="B732" s="36"/>
      <c r="D732" s="36"/>
      <c r="F732" s="43"/>
      <c r="L732" s="43"/>
      <c r="Q732" s="43"/>
      <c r="V732" s="43"/>
      <c r="AD732" s="43"/>
      <c r="AG732" s="43"/>
      <c r="AL732" s="43"/>
      <c r="AQ732" s="43"/>
      <c r="AV732" s="43"/>
      <c r="BA732" s="43"/>
      <c r="BF732" s="43"/>
      <c r="BK732" s="43"/>
      <c r="BQ732" s="43"/>
      <c r="BV732" s="43"/>
      <c r="CC732" s="43"/>
    </row>
    <row r="733" spans="2:81" ht="15.75" customHeight="1">
      <c r="B733" s="36"/>
      <c r="D733" s="36"/>
      <c r="F733" s="43"/>
      <c r="L733" s="43"/>
      <c r="Q733" s="43"/>
      <c r="V733" s="43"/>
      <c r="AD733" s="43"/>
      <c r="AG733" s="43"/>
      <c r="AL733" s="43"/>
      <c r="AQ733" s="43"/>
      <c r="AV733" s="43"/>
      <c r="BA733" s="43"/>
      <c r="BF733" s="43"/>
      <c r="BK733" s="43"/>
      <c r="BQ733" s="43"/>
      <c r="BV733" s="43"/>
      <c r="CC733" s="43"/>
    </row>
    <row r="734" spans="2:81" ht="15.75" customHeight="1">
      <c r="B734" s="36"/>
      <c r="D734" s="36"/>
      <c r="F734" s="43"/>
      <c r="L734" s="43"/>
      <c r="Q734" s="43"/>
      <c r="V734" s="43"/>
      <c r="AD734" s="43"/>
      <c r="AG734" s="43"/>
      <c r="AL734" s="43"/>
      <c r="AQ734" s="43"/>
      <c r="AV734" s="43"/>
      <c r="BA734" s="43"/>
      <c r="BF734" s="43"/>
      <c r="BK734" s="43"/>
      <c r="BQ734" s="43"/>
      <c r="BV734" s="43"/>
      <c r="CC734" s="43"/>
    </row>
    <row r="735" spans="2:81" ht="15.75" customHeight="1">
      <c r="B735" s="36"/>
      <c r="D735" s="36"/>
      <c r="F735" s="43"/>
      <c r="L735" s="43"/>
      <c r="Q735" s="43"/>
      <c r="V735" s="43"/>
      <c r="AD735" s="43"/>
      <c r="AG735" s="43"/>
      <c r="AL735" s="43"/>
      <c r="AQ735" s="43"/>
      <c r="AV735" s="43"/>
      <c r="BA735" s="43"/>
      <c r="BF735" s="43"/>
      <c r="BK735" s="43"/>
      <c r="BQ735" s="43"/>
      <c r="BV735" s="43"/>
      <c r="CC735" s="43"/>
    </row>
    <row r="736" spans="2:81" ht="15.75" customHeight="1">
      <c r="B736" s="36"/>
      <c r="D736" s="36"/>
      <c r="F736" s="43"/>
      <c r="L736" s="43"/>
      <c r="Q736" s="43"/>
      <c r="V736" s="43"/>
      <c r="AD736" s="43"/>
      <c r="AG736" s="43"/>
      <c r="AL736" s="43"/>
      <c r="AQ736" s="43"/>
      <c r="AV736" s="43"/>
      <c r="BA736" s="43"/>
      <c r="BF736" s="43"/>
      <c r="BK736" s="43"/>
      <c r="BQ736" s="43"/>
      <c r="BV736" s="43"/>
      <c r="CC736" s="43"/>
    </row>
    <row r="737" spans="2:81" ht="15.75" customHeight="1">
      <c r="B737" s="36"/>
      <c r="D737" s="36"/>
      <c r="F737" s="43"/>
      <c r="L737" s="43"/>
      <c r="Q737" s="43"/>
      <c r="V737" s="43"/>
      <c r="AD737" s="43"/>
      <c r="AG737" s="43"/>
      <c r="AL737" s="43"/>
      <c r="AQ737" s="43"/>
      <c r="AV737" s="43"/>
      <c r="BA737" s="43"/>
      <c r="BF737" s="43"/>
      <c r="BK737" s="43"/>
      <c r="BQ737" s="43"/>
      <c r="BV737" s="43"/>
      <c r="CC737" s="43"/>
    </row>
    <row r="738" spans="2:81" ht="15.75" customHeight="1">
      <c r="B738" s="36"/>
      <c r="D738" s="36"/>
      <c r="F738" s="43"/>
      <c r="L738" s="43"/>
      <c r="Q738" s="43"/>
      <c r="V738" s="43"/>
      <c r="AD738" s="43"/>
      <c r="AG738" s="43"/>
      <c r="AL738" s="43"/>
      <c r="AQ738" s="43"/>
      <c r="AV738" s="43"/>
      <c r="BA738" s="43"/>
      <c r="BF738" s="43"/>
      <c r="BK738" s="43"/>
      <c r="BQ738" s="43"/>
      <c r="BV738" s="43"/>
      <c r="CC738" s="43"/>
    </row>
    <row r="739" spans="2:81" ht="15.75" customHeight="1">
      <c r="B739" s="36"/>
      <c r="D739" s="36"/>
      <c r="F739" s="43"/>
      <c r="L739" s="43"/>
      <c r="Q739" s="43"/>
      <c r="V739" s="43"/>
      <c r="AD739" s="43"/>
      <c r="AG739" s="43"/>
      <c r="AL739" s="43"/>
      <c r="AQ739" s="43"/>
      <c r="AV739" s="43"/>
      <c r="BA739" s="43"/>
      <c r="BF739" s="43"/>
      <c r="BK739" s="43"/>
      <c r="BQ739" s="43"/>
      <c r="BV739" s="43"/>
      <c r="CC739" s="43"/>
    </row>
    <row r="740" spans="2:81" ht="15.75" customHeight="1">
      <c r="B740" s="36"/>
      <c r="D740" s="36"/>
      <c r="F740" s="43"/>
      <c r="L740" s="43"/>
      <c r="Q740" s="43"/>
      <c r="V740" s="43"/>
      <c r="AD740" s="43"/>
      <c r="AG740" s="43"/>
      <c r="AL740" s="43"/>
      <c r="AQ740" s="43"/>
      <c r="AV740" s="43"/>
      <c r="BA740" s="43"/>
      <c r="BF740" s="43"/>
      <c r="BK740" s="43"/>
      <c r="BQ740" s="43"/>
      <c r="BV740" s="43"/>
      <c r="CC740" s="43"/>
    </row>
    <row r="741" spans="2:81" ht="15.75" customHeight="1">
      <c r="B741" s="36"/>
      <c r="D741" s="36"/>
      <c r="F741" s="43"/>
      <c r="L741" s="43"/>
      <c r="Q741" s="43"/>
      <c r="V741" s="43"/>
      <c r="AD741" s="43"/>
      <c r="AG741" s="43"/>
      <c r="AL741" s="43"/>
      <c r="AQ741" s="43"/>
      <c r="AV741" s="43"/>
      <c r="BA741" s="43"/>
      <c r="BF741" s="43"/>
      <c r="BK741" s="43"/>
      <c r="BQ741" s="43"/>
      <c r="BV741" s="43"/>
      <c r="CC741" s="43"/>
    </row>
    <row r="742" spans="2:81" ht="15.75" customHeight="1">
      <c r="B742" s="36"/>
      <c r="D742" s="36"/>
      <c r="F742" s="43"/>
      <c r="L742" s="43"/>
      <c r="Q742" s="43"/>
      <c r="V742" s="43"/>
      <c r="AD742" s="43"/>
      <c r="AG742" s="43"/>
      <c r="AL742" s="43"/>
      <c r="AQ742" s="43"/>
      <c r="AV742" s="43"/>
      <c r="BA742" s="43"/>
      <c r="BF742" s="43"/>
      <c r="BK742" s="43"/>
      <c r="BQ742" s="43"/>
      <c r="BV742" s="43"/>
      <c r="CC742" s="43"/>
    </row>
    <row r="743" spans="2:81" ht="15.75" customHeight="1">
      <c r="B743" s="36"/>
      <c r="D743" s="36"/>
      <c r="F743" s="43"/>
      <c r="L743" s="43"/>
      <c r="Q743" s="43"/>
      <c r="V743" s="43"/>
      <c r="AD743" s="43"/>
      <c r="AG743" s="43"/>
      <c r="AL743" s="43"/>
      <c r="AQ743" s="43"/>
      <c r="AV743" s="43"/>
      <c r="BA743" s="43"/>
      <c r="BF743" s="43"/>
      <c r="BK743" s="43"/>
      <c r="BQ743" s="43"/>
      <c r="BV743" s="43"/>
      <c r="CC743" s="43"/>
    </row>
    <row r="744" spans="2:81" ht="15.75" customHeight="1">
      <c r="B744" s="36"/>
      <c r="D744" s="36"/>
      <c r="F744" s="43"/>
      <c r="L744" s="43"/>
      <c r="Q744" s="43"/>
      <c r="V744" s="43"/>
      <c r="AD744" s="43"/>
      <c r="AG744" s="43"/>
      <c r="AL744" s="43"/>
      <c r="AQ744" s="43"/>
      <c r="AV744" s="43"/>
      <c r="BA744" s="43"/>
      <c r="BF744" s="43"/>
      <c r="BK744" s="43"/>
      <c r="BQ744" s="43"/>
      <c r="BV744" s="43"/>
      <c r="CC744" s="43"/>
    </row>
    <row r="745" spans="2:81" ht="15.75" customHeight="1">
      <c r="B745" s="36"/>
      <c r="D745" s="36"/>
      <c r="F745" s="43"/>
      <c r="L745" s="43"/>
      <c r="Q745" s="43"/>
      <c r="V745" s="43"/>
      <c r="AD745" s="43"/>
      <c r="AG745" s="43"/>
      <c r="AL745" s="43"/>
      <c r="AQ745" s="43"/>
      <c r="AV745" s="43"/>
      <c r="BA745" s="43"/>
      <c r="BF745" s="43"/>
      <c r="BK745" s="43"/>
      <c r="BQ745" s="43"/>
      <c r="BV745" s="43"/>
      <c r="CC745" s="43"/>
    </row>
    <row r="746" spans="2:81" ht="15.75" customHeight="1">
      <c r="B746" s="36"/>
      <c r="D746" s="36"/>
      <c r="F746" s="43"/>
      <c r="L746" s="43"/>
      <c r="Q746" s="43"/>
      <c r="V746" s="43"/>
      <c r="AD746" s="43"/>
      <c r="AG746" s="43"/>
      <c r="AL746" s="43"/>
      <c r="AQ746" s="43"/>
      <c r="AV746" s="43"/>
      <c r="BA746" s="43"/>
      <c r="BF746" s="43"/>
      <c r="BK746" s="43"/>
      <c r="BQ746" s="43"/>
      <c r="BV746" s="43"/>
      <c r="CC746" s="43"/>
    </row>
    <row r="747" spans="2:81" ht="15.75" customHeight="1">
      <c r="B747" s="36"/>
      <c r="D747" s="36"/>
      <c r="F747" s="43"/>
      <c r="L747" s="43"/>
      <c r="Q747" s="43"/>
      <c r="V747" s="43"/>
      <c r="AD747" s="43"/>
      <c r="AG747" s="43"/>
      <c r="AL747" s="43"/>
      <c r="AQ747" s="43"/>
      <c r="AV747" s="43"/>
      <c r="BA747" s="43"/>
      <c r="BF747" s="43"/>
      <c r="BK747" s="43"/>
      <c r="BQ747" s="43"/>
      <c r="BV747" s="43"/>
      <c r="CC747" s="43"/>
    </row>
    <row r="748" spans="2:81" ht="15.75" customHeight="1">
      <c r="B748" s="36"/>
      <c r="D748" s="36"/>
      <c r="F748" s="43"/>
      <c r="L748" s="43"/>
      <c r="Q748" s="43"/>
      <c r="V748" s="43"/>
      <c r="AD748" s="43"/>
      <c r="AG748" s="43"/>
      <c r="AL748" s="43"/>
      <c r="AQ748" s="43"/>
      <c r="AV748" s="43"/>
      <c r="BA748" s="43"/>
      <c r="BF748" s="43"/>
      <c r="BK748" s="43"/>
      <c r="BQ748" s="43"/>
      <c r="BV748" s="43"/>
      <c r="CC748" s="43"/>
    </row>
    <row r="749" spans="2:81" ht="15.75" customHeight="1">
      <c r="B749" s="36"/>
      <c r="D749" s="36"/>
      <c r="F749" s="43"/>
      <c r="L749" s="43"/>
      <c r="Q749" s="43"/>
      <c r="V749" s="43"/>
      <c r="AD749" s="43"/>
      <c r="AG749" s="43"/>
      <c r="AL749" s="43"/>
      <c r="AQ749" s="43"/>
      <c r="AV749" s="43"/>
      <c r="BA749" s="43"/>
      <c r="BF749" s="43"/>
      <c r="BK749" s="43"/>
      <c r="BQ749" s="43"/>
      <c r="BV749" s="43"/>
      <c r="CC749" s="43"/>
    </row>
    <row r="750" spans="2:81" ht="15.75" customHeight="1">
      <c r="B750" s="36"/>
      <c r="D750" s="36"/>
      <c r="F750" s="43"/>
      <c r="L750" s="43"/>
      <c r="Q750" s="43"/>
      <c r="V750" s="43"/>
      <c r="AD750" s="43"/>
      <c r="AG750" s="43"/>
      <c r="AL750" s="43"/>
      <c r="AQ750" s="43"/>
      <c r="AV750" s="43"/>
      <c r="BA750" s="43"/>
      <c r="BF750" s="43"/>
      <c r="BK750" s="43"/>
      <c r="BQ750" s="43"/>
      <c r="BV750" s="43"/>
      <c r="CC750" s="43"/>
    </row>
    <row r="751" spans="2:81" ht="15.75" customHeight="1">
      <c r="B751" s="36"/>
      <c r="D751" s="36"/>
      <c r="F751" s="43"/>
      <c r="L751" s="43"/>
      <c r="Q751" s="43"/>
      <c r="V751" s="43"/>
      <c r="AD751" s="43"/>
      <c r="AG751" s="43"/>
      <c r="AL751" s="43"/>
      <c r="AQ751" s="43"/>
      <c r="AV751" s="43"/>
      <c r="BA751" s="43"/>
      <c r="BF751" s="43"/>
      <c r="BK751" s="43"/>
      <c r="BQ751" s="43"/>
      <c r="BV751" s="43"/>
      <c r="CC751" s="43"/>
    </row>
    <row r="752" spans="2:81" ht="15.75" customHeight="1">
      <c r="B752" s="36"/>
      <c r="D752" s="36"/>
      <c r="F752" s="43"/>
      <c r="L752" s="43"/>
      <c r="Q752" s="43"/>
      <c r="V752" s="43"/>
      <c r="AD752" s="43"/>
      <c r="AG752" s="43"/>
      <c r="AL752" s="43"/>
      <c r="AQ752" s="43"/>
      <c r="AV752" s="43"/>
      <c r="BA752" s="43"/>
      <c r="BF752" s="43"/>
      <c r="BK752" s="43"/>
      <c r="BQ752" s="43"/>
      <c r="BV752" s="43"/>
      <c r="CC752" s="43"/>
    </row>
    <row r="753" spans="2:81" ht="15.75" customHeight="1">
      <c r="B753" s="36"/>
      <c r="D753" s="36"/>
      <c r="F753" s="43"/>
      <c r="L753" s="43"/>
      <c r="Q753" s="43"/>
      <c r="V753" s="43"/>
      <c r="AD753" s="43"/>
      <c r="AG753" s="43"/>
      <c r="AL753" s="43"/>
      <c r="AQ753" s="43"/>
      <c r="AV753" s="43"/>
      <c r="BA753" s="43"/>
      <c r="BF753" s="43"/>
      <c r="BK753" s="43"/>
      <c r="BQ753" s="43"/>
      <c r="BV753" s="43"/>
      <c r="CC753" s="43"/>
    </row>
    <row r="754" spans="2:81" ht="15.75" customHeight="1">
      <c r="B754" s="36"/>
      <c r="D754" s="36"/>
      <c r="F754" s="43"/>
      <c r="L754" s="43"/>
      <c r="Q754" s="43"/>
      <c r="V754" s="43"/>
      <c r="AD754" s="43"/>
      <c r="AG754" s="43"/>
      <c r="AL754" s="43"/>
      <c r="AQ754" s="43"/>
      <c r="AV754" s="43"/>
      <c r="BA754" s="43"/>
      <c r="BF754" s="43"/>
      <c r="BK754" s="43"/>
      <c r="BQ754" s="43"/>
      <c r="BV754" s="43"/>
      <c r="CC754" s="43"/>
    </row>
    <row r="755" spans="2:81" ht="15.75" customHeight="1">
      <c r="B755" s="36"/>
      <c r="D755" s="36"/>
      <c r="F755" s="43"/>
      <c r="L755" s="43"/>
      <c r="Q755" s="43"/>
      <c r="V755" s="43"/>
      <c r="AD755" s="43"/>
      <c r="AG755" s="43"/>
      <c r="AL755" s="43"/>
      <c r="AQ755" s="43"/>
      <c r="AV755" s="43"/>
      <c r="BA755" s="43"/>
      <c r="BF755" s="43"/>
      <c r="BK755" s="43"/>
      <c r="BQ755" s="43"/>
      <c r="BV755" s="43"/>
      <c r="CC755" s="43"/>
    </row>
    <row r="756" spans="2:81" ht="15.75" customHeight="1">
      <c r="B756" s="36"/>
      <c r="D756" s="36"/>
      <c r="F756" s="43"/>
      <c r="L756" s="43"/>
      <c r="Q756" s="43"/>
      <c r="V756" s="43"/>
      <c r="AD756" s="43"/>
      <c r="AG756" s="43"/>
      <c r="AL756" s="43"/>
      <c r="AQ756" s="43"/>
      <c r="AV756" s="43"/>
      <c r="BA756" s="43"/>
      <c r="BF756" s="43"/>
      <c r="BK756" s="43"/>
      <c r="BQ756" s="43"/>
      <c r="BV756" s="43"/>
      <c r="CC756" s="43"/>
    </row>
    <row r="757" spans="2:81" ht="15.75" customHeight="1">
      <c r="B757" s="36"/>
      <c r="D757" s="36"/>
      <c r="F757" s="43"/>
      <c r="L757" s="43"/>
      <c r="Q757" s="43"/>
      <c r="V757" s="43"/>
      <c r="AD757" s="43"/>
      <c r="AG757" s="43"/>
      <c r="AL757" s="43"/>
      <c r="AQ757" s="43"/>
      <c r="AV757" s="43"/>
      <c r="BA757" s="43"/>
      <c r="BF757" s="43"/>
      <c r="BK757" s="43"/>
      <c r="BQ757" s="43"/>
      <c r="BV757" s="43"/>
      <c r="CC757" s="43"/>
    </row>
    <row r="758" spans="2:81" ht="15.75" customHeight="1">
      <c r="B758" s="36"/>
      <c r="D758" s="36"/>
      <c r="F758" s="43"/>
      <c r="L758" s="43"/>
      <c r="Q758" s="43"/>
      <c r="V758" s="43"/>
      <c r="AD758" s="43"/>
      <c r="AG758" s="43"/>
      <c r="AL758" s="43"/>
      <c r="AQ758" s="43"/>
      <c r="AV758" s="43"/>
      <c r="BA758" s="43"/>
      <c r="BF758" s="43"/>
      <c r="BK758" s="43"/>
      <c r="BQ758" s="43"/>
      <c r="BV758" s="43"/>
      <c r="CC758" s="43"/>
    </row>
    <row r="759" spans="2:81" ht="15.75" customHeight="1">
      <c r="B759" s="36"/>
      <c r="D759" s="36"/>
      <c r="F759" s="43"/>
      <c r="L759" s="43"/>
      <c r="Q759" s="43"/>
      <c r="V759" s="43"/>
      <c r="AD759" s="43"/>
      <c r="AG759" s="43"/>
      <c r="AL759" s="43"/>
      <c r="AQ759" s="43"/>
      <c r="AV759" s="43"/>
      <c r="BA759" s="43"/>
      <c r="BF759" s="43"/>
      <c r="BK759" s="43"/>
      <c r="BQ759" s="43"/>
      <c r="BV759" s="43"/>
      <c r="CC759" s="43"/>
    </row>
    <row r="760" spans="2:81" ht="15.75" customHeight="1">
      <c r="B760" s="36"/>
      <c r="D760" s="36"/>
      <c r="F760" s="43"/>
      <c r="L760" s="43"/>
      <c r="Q760" s="43"/>
      <c r="V760" s="43"/>
      <c r="AD760" s="43"/>
      <c r="AG760" s="43"/>
      <c r="AL760" s="43"/>
      <c r="AQ760" s="43"/>
      <c r="AV760" s="43"/>
      <c r="BA760" s="43"/>
      <c r="BF760" s="43"/>
      <c r="BK760" s="43"/>
      <c r="BQ760" s="43"/>
      <c r="BV760" s="43"/>
      <c r="CC760" s="43"/>
    </row>
    <row r="761" spans="2:81" ht="15.75" customHeight="1">
      <c r="B761" s="36"/>
      <c r="D761" s="36"/>
      <c r="F761" s="43"/>
      <c r="L761" s="43"/>
      <c r="Q761" s="43"/>
      <c r="V761" s="43"/>
      <c r="AD761" s="43"/>
      <c r="AG761" s="43"/>
      <c r="AL761" s="43"/>
      <c r="AQ761" s="43"/>
      <c r="AV761" s="43"/>
      <c r="BA761" s="43"/>
      <c r="BF761" s="43"/>
      <c r="BK761" s="43"/>
      <c r="BQ761" s="43"/>
      <c r="BV761" s="43"/>
      <c r="CC761" s="43"/>
    </row>
    <row r="762" spans="2:81" ht="15.75" customHeight="1">
      <c r="B762" s="36"/>
      <c r="D762" s="36"/>
      <c r="F762" s="43"/>
      <c r="L762" s="43"/>
      <c r="Q762" s="43"/>
      <c r="V762" s="43"/>
      <c r="AD762" s="43"/>
      <c r="AG762" s="43"/>
      <c r="AL762" s="43"/>
      <c r="AQ762" s="43"/>
      <c r="AV762" s="43"/>
      <c r="BA762" s="43"/>
      <c r="BF762" s="43"/>
      <c r="BK762" s="43"/>
      <c r="BQ762" s="43"/>
      <c r="BV762" s="43"/>
      <c r="CC762" s="43"/>
    </row>
    <row r="763" spans="2:81" ht="15.75" customHeight="1">
      <c r="B763" s="36"/>
      <c r="D763" s="36"/>
      <c r="F763" s="43"/>
      <c r="L763" s="43"/>
      <c r="Q763" s="43"/>
      <c r="V763" s="43"/>
      <c r="AD763" s="43"/>
      <c r="AG763" s="43"/>
      <c r="AL763" s="43"/>
      <c r="AQ763" s="43"/>
      <c r="AV763" s="43"/>
      <c r="BA763" s="43"/>
      <c r="BF763" s="43"/>
      <c r="BK763" s="43"/>
      <c r="BQ763" s="43"/>
      <c r="BV763" s="43"/>
      <c r="CC763" s="43"/>
    </row>
    <row r="764" spans="2:81" ht="15.75" customHeight="1">
      <c r="B764" s="36"/>
      <c r="D764" s="36"/>
      <c r="F764" s="43"/>
      <c r="L764" s="43"/>
      <c r="Q764" s="43"/>
      <c r="V764" s="43"/>
      <c r="AD764" s="43"/>
      <c r="AG764" s="43"/>
      <c r="AL764" s="43"/>
      <c r="AQ764" s="43"/>
      <c r="AV764" s="43"/>
      <c r="BA764" s="43"/>
      <c r="BF764" s="43"/>
      <c r="BK764" s="43"/>
      <c r="BQ764" s="43"/>
      <c r="BV764" s="43"/>
      <c r="CC764" s="43"/>
    </row>
    <row r="765" spans="2:81" ht="15.75" customHeight="1">
      <c r="B765" s="36"/>
      <c r="D765" s="36"/>
      <c r="F765" s="43"/>
      <c r="L765" s="43"/>
      <c r="Q765" s="43"/>
      <c r="V765" s="43"/>
      <c r="AD765" s="43"/>
      <c r="AG765" s="43"/>
      <c r="AL765" s="43"/>
      <c r="AQ765" s="43"/>
      <c r="AV765" s="43"/>
      <c r="BA765" s="43"/>
      <c r="BF765" s="43"/>
      <c r="BK765" s="43"/>
      <c r="BQ765" s="43"/>
      <c r="BV765" s="43"/>
      <c r="CC765" s="43"/>
    </row>
    <row r="766" spans="2:81" ht="15.75" customHeight="1">
      <c r="B766" s="36"/>
      <c r="D766" s="36"/>
      <c r="F766" s="43"/>
      <c r="L766" s="43"/>
      <c r="Q766" s="43"/>
      <c r="V766" s="43"/>
      <c r="AD766" s="43"/>
      <c r="AG766" s="43"/>
      <c r="AL766" s="43"/>
      <c r="AQ766" s="43"/>
      <c r="AV766" s="43"/>
      <c r="BA766" s="43"/>
      <c r="BF766" s="43"/>
      <c r="BK766" s="43"/>
      <c r="BQ766" s="43"/>
      <c r="BV766" s="43"/>
      <c r="CC766" s="43"/>
    </row>
    <row r="767" spans="2:81" ht="15.75" customHeight="1">
      <c r="B767" s="36"/>
      <c r="D767" s="36"/>
      <c r="F767" s="43"/>
      <c r="L767" s="43"/>
      <c r="Q767" s="43"/>
      <c r="V767" s="43"/>
      <c r="AD767" s="43"/>
      <c r="AG767" s="43"/>
      <c r="AL767" s="43"/>
      <c r="AQ767" s="43"/>
      <c r="AV767" s="43"/>
      <c r="BA767" s="43"/>
      <c r="BF767" s="43"/>
      <c r="BK767" s="43"/>
      <c r="BQ767" s="43"/>
      <c r="BV767" s="43"/>
      <c r="CC767" s="43"/>
    </row>
    <row r="768" spans="2:81" ht="15.75" customHeight="1">
      <c r="B768" s="36"/>
      <c r="D768" s="36"/>
      <c r="F768" s="43"/>
      <c r="L768" s="43"/>
      <c r="Q768" s="43"/>
      <c r="V768" s="43"/>
      <c r="AD768" s="43"/>
      <c r="AG768" s="43"/>
      <c r="AL768" s="43"/>
      <c r="AQ768" s="43"/>
      <c r="AV768" s="43"/>
      <c r="BA768" s="43"/>
      <c r="BF768" s="43"/>
      <c r="BK768" s="43"/>
      <c r="BQ768" s="43"/>
      <c r="BV768" s="43"/>
      <c r="CC768" s="43"/>
    </row>
    <row r="769" spans="2:81" ht="15.75" customHeight="1">
      <c r="B769" s="36"/>
      <c r="D769" s="36"/>
      <c r="F769" s="43"/>
      <c r="L769" s="43"/>
      <c r="Q769" s="43"/>
      <c r="V769" s="43"/>
      <c r="AD769" s="43"/>
      <c r="AG769" s="43"/>
      <c r="AL769" s="43"/>
      <c r="AQ769" s="43"/>
      <c r="AV769" s="43"/>
      <c r="BA769" s="43"/>
      <c r="BF769" s="43"/>
      <c r="BK769" s="43"/>
      <c r="BQ769" s="43"/>
      <c r="BV769" s="43"/>
      <c r="CC769" s="43"/>
    </row>
    <row r="770" spans="2:81" ht="15.75" customHeight="1">
      <c r="B770" s="36"/>
      <c r="D770" s="36"/>
      <c r="F770" s="43"/>
      <c r="L770" s="43"/>
      <c r="Q770" s="43"/>
      <c r="V770" s="43"/>
      <c r="AD770" s="43"/>
      <c r="AG770" s="43"/>
      <c r="AL770" s="43"/>
      <c r="AQ770" s="43"/>
      <c r="AV770" s="43"/>
      <c r="BA770" s="43"/>
      <c r="BF770" s="43"/>
      <c r="BK770" s="43"/>
      <c r="BQ770" s="43"/>
      <c r="BV770" s="43"/>
      <c r="CC770" s="43"/>
    </row>
    <row r="771" spans="2:81" ht="15.75" customHeight="1">
      <c r="B771" s="36"/>
      <c r="D771" s="36"/>
      <c r="F771" s="43"/>
      <c r="L771" s="43"/>
      <c r="Q771" s="43"/>
      <c r="V771" s="43"/>
      <c r="AD771" s="43"/>
      <c r="AG771" s="43"/>
      <c r="AL771" s="43"/>
      <c r="AQ771" s="43"/>
      <c r="AV771" s="43"/>
      <c r="BA771" s="43"/>
      <c r="BF771" s="43"/>
      <c r="BK771" s="43"/>
      <c r="BQ771" s="43"/>
      <c r="BV771" s="43"/>
      <c r="CC771" s="43"/>
    </row>
    <row r="772" spans="2:81" ht="15.75" customHeight="1">
      <c r="B772" s="36"/>
      <c r="D772" s="36"/>
      <c r="F772" s="43"/>
      <c r="L772" s="43"/>
      <c r="Q772" s="43"/>
      <c r="V772" s="43"/>
      <c r="AD772" s="43"/>
      <c r="AG772" s="43"/>
      <c r="AL772" s="43"/>
      <c r="AQ772" s="43"/>
      <c r="AV772" s="43"/>
      <c r="BA772" s="43"/>
      <c r="BF772" s="43"/>
      <c r="BK772" s="43"/>
      <c r="BQ772" s="43"/>
      <c r="BV772" s="43"/>
      <c r="CC772" s="43"/>
    </row>
    <row r="773" spans="2:81" ht="15.75" customHeight="1">
      <c r="B773" s="36"/>
      <c r="D773" s="36"/>
      <c r="F773" s="43"/>
      <c r="L773" s="43"/>
      <c r="Q773" s="43"/>
      <c r="V773" s="43"/>
      <c r="AD773" s="43"/>
      <c r="AG773" s="43"/>
      <c r="AL773" s="43"/>
      <c r="AQ773" s="43"/>
      <c r="AV773" s="43"/>
      <c r="BA773" s="43"/>
      <c r="BF773" s="43"/>
      <c r="BK773" s="43"/>
      <c r="BQ773" s="43"/>
      <c r="BV773" s="43"/>
      <c r="CC773" s="43"/>
    </row>
    <row r="774" spans="2:81" ht="15.75" customHeight="1">
      <c r="B774" s="36"/>
      <c r="D774" s="36"/>
      <c r="F774" s="43"/>
      <c r="L774" s="43"/>
      <c r="Q774" s="43"/>
      <c r="V774" s="43"/>
      <c r="AD774" s="43"/>
      <c r="AG774" s="43"/>
      <c r="AL774" s="43"/>
      <c r="AQ774" s="43"/>
      <c r="AV774" s="43"/>
      <c r="BA774" s="43"/>
      <c r="BF774" s="43"/>
      <c r="BK774" s="43"/>
      <c r="BQ774" s="43"/>
      <c r="BV774" s="43"/>
      <c r="CC774" s="43"/>
    </row>
    <row r="775" spans="2:81" ht="15.75" customHeight="1">
      <c r="B775" s="36"/>
      <c r="D775" s="36"/>
      <c r="F775" s="43"/>
      <c r="L775" s="43"/>
      <c r="Q775" s="43"/>
      <c r="V775" s="43"/>
      <c r="AD775" s="43"/>
      <c r="AG775" s="43"/>
      <c r="AL775" s="43"/>
      <c r="AQ775" s="43"/>
      <c r="AV775" s="43"/>
      <c r="BA775" s="43"/>
      <c r="BF775" s="43"/>
      <c r="BK775" s="43"/>
      <c r="BQ775" s="43"/>
      <c r="BV775" s="43"/>
      <c r="CC775" s="43"/>
    </row>
    <row r="776" spans="2:81" ht="15.75" customHeight="1">
      <c r="B776" s="36"/>
      <c r="D776" s="36"/>
      <c r="F776" s="43"/>
      <c r="L776" s="43"/>
      <c r="Q776" s="43"/>
      <c r="V776" s="43"/>
      <c r="AD776" s="43"/>
      <c r="AG776" s="43"/>
      <c r="AL776" s="43"/>
      <c r="AQ776" s="43"/>
      <c r="AV776" s="43"/>
      <c r="BA776" s="43"/>
      <c r="BF776" s="43"/>
      <c r="BK776" s="43"/>
      <c r="BQ776" s="43"/>
      <c r="BV776" s="43"/>
      <c r="CC776" s="43"/>
    </row>
    <row r="777" spans="2:81" ht="15.75" customHeight="1">
      <c r="B777" s="36"/>
      <c r="D777" s="36"/>
      <c r="F777" s="43"/>
      <c r="L777" s="43"/>
      <c r="Q777" s="43"/>
      <c r="V777" s="43"/>
      <c r="AD777" s="43"/>
      <c r="AG777" s="43"/>
      <c r="AL777" s="43"/>
      <c r="AQ777" s="43"/>
      <c r="AV777" s="43"/>
      <c r="BA777" s="43"/>
      <c r="BF777" s="43"/>
      <c r="BK777" s="43"/>
      <c r="BQ777" s="43"/>
      <c r="BV777" s="43"/>
      <c r="CC777" s="43"/>
    </row>
    <row r="778" spans="2:81" ht="15.75" customHeight="1">
      <c r="B778" s="36"/>
      <c r="D778" s="36"/>
      <c r="F778" s="43"/>
      <c r="L778" s="43"/>
      <c r="Q778" s="43"/>
      <c r="V778" s="43"/>
      <c r="AD778" s="43"/>
      <c r="AG778" s="43"/>
      <c r="AL778" s="43"/>
      <c r="AQ778" s="43"/>
      <c r="AV778" s="43"/>
      <c r="BA778" s="43"/>
      <c r="BF778" s="43"/>
      <c r="BK778" s="43"/>
      <c r="BQ778" s="43"/>
      <c r="BV778" s="43"/>
      <c r="CC778" s="43"/>
    </row>
    <row r="779" spans="2:81" ht="15.75" customHeight="1">
      <c r="B779" s="36"/>
      <c r="D779" s="36"/>
      <c r="F779" s="43"/>
      <c r="L779" s="43"/>
      <c r="Q779" s="43"/>
      <c r="V779" s="43"/>
      <c r="AD779" s="43"/>
      <c r="AG779" s="43"/>
      <c r="AL779" s="43"/>
      <c r="AQ779" s="43"/>
      <c r="AV779" s="43"/>
      <c r="BA779" s="43"/>
      <c r="BF779" s="43"/>
      <c r="BK779" s="43"/>
      <c r="BQ779" s="43"/>
      <c r="BV779" s="43"/>
      <c r="CC779" s="43"/>
    </row>
    <row r="780" spans="2:81" ht="15.75" customHeight="1">
      <c r="B780" s="36"/>
      <c r="D780" s="36"/>
      <c r="F780" s="43"/>
      <c r="L780" s="43"/>
      <c r="Q780" s="43"/>
      <c r="V780" s="43"/>
      <c r="AD780" s="43"/>
      <c r="AG780" s="43"/>
      <c r="AL780" s="43"/>
      <c r="AQ780" s="43"/>
      <c r="AV780" s="43"/>
      <c r="BA780" s="43"/>
      <c r="BF780" s="43"/>
      <c r="BK780" s="43"/>
      <c r="BQ780" s="43"/>
      <c r="BV780" s="43"/>
      <c r="CC780" s="43"/>
    </row>
    <row r="781" spans="2:81" ht="15.75" customHeight="1">
      <c r="B781" s="36"/>
      <c r="D781" s="36"/>
      <c r="F781" s="43"/>
      <c r="L781" s="43"/>
      <c r="Q781" s="43"/>
      <c r="V781" s="43"/>
      <c r="AD781" s="43"/>
      <c r="AG781" s="43"/>
      <c r="AL781" s="43"/>
      <c r="AQ781" s="43"/>
      <c r="AV781" s="43"/>
      <c r="BA781" s="43"/>
      <c r="BF781" s="43"/>
      <c r="BK781" s="43"/>
      <c r="BQ781" s="43"/>
      <c r="BV781" s="43"/>
      <c r="CC781" s="43"/>
    </row>
    <row r="782" spans="2:81" ht="15.75" customHeight="1">
      <c r="B782" s="36"/>
      <c r="D782" s="36"/>
      <c r="F782" s="43"/>
      <c r="L782" s="43"/>
      <c r="Q782" s="43"/>
      <c r="V782" s="43"/>
      <c r="AD782" s="43"/>
      <c r="AG782" s="43"/>
      <c r="AL782" s="43"/>
      <c r="AQ782" s="43"/>
      <c r="AV782" s="43"/>
      <c r="BA782" s="43"/>
      <c r="BF782" s="43"/>
      <c r="BK782" s="43"/>
      <c r="BQ782" s="43"/>
      <c r="BV782" s="43"/>
      <c r="CC782" s="43"/>
    </row>
    <row r="783" spans="2:81" ht="15.75" customHeight="1">
      <c r="B783" s="36"/>
      <c r="D783" s="36"/>
      <c r="F783" s="43"/>
      <c r="L783" s="43"/>
      <c r="Q783" s="43"/>
      <c r="V783" s="43"/>
      <c r="AD783" s="43"/>
      <c r="AG783" s="43"/>
      <c r="AL783" s="43"/>
      <c r="AQ783" s="43"/>
      <c r="AV783" s="43"/>
      <c r="BA783" s="43"/>
      <c r="BF783" s="43"/>
      <c r="BK783" s="43"/>
      <c r="BQ783" s="43"/>
      <c r="BV783" s="43"/>
      <c r="CC783" s="43"/>
    </row>
    <row r="784" spans="2:81" ht="15.75" customHeight="1">
      <c r="B784" s="36"/>
      <c r="D784" s="36"/>
      <c r="F784" s="43"/>
      <c r="L784" s="43"/>
      <c r="Q784" s="43"/>
      <c r="V784" s="43"/>
      <c r="AD784" s="43"/>
      <c r="AG784" s="43"/>
      <c r="AL784" s="43"/>
      <c r="AQ784" s="43"/>
      <c r="AV784" s="43"/>
      <c r="BA784" s="43"/>
      <c r="BF784" s="43"/>
      <c r="BK784" s="43"/>
      <c r="BQ784" s="43"/>
      <c r="BV784" s="43"/>
      <c r="CC784" s="43"/>
    </row>
    <row r="785" spans="2:81" ht="15.75" customHeight="1">
      <c r="B785" s="36"/>
      <c r="D785" s="36"/>
      <c r="F785" s="43"/>
      <c r="L785" s="43"/>
      <c r="Q785" s="43"/>
      <c r="V785" s="43"/>
      <c r="AD785" s="43"/>
      <c r="AG785" s="43"/>
      <c r="AL785" s="43"/>
      <c r="AQ785" s="43"/>
      <c r="AV785" s="43"/>
      <c r="BA785" s="43"/>
      <c r="BF785" s="43"/>
      <c r="BK785" s="43"/>
      <c r="BQ785" s="43"/>
      <c r="BV785" s="43"/>
      <c r="CC785" s="43"/>
    </row>
    <row r="786" spans="2:81" ht="15.75" customHeight="1">
      <c r="B786" s="36"/>
      <c r="D786" s="36"/>
      <c r="F786" s="43"/>
      <c r="L786" s="43"/>
      <c r="Q786" s="43"/>
      <c r="V786" s="43"/>
      <c r="AD786" s="43"/>
      <c r="AG786" s="43"/>
      <c r="AL786" s="43"/>
      <c r="AQ786" s="43"/>
      <c r="AV786" s="43"/>
      <c r="BA786" s="43"/>
      <c r="BF786" s="43"/>
      <c r="BK786" s="43"/>
      <c r="BQ786" s="43"/>
      <c r="BV786" s="43"/>
      <c r="CC786" s="43"/>
    </row>
    <row r="787" spans="2:81" ht="15.75" customHeight="1">
      <c r="B787" s="36"/>
      <c r="D787" s="36"/>
      <c r="F787" s="43"/>
      <c r="L787" s="43"/>
      <c r="Q787" s="43"/>
      <c r="V787" s="43"/>
      <c r="AD787" s="43"/>
      <c r="AG787" s="43"/>
      <c r="AL787" s="43"/>
      <c r="AQ787" s="43"/>
      <c r="AV787" s="43"/>
      <c r="BA787" s="43"/>
      <c r="BF787" s="43"/>
      <c r="BK787" s="43"/>
      <c r="BQ787" s="43"/>
      <c r="BV787" s="43"/>
      <c r="CC787" s="43"/>
    </row>
    <row r="788" spans="2:81" ht="15.75" customHeight="1">
      <c r="B788" s="36"/>
      <c r="D788" s="36"/>
      <c r="F788" s="43"/>
      <c r="L788" s="43"/>
      <c r="Q788" s="43"/>
      <c r="V788" s="43"/>
      <c r="AD788" s="43"/>
      <c r="AG788" s="43"/>
      <c r="AL788" s="43"/>
      <c r="AQ788" s="43"/>
      <c r="AV788" s="43"/>
      <c r="BA788" s="43"/>
      <c r="BF788" s="43"/>
      <c r="BK788" s="43"/>
      <c r="BQ788" s="43"/>
      <c r="BV788" s="43"/>
      <c r="CC788" s="43"/>
    </row>
    <row r="789" spans="2:81" ht="15.75" customHeight="1">
      <c r="B789" s="36"/>
      <c r="D789" s="36"/>
      <c r="F789" s="43"/>
      <c r="L789" s="43"/>
      <c r="Q789" s="43"/>
      <c r="V789" s="43"/>
      <c r="AD789" s="43"/>
      <c r="AG789" s="43"/>
      <c r="AL789" s="43"/>
      <c r="AQ789" s="43"/>
      <c r="AV789" s="43"/>
      <c r="BA789" s="43"/>
      <c r="BF789" s="43"/>
      <c r="BK789" s="43"/>
      <c r="BQ789" s="43"/>
      <c r="BV789" s="43"/>
      <c r="CC789" s="43"/>
    </row>
    <row r="790" spans="2:81" ht="15.75" customHeight="1">
      <c r="B790" s="36"/>
      <c r="D790" s="36"/>
      <c r="F790" s="43"/>
      <c r="L790" s="43"/>
      <c r="Q790" s="43"/>
      <c r="V790" s="43"/>
      <c r="AD790" s="43"/>
      <c r="AG790" s="43"/>
      <c r="AL790" s="43"/>
      <c r="AQ790" s="43"/>
      <c r="AV790" s="43"/>
      <c r="BA790" s="43"/>
      <c r="BF790" s="43"/>
      <c r="BK790" s="43"/>
      <c r="BQ790" s="43"/>
      <c r="BV790" s="43"/>
      <c r="CC790" s="43"/>
    </row>
    <row r="791" spans="2:81" ht="15.75" customHeight="1">
      <c r="B791" s="36"/>
      <c r="D791" s="36"/>
      <c r="F791" s="43"/>
      <c r="L791" s="43"/>
      <c r="Q791" s="43"/>
      <c r="V791" s="43"/>
      <c r="AD791" s="43"/>
      <c r="AG791" s="43"/>
      <c r="AL791" s="43"/>
      <c r="AQ791" s="43"/>
      <c r="AV791" s="43"/>
      <c r="BA791" s="43"/>
      <c r="BF791" s="43"/>
      <c r="BK791" s="43"/>
      <c r="BQ791" s="43"/>
      <c r="BV791" s="43"/>
      <c r="CC791" s="43"/>
    </row>
    <row r="792" spans="2:81" ht="15.75" customHeight="1">
      <c r="B792" s="36"/>
      <c r="D792" s="36"/>
      <c r="F792" s="43"/>
      <c r="L792" s="43"/>
      <c r="Q792" s="43"/>
      <c r="V792" s="43"/>
      <c r="AD792" s="43"/>
      <c r="AG792" s="43"/>
      <c r="AL792" s="43"/>
      <c r="AQ792" s="43"/>
      <c r="AV792" s="43"/>
      <c r="BA792" s="43"/>
      <c r="BF792" s="43"/>
      <c r="BK792" s="43"/>
      <c r="BQ792" s="43"/>
      <c r="BV792" s="43"/>
      <c r="CC792" s="43"/>
    </row>
    <row r="793" spans="2:81" ht="15.75" customHeight="1">
      <c r="B793" s="36"/>
      <c r="D793" s="36"/>
      <c r="F793" s="43"/>
      <c r="L793" s="43"/>
      <c r="Q793" s="43"/>
      <c r="V793" s="43"/>
      <c r="AD793" s="43"/>
      <c r="AG793" s="43"/>
      <c r="AL793" s="43"/>
      <c r="AQ793" s="43"/>
      <c r="AV793" s="43"/>
      <c r="BA793" s="43"/>
      <c r="BF793" s="43"/>
      <c r="BK793" s="43"/>
      <c r="BQ793" s="43"/>
      <c r="BV793" s="43"/>
      <c r="CC793" s="43"/>
    </row>
    <row r="794" spans="2:81" ht="15.75" customHeight="1">
      <c r="B794" s="36"/>
      <c r="D794" s="36"/>
      <c r="F794" s="43"/>
      <c r="L794" s="43"/>
      <c r="Q794" s="43"/>
      <c r="V794" s="43"/>
      <c r="AD794" s="43"/>
      <c r="AG794" s="43"/>
      <c r="AL794" s="43"/>
      <c r="AQ794" s="43"/>
      <c r="AV794" s="43"/>
      <c r="BA794" s="43"/>
      <c r="BF794" s="43"/>
      <c r="BK794" s="43"/>
      <c r="BQ794" s="43"/>
      <c r="BV794" s="43"/>
      <c r="CC794" s="43"/>
    </row>
    <row r="795" spans="2:81" ht="15.75" customHeight="1">
      <c r="B795" s="36"/>
      <c r="D795" s="36"/>
      <c r="F795" s="43"/>
      <c r="L795" s="43"/>
      <c r="Q795" s="43"/>
      <c r="V795" s="43"/>
      <c r="AD795" s="43"/>
      <c r="AG795" s="43"/>
      <c r="AL795" s="43"/>
      <c r="AQ795" s="43"/>
      <c r="AV795" s="43"/>
      <c r="BA795" s="43"/>
      <c r="BF795" s="43"/>
      <c r="BK795" s="43"/>
      <c r="BQ795" s="43"/>
      <c r="BV795" s="43"/>
      <c r="CC795" s="43"/>
    </row>
    <row r="796" spans="2:81" ht="15.75" customHeight="1">
      <c r="B796" s="36"/>
      <c r="D796" s="36"/>
      <c r="F796" s="43"/>
      <c r="L796" s="43"/>
      <c r="Q796" s="43"/>
      <c r="V796" s="43"/>
      <c r="AD796" s="43"/>
      <c r="AG796" s="43"/>
      <c r="AL796" s="43"/>
      <c r="AQ796" s="43"/>
      <c r="AV796" s="43"/>
      <c r="BA796" s="43"/>
      <c r="BF796" s="43"/>
      <c r="BK796" s="43"/>
      <c r="BQ796" s="43"/>
      <c r="BV796" s="43"/>
      <c r="CC796" s="43"/>
    </row>
    <row r="797" spans="2:81" ht="15.75" customHeight="1">
      <c r="B797" s="36"/>
      <c r="D797" s="36"/>
      <c r="F797" s="43"/>
      <c r="L797" s="43"/>
      <c r="Q797" s="43"/>
      <c r="V797" s="43"/>
      <c r="AD797" s="43"/>
      <c r="AG797" s="43"/>
      <c r="AL797" s="43"/>
      <c r="AQ797" s="43"/>
      <c r="AV797" s="43"/>
      <c r="BA797" s="43"/>
      <c r="BF797" s="43"/>
      <c r="BK797" s="43"/>
      <c r="BQ797" s="43"/>
      <c r="BV797" s="43"/>
      <c r="CC797" s="43"/>
    </row>
    <row r="798" spans="2:81" ht="15.75" customHeight="1">
      <c r="B798" s="36"/>
      <c r="D798" s="36"/>
      <c r="F798" s="43"/>
      <c r="L798" s="43"/>
      <c r="Q798" s="43"/>
      <c r="V798" s="43"/>
      <c r="AD798" s="43"/>
      <c r="AG798" s="43"/>
      <c r="AL798" s="43"/>
      <c r="AQ798" s="43"/>
      <c r="AV798" s="43"/>
      <c r="BA798" s="43"/>
      <c r="BF798" s="43"/>
      <c r="BK798" s="43"/>
      <c r="BQ798" s="43"/>
      <c r="BV798" s="43"/>
      <c r="CC798" s="43"/>
    </row>
    <row r="799" spans="2:81" ht="15.75" customHeight="1">
      <c r="B799" s="36"/>
      <c r="D799" s="36"/>
      <c r="F799" s="43"/>
      <c r="L799" s="43"/>
      <c r="Q799" s="43"/>
      <c r="V799" s="43"/>
      <c r="AD799" s="43"/>
      <c r="AG799" s="43"/>
      <c r="AL799" s="43"/>
      <c r="AQ799" s="43"/>
      <c r="AV799" s="43"/>
      <c r="BA799" s="43"/>
      <c r="BF799" s="43"/>
      <c r="BK799" s="43"/>
      <c r="BQ799" s="43"/>
      <c r="BV799" s="43"/>
      <c r="CC799" s="43"/>
    </row>
    <row r="800" spans="2:81" ht="15.75" customHeight="1">
      <c r="B800" s="36"/>
      <c r="D800" s="36"/>
      <c r="F800" s="43"/>
      <c r="L800" s="43"/>
      <c r="Q800" s="43"/>
      <c r="V800" s="43"/>
      <c r="AD800" s="43"/>
      <c r="AG800" s="43"/>
      <c r="AL800" s="43"/>
      <c r="AQ800" s="43"/>
      <c r="AV800" s="43"/>
      <c r="BA800" s="43"/>
      <c r="BF800" s="43"/>
      <c r="BK800" s="43"/>
      <c r="BQ800" s="43"/>
      <c r="BV800" s="43"/>
      <c r="CC800" s="43"/>
    </row>
    <row r="801" spans="2:81" ht="15.75" customHeight="1">
      <c r="B801" s="36"/>
      <c r="D801" s="36"/>
      <c r="F801" s="43"/>
      <c r="L801" s="43"/>
      <c r="Q801" s="43"/>
      <c r="V801" s="43"/>
      <c r="AD801" s="43"/>
      <c r="AG801" s="43"/>
      <c r="AL801" s="43"/>
      <c r="AQ801" s="43"/>
      <c r="AV801" s="43"/>
      <c r="BA801" s="43"/>
      <c r="BF801" s="43"/>
      <c r="BK801" s="43"/>
      <c r="BQ801" s="43"/>
      <c r="BV801" s="43"/>
      <c r="CC801" s="43"/>
    </row>
    <row r="802" spans="2:81" ht="15.75" customHeight="1">
      <c r="B802" s="36"/>
      <c r="D802" s="36"/>
      <c r="F802" s="43"/>
      <c r="L802" s="43"/>
      <c r="Q802" s="43"/>
      <c r="V802" s="43"/>
      <c r="AD802" s="43"/>
      <c r="AG802" s="43"/>
      <c r="AL802" s="43"/>
      <c r="AQ802" s="43"/>
      <c r="AV802" s="43"/>
      <c r="BA802" s="43"/>
      <c r="BF802" s="43"/>
      <c r="BK802" s="43"/>
      <c r="BQ802" s="43"/>
      <c r="BV802" s="43"/>
      <c r="CC802" s="43"/>
    </row>
    <row r="803" spans="2:81" ht="15.75" customHeight="1">
      <c r="B803" s="36"/>
      <c r="D803" s="36"/>
      <c r="F803" s="43"/>
      <c r="L803" s="43"/>
      <c r="Q803" s="43"/>
      <c r="V803" s="43"/>
      <c r="AD803" s="43"/>
      <c r="AG803" s="43"/>
      <c r="AL803" s="43"/>
      <c r="AQ803" s="43"/>
      <c r="AV803" s="43"/>
      <c r="BA803" s="43"/>
      <c r="BF803" s="43"/>
      <c r="BK803" s="43"/>
      <c r="BQ803" s="43"/>
      <c r="BV803" s="43"/>
      <c r="CC803" s="43"/>
    </row>
    <row r="804" spans="2:81" ht="15.75" customHeight="1">
      <c r="B804" s="36"/>
      <c r="D804" s="36"/>
      <c r="F804" s="43"/>
      <c r="L804" s="43"/>
      <c r="Q804" s="43"/>
      <c r="V804" s="43"/>
      <c r="AD804" s="43"/>
      <c r="AG804" s="43"/>
      <c r="AL804" s="43"/>
      <c r="AQ804" s="43"/>
      <c r="AV804" s="43"/>
      <c r="BA804" s="43"/>
      <c r="BF804" s="43"/>
      <c r="BK804" s="43"/>
      <c r="BQ804" s="43"/>
      <c r="BV804" s="43"/>
      <c r="CC804" s="43"/>
    </row>
    <row r="805" spans="2:81" ht="15.75" customHeight="1">
      <c r="B805" s="36"/>
      <c r="D805" s="36"/>
      <c r="F805" s="43"/>
      <c r="L805" s="43"/>
      <c r="Q805" s="43"/>
      <c r="V805" s="43"/>
      <c r="AD805" s="43"/>
      <c r="AG805" s="43"/>
      <c r="AL805" s="43"/>
      <c r="AQ805" s="43"/>
      <c r="AV805" s="43"/>
      <c r="BA805" s="43"/>
      <c r="BF805" s="43"/>
      <c r="BK805" s="43"/>
      <c r="BQ805" s="43"/>
      <c r="BV805" s="43"/>
      <c r="CC805" s="43"/>
    </row>
    <row r="806" spans="2:81" ht="15.75" customHeight="1">
      <c r="B806" s="36"/>
      <c r="D806" s="36"/>
      <c r="F806" s="43"/>
      <c r="L806" s="43"/>
      <c r="Q806" s="43"/>
      <c r="V806" s="43"/>
      <c r="AD806" s="43"/>
      <c r="AG806" s="43"/>
      <c r="AL806" s="43"/>
      <c r="AQ806" s="43"/>
      <c r="AV806" s="43"/>
      <c r="BA806" s="43"/>
      <c r="BF806" s="43"/>
      <c r="BK806" s="43"/>
      <c r="BQ806" s="43"/>
      <c r="BV806" s="43"/>
      <c r="CC806" s="43"/>
    </row>
    <row r="807" spans="2:81" ht="15.75" customHeight="1">
      <c r="B807" s="36"/>
      <c r="D807" s="36"/>
      <c r="F807" s="43"/>
      <c r="L807" s="43"/>
      <c r="Q807" s="43"/>
      <c r="V807" s="43"/>
      <c r="AD807" s="43"/>
      <c r="AG807" s="43"/>
      <c r="AL807" s="43"/>
      <c r="AQ807" s="43"/>
      <c r="AV807" s="43"/>
      <c r="BA807" s="43"/>
      <c r="BF807" s="43"/>
      <c r="BK807" s="43"/>
      <c r="BQ807" s="43"/>
      <c r="BV807" s="43"/>
      <c r="CC807" s="43"/>
    </row>
    <row r="808" spans="2:81" ht="15.75" customHeight="1">
      <c r="B808" s="36"/>
      <c r="D808" s="36"/>
      <c r="F808" s="43"/>
      <c r="L808" s="43"/>
      <c r="Q808" s="43"/>
      <c r="V808" s="43"/>
      <c r="AD808" s="43"/>
      <c r="AG808" s="43"/>
      <c r="AL808" s="43"/>
      <c r="AQ808" s="43"/>
      <c r="AV808" s="43"/>
      <c r="BA808" s="43"/>
      <c r="BF808" s="43"/>
      <c r="BK808" s="43"/>
      <c r="BQ808" s="43"/>
      <c r="BV808" s="43"/>
      <c r="CC808" s="43"/>
    </row>
    <row r="809" spans="2:81" ht="15.75" customHeight="1">
      <c r="B809" s="36"/>
      <c r="D809" s="36"/>
      <c r="F809" s="43"/>
      <c r="L809" s="43"/>
      <c r="Q809" s="43"/>
      <c r="V809" s="43"/>
      <c r="AD809" s="43"/>
      <c r="AG809" s="43"/>
      <c r="AL809" s="43"/>
      <c r="AQ809" s="43"/>
      <c r="AV809" s="43"/>
      <c r="BA809" s="43"/>
      <c r="BF809" s="43"/>
      <c r="BK809" s="43"/>
      <c r="BQ809" s="43"/>
      <c r="BV809" s="43"/>
      <c r="CC809" s="43"/>
    </row>
    <row r="810" spans="2:81" ht="15.75" customHeight="1">
      <c r="B810" s="36"/>
      <c r="D810" s="36"/>
      <c r="F810" s="43"/>
      <c r="L810" s="43"/>
      <c r="Q810" s="43"/>
      <c r="V810" s="43"/>
      <c r="AD810" s="43"/>
      <c r="AG810" s="43"/>
      <c r="AL810" s="43"/>
      <c r="AQ810" s="43"/>
      <c r="AV810" s="43"/>
      <c r="BA810" s="43"/>
      <c r="BF810" s="43"/>
      <c r="BK810" s="43"/>
      <c r="BQ810" s="43"/>
      <c r="BV810" s="43"/>
      <c r="CC810" s="43"/>
    </row>
    <row r="811" spans="2:81" ht="15.75" customHeight="1">
      <c r="B811" s="36"/>
      <c r="D811" s="36"/>
      <c r="F811" s="43"/>
      <c r="L811" s="43"/>
      <c r="Q811" s="43"/>
      <c r="V811" s="43"/>
      <c r="AD811" s="43"/>
      <c r="AG811" s="43"/>
      <c r="AL811" s="43"/>
      <c r="AQ811" s="43"/>
      <c r="AV811" s="43"/>
      <c r="BA811" s="43"/>
      <c r="BF811" s="43"/>
      <c r="BK811" s="43"/>
      <c r="BQ811" s="43"/>
      <c r="BV811" s="43"/>
      <c r="CC811" s="43"/>
    </row>
    <row r="812" spans="2:81" ht="15.75" customHeight="1">
      <c r="B812" s="36"/>
      <c r="D812" s="36"/>
      <c r="F812" s="43"/>
      <c r="L812" s="43"/>
      <c r="Q812" s="43"/>
      <c r="V812" s="43"/>
      <c r="AD812" s="43"/>
      <c r="AG812" s="43"/>
      <c r="AL812" s="43"/>
      <c r="AQ812" s="43"/>
      <c r="AV812" s="43"/>
      <c r="BA812" s="43"/>
      <c r="BF812" s="43"/>
      <c r="BK812" s="43"/>
      <c r="BQ812" s="43"/>
      <c r="BV812" s="43"/>
      <c r="CC812" s="43"/>
    </row>
    <row r="813" spans="2:81" ht="15.75" customHeight="1">
      <c r="B813" s="36"/>
      <c r="D813" s="36"/>
      <c r="F813" s="43"/>
      <c r="L813" s="43"/>
      <c r="Q813" s="43"/>
      <c r="V813" s="43"/>
      <c r="AD813" s="43"/>
      <c r="AG813" s="43"/>
      <c r="AL813" s="43"/>
      <c r="AQ813" s="43"/>
      <c r="AV813" s="43"/>
      <c r="BA813" s="43"/>
      <c r="BF813" s="43"/>
      <c r="BK813" s="43"/>
      <c r="BQ813" s="43"/>
      <c r="BV813" s="43"/>
      <c r="CC813" s="43"/>
    </row>
    <row r="814" spans="2:81" ht="15.75" customHeight="1">
      <c r="B814" s="36"/>
      <c r="D814" s="36"/>
      <c r="F814" s="43"/>
      <c r="L814" s="43"/>
      <c r="Q814" s="43"/>
      <c r="V814" s="43"/>
      <c r="AD814" s="43"/>
      <c r="AG814" s="43"/>
      <c r="AL814" s="43"/>
      <c r="AQ814" s="43"/>
      <c r="AV814" s="43"/>
      <c r="BA814" s="43"/>
      <c r="BF814" s="43"/>
      <c r="BK814" s="43"/>
      <c r="BQ814" s="43"/>
      <c r="BV814" s="43"/>
      <c r="CC814" s="43"/>
    </row>
    <row r="815" spans="2:81" ht="15.75" customHeight="1">
      <c r="B815" s="36"/>
      <c r="D815" s="36"/>
      <c r="F815" s="43"/>
      <c r="L815" s="43"/>
      <c r="Q815" s="43"/>
      <c r="V815" s="43"/>
      <c r="AD815" s="43"/>
      <c r="AG815" s="43"/>
      <c r="AL815" s="43"/>
      <c r="AQ815" s="43"/>
      <c r="AV815" s="43"/>
      <c r="BA815" s="43"/>
      <c r="BF815" s="43"/>
      <c r="BK815" s="43"/>
      <c r="BQ815" s="43"/>
      <c r="BV815" s="43"/>
      <c r="CC815" s="43"/>
    </row>
    <row r="816" spans="2:81" ht="15.75" customHeight="1">
      <c r="B816" s="36"/>
      <c r="D816" s="36"/>
      <c r="F816" s="43"/>
      <c r="L816" s="43"/>
      <c r="Q816" s="43"/>
      <c r="V816" s="43"/>
      <c r="AD816" s="43"/>
      <c r="AG816" s="43"/>
      <c r="AL816" s="43"/>
      <c r="AQ816" s="43"/>
      <c r="AV816" s="43"/>
      <c r="BA816" s="43"/>
      <c r="BF816" s="43"/>
      <c r="BK816" s="43"/>
      <c r="BQ816" s="43"/>
      <c r="BV816" s="43"/>
      <c r="CC816" s="43"/>
    </row>
    <row r="817" spans="2:81" ht="15.75" customHeight="1">
      <c r="B817" s="36"/>
      <c r="D817" s="36"/>
      <c r="F817" s="43"/>
      <c r="L817" s="43"/>
      <c r="Q817" s="43"/>
      <c r="V817" s="43"/>
      <c r="AD817" s="43"/>
      <c r="AG817" s="43"/>
      <c r="AL817" s="43"/>
      <c r="AQ817" s="43"/>
      <c r="AV817" s="43"/>
      <c r="BA817" s="43"/>
      <c r="BF817" s="43"/>
      <c r="BK817" s="43"/>
      <c r="BQ817" s="43"/>
      <c r="BV817" s="43"/>
      <c r="CC817" s="43"/>
    </row>
    <row r="818" spans="2:81" ht="15.75" customHeight="1">
      <c r="B818" s="36"/>
      <c r="D818" s="36"/>
      <c r="F818" s="43"/>
      <c r="L818" s="43"/>
      <c r="Q818" s="43"/>
      <c r="V818" s="43"/>
      <c r="AD818" s="43"/>
      <c r="AG818" s="43"/>
      <c r="AL818" s="43"/>
      <c r="AQ818" s="43"/>
      <c r="AV818" s="43"/>
      <c r="BA818" s="43"/>
      <c r="BF818" s="43"/>
      <c r="BK818" s="43"/>
      <c r="BQ818" s="43"/>
      <c r="BV818" s="43"/>
      <c r="CC818" s="43"/>
    </row>
    <row r="819" spans="2:81" ht="15.75" customHeight="1">
      <c r="B819" s="36"/>
      <c r="D819" s="36"/>
      <c r="F819" s="43"/>
      <c r="L819" s="43"/>
      <c r="Q819" s="43"/>
      <c r="V819" s="43"/>
      <c r="AD819" s="43"/>
      <c r="AG819" s="43"/>
      <c r="AL819" s="43"/>
      <c r="AQ819" s="43"/>
      <c r="AV819" s="43"/>
      <c r="BA819" s="43"/>
      <c r="BF819" s="43"/>
      <c r="BK819" s="43"/>
      <c r="BQ819" s="43"/>
      <c r="BV819" s="43"/>
      <c r="CC819" s="43"/>
    </row>
    <row r="820" spans="2:81" ht="15.75" customHeight="1">
      <c r="B820" s="36"/>
      <c r="D820" s="36"/>
      <c r="F820" s="43"/>
      <c r="L820" s="43"/>
      <c r="Q820" s="43"/>
      <c r="V820" s="43"/>
      <c r="AD820" s="43"/>
      <c r="AG820" s="43"/>
      <c r="AL820" s="43"/>
      <c r="AQ820" s="43"/>
      <c r="AV820" s="43"/>
      <c r="BA820" s="43"/>
      <c r="BF820" s="43"/>
      <c r="BK820" s="43"/>
      <c r="BQ820" s="43"/>
      <c r="BV820" s="43"/>
      <c r="CC820" s="43"/>
    </row>
    <row r="821" spans="2:81" ht="15.75" customHeight="1">
      <c r="B821" s="36"/>
      <c r="D821" s="36"/>
      <c r="F821" s="43"/>
      <c r="L821" s="43"/>
      <c r="Q821" s="43"/>
      <c r="V821" s="43"/>
      <c r="AD821" s="43"/>
      <c r="AG821" s="43"/>
      <c r="AL821" s="43"/>
      <c r="AQ821" s="43"/>
      <c r="AV821" s="43"/>
      <c r="BA821" s="43"/>
      <c r="BF821" s="43"/>
      <c r="BK821" s="43"/>
      <c r="BQ821" s="43"/>
      <c r="BV821" s="43"/>
      <c r="CC821" s="43"/>
    </row>
    <row r="822" spans="2:81" ht="15.75" customHeight="1">
      <c r="B822" s="36"/>
      <c r="D822" s="36"/>
      <c r="F822" s="43"/>
      <c r="L822" s="43"/>
      <c r="Q822" s="43"/>
      <c r="V822" s="43"/>
      <c r="AD822" s="43"/>
      <c r="AG822" s="43"/>
      <c r="AL822" s="43"/>
      <c r="AQ822" s="43"/>
      <c r="AV822" s="43"/>
      <c r="BA822" s="43"/>
      <c r="BF822" s="43"/>
      <c r="BK822" s="43"/>
      <c r="BQ822" s="43"/>
      <c r="BV822" s="43"/>
      <c r="CC822" s="43"/>
    </row>
    <row r="823" spans="2:81" ht="15.75" customHeight="1">
      <c r="B823" s="36"/>
      <c r="D823" s="36"/>
      <c r="F823" s="43"/>
      <c r="L823" s="43"/>
      <c r="Q823" s="43"/>
      <c r="V823" s="43"/>
      <c r="AD823" s="43"/>
      <c r="AG823" s="43"/>
      <c r="AL823" s="43"/>
      <c r="AQ823" s="43"/>
      <c r="AV823" s="43"/>
      <c r="BA823" s="43"/>
      <c r="BF823" s="43"/>
      <c r="BK823" s="43"/>
      <c r="BQ823" s="43"/>
      <c r="BV823" s="43"/>
      <c r="CC823" s="43"/>
    </row>
    <row r="824" spans="2:81" ht="15.75" customHeight="1">
      <c r="B824" s="36"/>
      <c r="D824" s="36"/>
      <c r="F824" s="43"/>
      <c r="L824" s="43"/>
      <c r="Q824" s="43"/>
      <c r="V824" s="43"/>
      <c r="AD824" s="43"/>
      <c r="AG824" s="43"/>
      <c r="AL824" s="43"/>
      <c r="AQ824" s="43"/>
      <c r="AV824" s="43"/>
      <c r="BA824" s="43"/>
      <c r="BF824" s="43"/>
      <c r="BK824" s="43"/>
      <c r="BQ824" s="43"/>
      <c r="BV824" s="43"/>
      <c r="CC824" s="43"/>
    </row>
    <row r="825" spans="2:81" ht="15.75" customHeight="1">
      <c r="B825" s="36"/>
      <c r="D825" s="36"/>
      <c r="F825" s="43"/>
      <c r="L825" s="43"/>
      <c r="Q825" s="43"/>
      <c r="V825" s="43"/>
      <c r="AD825" s="43"/>
      <c r="AG825" s="43"/>
      <c r="AL825" s="43"/>
      <c r="AQ825" s="43"/>
      <c r="AV825" s="43"/>
      <c r="BA825" s="43"/>
      <c r="BF825" s="43"/>
      <c r="BK825" s="43"/>
      <c r="BQ825" s="43"/>
      <c r="BV825" s="43"/>
      <c r="CC825" s="43"/>
    </row>
    <row r="826" spans="2:81" ht="15.75" customHeight="1">
      <c r="B826" s="36"/>
      <c r="D826" s="36"/>
      <c r="F826" s="43"/>
      <c r="L826" s="43"/>
      <c r="Q826" s="43"/>
      <c r="V826" s="43"/>
      <c r="AD826" s="43"/>
      <c r="AG826" s="43"/>
      <c r="AL826" s="43"/>
      <c r="AQ826" s="43"/>
      <c r="AV826" s="43"/>
      <c r="BA826" s="43"/>
      <c r="BF826" s="43"/>
      <c r="BK826" s="43"/>
      <c r="BQ826" s="43"/>
      <c r="BV826" s="43"/>
      <c r="CC826" s="43"/>
    </row>
    <row r="827" spans="2:81" ht="15.75" customHeight="1">
      <c r="B827" s="36"/>
      <c r="D827" s="36"/>
      <c r="F827" s="43"/>
      <c r="L827" s="43"/>
      <c r="Q827" s="43"/>
      <c r="V827" s="43"/>
      <c r="AD827" s="43"/>
      <c r="AG827" s="43"/>
      <c r="AL827" s="43"/>
      <c r="AQ827" s="43"/>
      <c r="AV827" s="43"/>
      <c r="BA827" s="43"/>
      <c r="BF827" s="43"/>
      <c r="BK827" s="43"/>
      <c r="BQ827" s="43"/>
      <c r="BV827" s="43"/>
      <c r="CC827" s="43"/>
    </row>
    <row r="828" spans="2:81" ht="15.75" customHeight="1">
      <c r="B828" s="36"/>
      <c r="D828" s="36"/>
      <c r="F828" s="43"/>
      <c r="L828" s="43"/>
      <c r="Q828" s="43"/>
      <c r="V828" s="43"/>
      <c r="AD828" s="43"/>
      <c r="AG828" s="43"/>
      <c r="AL828" s="43"/>
      <c r="AQ828" s="43"/>
      <c r="AV828" s="43"/>
      <c r="BA828" s="43"/>
      <c r="BF828" s="43"/>
      <c r="BK828" s="43"/>
      <c r="BQ828" s="43"/>
      <c r="BV828" s="43"/>
      <c r="CC828" s="43"/>
    </row>
    <row r="829" spans="2:81" ht="15.75" customHeight="1">
      <c r="B829" s="36"/>
      <c r="D829" s="36"/>
      <c r="F829" s="43"/>
      <c r="L829" s="43"/>
      <c r="Q829" s="43"/>
      <c r="V829" s="43"/>
      <c r="AD829" s="43"/>
      <c r="AG829" s="43"/>
      <c r="AL829" s="43"/>
      <c r="AQ829" s="43"/>
      <c r="AV829" s="43"/>
      <c r="BA829" s="43"/>
      <c r="BF829" s="43"/>
      <c r="BK829" s="43"/>
      <c r="BQ829" s="43"/>
      <c r="BV829" s="43"/>
      <c r="CC829" s="43"/>
    </row>
    <row r="830" spans="2:81" ht="15.75" customHeight="1">
      <c r="B830" s="36"/>
      <c r="D830" s="36"/>
      <c r="F830" s="43"/>
      <c r="L830" s="43"/>
      <c r="Q830" s="43"/>
      <c r="V830" s="43"/>
      <c r="AD830" s="43"/>
      <c r="AG830" s="43"/>
      <c r="AL830" s="43"/>
      <c r="AQ830" s="43"/>
      <c r="AV830" s="43"/>
      <c r="BA830" s="43"/>
      <c r="BF830" s="43"/>
      <c r="BK830" s="43"/>
      <c r="BQ830" s="43"/>
      <c r="BV830" s="43"/>
      <c r="CC830" s="43"/>
    </row>
    <row r="831" spans="2:81" ht="15.75" customHeight="1">
      <c r="B831" s="36"/>
      <c r="D831" s="36"/>
      <c r="F831" s="43"/>
      <c r="L831" s="43"/>
      <c r="Q831" s="43"/>
      <c r="V831" s="43"/>
      <c r="AD831" s="43"/>
      <c r="AG831" s="43"/>
      <c r="AL831" s="43"/>
      <c r="AQ831" s="43"/>
      <c r="AV831" s="43"/>
      <c r="BA831" s="43"/>
      <c r="BF831" s="43"/>
      <c r="BK831" s="43"/>
      <c r="BQ831" s="43"/>
      <c r="BV831" s="43"/>
      <c r="CC831" s="43"/>
    </row>
    <row r="832" spans="2:81" ht="15.75" customHeight="1">
      <c r="B832" s="36"/>
      <c r="D832" s="36"/>
      <c r="F832" s="43"/>
      <c r="L832" s="43"/>
      <c r="Q832" s="43"/>
      <c r="V832" s="43"/>
      <c r="AD832" s="43"/>
      <c r="AG832" s="43"/>
      <c r="AL832" s="43"/>
      <c r="AQ832" s="43"/>
      <c r="AV832" s="43"/>
      <c r="BA832" s="43"/>
      <c r="BF832" s="43"/>
      <c r="BK832" s="43"/>
      <c r="BQ832" s="43"/>
      <c r="BV832" s="43"/>
      <c r="CC832" s="43"/>
    </row>
    <row r="833" spans="2:81" ht="15.75" customHeight="1">
      <c r="B833" s="36"/>
      <c r="D833" s="36"/>
      <c r="F833" s="43"/>
      <c r="L833" s="43"/>
      <c r="Q833" s="43"/>
      <c r="V833" s="43"/>
      <c r="AD833" s="43"/>
      <c r="AG833" s="43"/>
      <c r="AL833" s="43"/>
      <c r="AQ833" s="43"/>
      <c r="AV833" s="43"/>
      <c r="BA833" s="43"/>
      <c r="BF833" s="43"/>
      <c r="BK833" s="43"/>
      <c r="BQ833" s="43"/>
      <c r="BV833" s="43"/>
      <c r="CC833" s="43"/>
    </row>
    <row r="834" spans="2:81" ht="15.75" customHeight="1">
      <c r="B834" s="36"/>
      <c r="D834" s="36"/>
      <c r="F834" s="43"/>
      <c r="L834" s="43"/>
      <c r="Q834" s="43"/>
      <c r="V834" s="43"/>
      <c r="AD834" s="43"/>
      <c r="AG834" s="43"/>
      <c r="AL834" s="43"/>
      <c r="AQ834" s="43"/>
      <c r="AV834" s="43"/>
      <c r="BA834" s="43"/>
      <c r="BF834" s="43"/>
      <c r="BK834" s="43"/>
      <c r="BQ834" s="43"/>
      <c r="BV834" s="43"/>
      <c r="CC834" s="43"/>
    </row>
    <row r="835" spans="2:81" ht="15.75" customHeight="1">
      <c r="B835" s="36"/>
      <c r="D835" s="36"/>
      <c r="F835" s="43"/>
      <c r="L835" s="43"/>
      <c r="Q835" s="43"/>
      <c r="V835" s="43"/>
      <c r="AD835" s="43"/>
      <c r="AG835" s="43"/>
      <c r="AL835" s="43"/>
      <c r="AQ835" s="43"/>
      <c r="AV835" s="43"/>
      <c r="BA835" s="43"/>
      <c r="BF835" s="43"/>
      <c r="BK835" s="43"/>
      <c r="BQ835" s="43"/>
      <c r="BV835" s="43"/>
      <c r="CC835" s="43"/>
    </row>
    <row r="836" spans="2:81" ht="15.75" customHeight="1">
      <c r="B836" s="36"/>
      <c r="D836" s="36"/>
      <c r="F836" s="43"/>
      <c r="L836" s="43"/>
      <c r="Q836" s="43"/>
      <c r="V836" s="43"/>
      <c r="AD836" s="43"/>
      <c r="AG836" s="43"/>
      <c r="AL836" s="43"/>
      <c r="AQ836" s="43"/>
      <c r="AV836" s="43"/>
      <c r="BA836" s="43"/>
      <c r="BF836" s="43"/>
      <c r="BK836" s="43"/>
      <c r="BQ836" s="43"/>
      <c r="BV836" s="43"/>
      <c r="CC836" s="43"/>
    </row>
    <row r="837" spans="2:81" ht="15.75" customHeight="1">
      <c r="B837" s="36"/>
      <c r="D837" s="36"/>
      <c r="F837" s="43"/>
      <c r="L837" s="43"/>
      <c r="Q837" s="43"/>
      <c r="V837" s="43"/>
      <c r="AD837" s="43"/>
      <c r="AG837" s="43"/>
      <c r="AL837" s="43"/>
      <c r="AQ837" s="43"/>
      <c r="AV837" s="43"/>
      <c r="BA837" s="43"/>
      <c r="BF837" s="43"/>
      <c r="BK837" s="43"/>
      <c r="BQ837" s="43"/>
      <c r="BV837" s="43"/>
      <c r="CC837" s="43"/>
    </row>
    <row r="838" spans="2:81" ht="15.75" customHeight="1">
      <c r="B838" s="36"/>
      <c r="D838" s="36"/>
      <c r="F838" s="43"/>
      <c r="L838" s="43"/>
      <c r="Q838" s="43"/>
      <c r="V838" s="43"/>
      <c r="AD838" s="43"/>
      <c r="AG838" s="43"/>
      <c r="AL838" s="43"/>
      <c r="AQ838" s="43"/>
      <c r="AV838" s="43"/>
      <c r="BA838" s="43"/>
      <c r="BF838" s="43"/>
      <c r="BK838" s="43"/>
      <c r="BQ838" s="43"/>
      <c r="BV838" s="43"/>
      <c r="CC838" s="43"/>
    </row>
    <row r="839" spans="2:81" ht="15.75" customHeight="1">
      <c r="B839" s="36"/>
      <c r="D839" s="36"/>
      <c r="F839" s="43"/>
      <c r="L839" s="43"/>
      <c r="Q839" s="43"/>
      <c r="V839" s="43"/>
      <c r="AD839" s="43"/>
      <c r="AG839" s="43"/>
      <c r="AL839" s="43"/>
      <c r="AQ839" s="43"/>
      <c r="AV839" s="43"/>
      <c r="BA839" s="43"/>
      <c r="BF839" s="43"/>
      <c r="BK839" s="43"/>
      <c r="BQ839" s="43"/>
      <c r="BV839" s="43"/>
      <c r="CC839" s="43"/>
    </row>
    <row r="840" spans="2:81" ht="15.75" customHeight="1">
      <c r="B840" s="36"/>
      <c r="D840" s="36"/>
      <c r="F840" s="43"/>
      <c r="L840" s="43"/>
      <c r="Q840" s="43"/>
      <c r="V840" s="43"/>
      <c r="AD840" s="43"/>
      <c r="AG840" s="43"/>
      <c r="AL840" s="43"/>
      <c r="AQ840" s="43"/>
      <c r="AV840" s="43"/>
      <c r="BA840" s="43"/>
      <c r="BF840" s="43"/>
      <c r="BK840" s="43"/>
      <c r="BQ840" s="43"/>
      <c r="BV840" s="43"/>
      <c r="CC840" s="43"/>
    </row>
    <row r="841" spans="2:81" ht="15.75" customHeight="1">
      <c r="B841" s="36"/>
      <c r="D841" s="36"/>
      <c r="F841" s="43"/>
      <c r="L841" s="43"/>
      <c r="Q841" s="43"/>
      <c r="V841" s="43"/>
      <c r="AD841" s="43"/>
      <c r="AG841" s="43"/>
      <c r="AL841" s="43"/>
      <c r="AQ841" s="43"/>
      <c r="AV841" s="43"/>
      <c r="BA841" s="43"/>
      <c r="BF841" s="43"/>
      <c r="BK841" s="43"/>
      <c r="BQ841" s="43"/>
      <c r="BV841" s="43"/>
      <c r="CC841" s="43"/>
    </row>
    <row r="842" spans="2:81" ht="15.75" customHeight="1">
      <c r="B842" s="36"/>
      <c r="D842" s="36"/>
      <c r="F842" s="43"/>
      <c r="L842" s="43"/>
      <c r="Q842" s="43"/>
      <c r="V842" s="43"/>
      <c r="AD842" s="43"/>
      <c r="AG842" s="43"/>
      <c r="AL842" s="43"/>
      <c r="AQ842" s="43"/>
      <c r="AV842" s="43"/>
      <c r="BA842" s="43"/>
      <c r="BF842" s="43"/>
      <c r="BK842" s="43"/>
      <c r="BQ842" s="43"/>
      <c r="BV842" s="43"/>
      <c r="CC842" s="43"/>
    </row>
    <row r="843" spans="2:81" ht="15.75" customHeight="1">
      <c r="B843" s="36"/>
      <c r="D843" s="36"/>
      <c r="F843" s="43"/>
      <c r="L843" s="43"/>
      <c r="Q843" s="43"/>
      <c r="V843" s="43"/>
      <c r="AD843" s="43"/>
      <c r="AG843" s="43"/>
      <c r="AL843" s="43"/>
      <c r="AQ843" s="43"/>
      <c r="AV843" s="43"/>
      <c r="BA843" s="43"/>
      <c r="BF843" s="43"/>
      <c r="BK843" s="43"/>
      <c r="BQ843" s="43"/>
      <c r="BV843" s="43"/>
      <c r="CC843" s="43"/>
    </row>
    <row r="844" spans="2:81" ht="15.75" customHeight="1">
      <c r="B844" s="36"/>
      <c r="D844" s="36"/>
      <c r="F844" s="43"/>
      <c r="L844" s="43"/>
      <c r="Q844" s="43"/>
      <c r="V844" s="43"/>
      <c r="AD844" s="43"/>
      <c r="AG844" s="43"/>
      <c r="AL844" s="43"/>
      <c r="AQ844" s="43"/>
      <c r="AV844" s="43"/>
      <c r="BA844" s="43"/>
      <c r="BF844" s="43"/>
      <c r="BK844" s="43"/>
      <c r="BQ844" s="43"/>
      <c r="BV844" s="43"/>
      <c r="CC844" s="43"/>
    </row>
    <row r="845" spans="2:81" ht="15.75" customHeight="1">
      <c r="B845" s="36"/>
      <c r="D845" s="36"/>
      <c r="F845" s="43"/>
      <c r="L845" s="43"/>
      <c r="Q845" s="43"/>
      <c r="V845" s="43"/>
      <c r="AD845" s="43"/>
      <c r="AG845" s="43"/>
      <c r="AL845" s="43"/>
      <c r="AQ845" s="43"/>
      <c r="AV845" s="43"/>
      <c r="BA845" s="43"/>
      <c r="BF845" s="43"/>
      <c r="BK845" s="43"/>
      <c r="BQ845" s="43"/>
      <c r="BV845" s="43"/>
      <c r="CC845" s="43"/>
    </row>
    <row r="846" spans="2:81" ht="15.75" customHeight="1">
      <c r="B846" s="36"/>
      <c r="D846" s="36"/>
      <c r="F846" s="43"/>
      <c r="L846" s="43"/>
      <c r="Q846" s="43"/>
      <c r="V846" s="43"/>
      <c r="AD846" s="43"/>
      <c r="AG846" s="43"/>
      <c r="AL846" s="43"/>
      <c r="AQ846" s="43"/>
      <c r="AV846" s="43"/>
      <c r="BA846" s="43"/>
      <c r="BF846" s="43"/>
      <c r="BK846" s="43"/>
      <c r="BQ846" s="43"/>
      <c r="BV846" s="43"/>
      <c r="CC846" s="43"/>
    </row>
    <row r="847" spans="2:81" ht="15.75" customHeight="1">
      <c r="B847" s="36"/>
      <c r="D847" s="36"/>
      <c r="F847" s="43"/>
      <c r="L847" s="43"/>
      <c r="Q847" s="43"/>
      <c r="V847" s="43"/>
      <c r="AD847" s="43"/>
      <c r="AG847" s="43"/>
      <c r="AL847" s="43"/>
      <c r="AQ847" s="43"/>
      <c r="AV847" s="43"/>
      <c r="BA847" s="43"/>
      <c r="BF847" s="43"/>
      <c r="BK847" s="43"/>
      <c r="BQ847" s="43"/>
      <c r="BV847" s="43"/>
      <c r="CC847" s="43"/>
    </row>
    <row r="848" spans="2:81" ht="15.75" customHeight="1">
      <c r="B848" s="36"/>
      <c r="D848" s="36"/>
      <c r="F848" s="43"/>
      <c r="L848" s="43"/>
      <c r="Q848" s="43"/>
      <c r="V848" s="43"/>
      <c r="AD848" s="43"/>
      <c r="AG848" s="43"/>
      <c r="AL848" s="43"/>
      <c r="AQ848" s="43"/>
      <c r="AV848" s="43"/>
      <c r="BA848" s="43"/>
      <c r="BF848" s="43"/>
      <c r="BK848" s="43"/>
      <c r="BQ848" s="43"/>
      <c r="BV848" s="43"/>
      <c r="CC848" s="43"/>
    </row>
    <row r="849" spans="2:81" ht="15.75" customHeight="1">
      <c r="B849" s="36"/>
      <c r="D849" s="36"/>
      <c r="F849" s="43"/>
      <c r="L849" s="43"/>
      <c r="Q849" s="43"/>
      <c r="V849" s="43"/>
      <c r="AD849" s="43"/>
      <c r="AG849" s="43"/>
      <c r="AL849" s="43"/>
      <c r="AQ849" s="43"/>
      <c r="AV849" s="43"/>
      <c r="BA849" s="43"/>
      <c r="BF849" s="43"/>
      <c r="BK849" s="43"/>
      <c r="BQ849" s="43"/>
      <c r="BV849" s="43"/>
      <c r="CC849" s="43"/>
    </row>
    <row r="850" spans="2:81" ht="15.75" customHeight="1">
      <c r="B850" s="36"/>
      <c r="D850" s="36"/>
      <c r="F850" s="43"/>
      <c r="L850" s="43"/>
      <c r="Q850" s="43"/>
      <c r="V850" s="43"/>
      <c r="AD850" s="43"/>
      <c r="AG850" s="43"/>
      <c r="AL850" s="43"/>
      <c r="AQ850" s="43"/>
      <c r="AV850" s="43"/>
      <c r="BA850" s="43"/>
      <c r="BF850" s="43"/>
      <c r="BK850" s="43"/>
      <c r="BQ850" s="43"/>
      <c r="BV850" s="43"/>
      <c r="CC850" s="43"/>
    </row>
    <row r="851" spans="2:81" ht="15.75" customHeight="1">
      <c r="B851" s="36"/>
      <c r="D851" s="36"/>
      <c r="F851" s="43"/>
      <c r="L851" s="43"/>
      <c r="Q851" s="43"/>
      <c r="V851" s="43"/>
      <c r="AD851" s="43"/>
      <c r="AG851" s="43"/>
      <c r="AL851" s="43"/>
      <c r="AQ851" s="43"/>
      <c r="AV851" s="43"/>
      <c r="BA851" s="43"/>
      <c r="BF851" s="43"/>
      <c r="BK851" s="43"/>
      <c r="BQ851" s="43"/>
      <c r="BV851" s="43"/>
      <c r="CC851" s="43"/>
    </row>
    <row r="852" spans="2:81" ht="15.75" customHeight="1">
      <c r="B852" s="36"/>
      <c r="D852" s="36"/>
      <c r="F852" s="43"/>
      <c r="L852" s="43"/>
      <c r="Q852" s="43"/>
      <c r="V852" s="43"/>
      <c r="AD852" s="43"/>
      <c r="AG852" s="43"/>
      <c r="AL852" s="43"/>
      <c r="AQ852" s="43"/>
      <c r="AV852" s="43"/>
      <c r="BA852" s="43"/>
      <c r="BF852" s="43"/>
      <c r="BK852" s="43"/>
      <c r="BQ852" s="43"/>
      <c r="BV852" s="43"/>
      <c r="CC852" s="43"/>
    </row>
    <row r="853" spans="2:81" ht="15.75" customHeight="1">
      <c r="B853" s="36"/>
      <c r="D853" s="36"/>
      <c r="F853" s="43"/>
      <c r="L853" s="43"/>
      <c r="Q853" s="43"/>
      <c r="V853" s="43"/>
      <c r="AD853" s="43"/>
      <c r="AG853" s="43"/>
      <c r="AL853" s="43"/>
      <c r="AQ853" s="43"/>
      <c r="AV853" s="43"/>
      <c r="BA853" s="43"/>
      <c r="BF853" s="43"/>
      <c r="BK853" s="43"/>
      <c r="BQ853" s="43"/>
      <c r="BV853" s="43"/>
      <c r="CC853" s="43"/>
    </row>
    <row r="854" spans="2:81" ht="15.75" customHeight="1">
      <c r="B854" s="36"/>
      <c r="D854" s="36"/>
      <c r="F854" s="43"/>
      <c r="L854" s="43"/>
      <c r="Q854" s="43"/>
      <c r="V854" s="43"/>
      <c r="AD854" s="43"/>
      <c r="AG854" s="43"/>
      <c r="AL854" s="43"/>
      <c r="AQ854" s="43"/>
      <c r="AV854" s="43"/>
      <c r="BA854" s="43"/>
      <c r="BF854" s="43"/>
      <c r="BK854" s="43"/>
      <c r="BQ854" s="43"/>
      <c r="BV854" s="43"/>
      <c r="CC854" s="43"/>
    </row>
    <row r="855" spans="2:81" ht="15.75" customHeight="1">
      <c r="B855" s="36"/>
      <c r="D855" s="36"/>
      <c r="F855" s="43"/>
      <c r="L855" s="43"/>
      <c r="Q855" s="43"/>
      <c r="V855" s="43"/>
      <c r="AD855" s="43"/>
      <c r="AG855" s="43"/>
      <c r="AL855" s="43"/>
      <c r="AQ855" s="43"/>
      <c r="AV855" s="43"/>
      <c r="BA855" s="43"/>
      <c r="BF855" s="43"/>
      <c r="BK855" s="43"/>
      <c r="BQ855" s="43"/>
      <c r="BV855" s="43"/>
      <c r="CC855" s="43"/>
    </row>
    <row r="856" spans="2:81" ht="15.75" customHeight="1">
      <c r="B856" s="36"/>
      <c r="D856" s="36"/>
      <c r="F856" s="43"/>
      <c r="L856" s="43"/>
      <c r="Q856" s="43"/>
      <c r="V856" s="43"/>
      <c r="AD856" s="43"/>
      <c r="AG856" s="43"/>
      <c r="AL856" s="43"/>
      <c r="AQ856" s="43"/>
      <c r="AV856" s="43"/>
      <c r="BA856" s="43"/>
      <c r="BF856" s="43"/>
      <c r="BK856" s="43"/>
      <c r="BQ856" s="43"/>
      <c r="BV856" s="43"/>
      <c r="CC856" s="43"/>
    </row>
    <row r="857" spans="2:81" ht="15.75" customHeight="1">
      <c r="B857" s="36"/>
      <c r="D857" s="36"/>
      <c r="F857" s="43"/>
      <c r="L857" s="43"/>
      <c r="Q857" s="43"/>
      <c r="V857" s="43"/>
      <c r="AD857" s="43"/>
      <c r="AG857" s="43"/>
      <c r="AL857" s="43"/>
      <c r="AQ857" s="43"/>
      <c r="AV857" s="43"/>
      <c r="BA857" s="43"/>
      <c r="BF857" s="43"/>
      <c r="BK857" s="43"/>
      <c r="BQ857" s="43"/>
      <c r="BV857" s="43"/>
      <c r="CC857" s="43"/>
    </row>
    <row r="858" spans="2:81" ht="15.75" customHeight="1">
      <c r="B858" s="36"/>
      <c r="D858" s="36"/>
      <c r="F858" s="43"/>
      <c r="L858" s="43"/>
      <c r="Q858" s="43"/>
      <c r="V858" s="43"/>
      <c r="AD858" s="43"/>
      <c r="AG858" s="43"/>
      <c r="AL858" s="43"/>
      <c r="AQ858" s="43"/>
      <c r="AV858" s="43"/>
      <c r="BA858" s="43"/>
      <c r="BF858" s="43"/>
      <c r="BK858" s="43"/>
      <c r="BQ858" s="43"/>
      <c r="BV858" s="43"/>
      <c r="CC858" s="43"/>
    </row>
    <row r="859" spans="2:81" ht="15.75" customHeight="1">
      <c r="B859" s="36"/>
      <c r="D859" s="36"/>
      <c r="F859" s="43"/>
      <c r="L859" s="43"/>
      <c r="Q859" s="43"/>
      <c r="V859" s="43"/>
      <c r="AD859" s="43"/>
      <c r="AG859" s="43"/>
      <c r="AL859" s="43"/>
      <c r="AQ859" s="43"/>
      <c r="AV859" s="43"/>
      <c r="BA859" s="43"/>
      <c r="BF859" s="43"/>
      <c r="BK859" s="43"/>
      <c r="BQ859" s="43"/>
      <c r="BV859" s="43"/>
      <c r="CC859" s="43"/>
    </row>
    <row r="860" spans="2:81" ht="15.75" customHeight="1">
      <c r="B860" s="36"/>
      <c r="D860" s="36"/>
      <c r="F860" s="43"/>
      <c r="L860" s="43"/>
      <c r="Q860" s="43"/>
      <c r="V860" s="43"/>
      <c r="AD860" s="43"/>
      <c r="AG860" s="43"/>
      <c r="AL860" s="43"/>
      <c r="AQ860" s="43"/>
      <c r="AV860" s="43"/>
      <c r="BA860" s="43"/>
      <c r="BF860" s="43"/>
      <c r="BK860" s="43"/>
      <c r="BQ860" s="43"/>
      <c r="BV860" s="43"/>
      <c r="CC860" s="43"/>
    </row>
    <row r="861" spans="2:81" ht="15.75" customHeight="1">
      <c r="B861" s="36"/>
      <c r="D861" s="36"/>
      <c r="F861" s="43"/>
      <c r="L861" s="43"/>
      <c r="Q861" s="43"/>
      <c r="V861" s="43"/>
      <c r="AD861" s="43"/>
      <c r="AG861" s="43"/>
      <c r="AL861" s="43"/>
      <c r="AQ861" s="43"/>
      <c r="AV861" s="43"/>
      <c r="BA861" s="43"/>
      <c r="BF861" s="43"/>
      <c r="BK861" s="43"/>
      <c r="BQ861" s="43"/>
      <c r="BV861" s="43"/>
      <c r="CC861" s="43"/>
    </row>
    <row r="862" spans="2:81" ht="15.75" customHeight="1">
      <c r="B862" s="36"/>
      <c r="D862" s="36"/>
      <c r="F862" s="43"/>
      <c r="L862" s="43"/>
      <c r="Q862" s="43"/>
      <c r="V862" s="43"/>
      <c r="AD862" s="43"/>
      <c r="AG862" s="43"/>
      <c r="AL862" s="43"/>
      <c r="AQ862" s="43"/>
      <c r="AV862" s="43"/>
      <c r="BA862" s="43"/>
      <c r="BF862" s="43"/>
      <c r="BK862" s="43"/>
      <c r="BQ862" s="43"/>
      <c r="BV862" s="43"/>
      <c r="CC862" s="43"/>
    </row>
    <row r="863" spans="2:81" ht="15.75" customHeight="1">
      <c r="B863" s="36"/>
      <c r="D863" s="36"/>
      <c r="F863" s="43"/>
      <c r="L863" s="43"/>
      <c r="Q863" s="43"/>
      <c r="V863" s="43"/>
      <c r="AD863" s="43"/>
      <c r="AG863" s="43"/>
      <c r="AL863" s="43"/>
      <c r="AQ863" s="43"/>
      <c r="AV863" s="43"/>
      <c r="BA863" s="43"/>
      <c r="BF863" s="43"/>
      <c r="BK863" s="43"/>
      <c r="BQ863" s="43"/>
      <c r="BV863" s="43"/>
      <c r="CC863" s="43"/>
    </row>
    <row r="864" spans="2:81" ht="15.75" customHeight="1">
      <c r="B864" s="36"/>
      <c r="D864" s="36"/>
      <c r="F864" s="43"/>
      <c r="L864" s="43"/>
      <c r="Q864" s="43"/>
      <c r="V864" s="43"/>
      <c r="AD864" s="43"/>
      <c r="AG864" s="43"/>
      <c r="AL864" s="43"/>
      <c r="AQ864" s="43"/>
      <c r="AV864" s="43"/>
      <c r="BA864" s="43"/>
      <c r="BF864" s="43"/>
      <c r="BK864" s="43"/>
      <c r="BQ864" s="43"/>
      <c r="BV864" s="43"/>
      <c r="CC864" s="43"/>
    </row>
    <row r="865" spans="2:81" ht="15.75" customHeight="1">
      <c r="B865" s="36"/>
      <c r="D865" s="36"/>
      <c r="F865" s="43"/>
      <c r="L865" s="43"/>
      <c r="Q865" s="43"/>
      <c r="V865" s="43"/>
      <c r="AD865" s="43"/>
      <c r="AG865" s="43"/>
      <c r="AL865" s="43"/>
      <c r="AQ865" s="43"/>
      <c r="AV865" s="43"/>
      <c r="BA865" s="43"/>
      <c r="BF865" s="43"/>
      <c r="BK865" s="43"/>
      <c r="BQ865" s="43"/>
      <c r="BV865" s="43"/>
      <c r="CC865" s="43"/>
    </row>
    <row r="866" spans="2:81" ht="15.75" customHeight="1">
      <c r="B866" s="36"/>
      <c r="D866" s="36"/>
      <c r="F866" s="43"/>
      <c r="L866" s="43"/>
      <c r="Q866" s="43"/>
      <c r="V866" s="43"/>
      <c r="AD866" s="43"/>
      <c r="AG866" s="43"/>
      <c r="AL866" s="43"/>
      <c r="AQ866" s="43"/>
      <c r="AV866" s="43"/>
      <c r="BA866" s="43"/>
      <c r="BF866" s="43"/>
      <c r="BK866" s="43"/>
      <c r="BQ866" s="43"/>
      <c r="BV866" s="43"/>
      <c r="CC866" s="43"/>
    </row>
    <row r="867" spans="2:81" ht="15.75" customHeight="1">
      <c r="B867" s="36"/>
      <c r="D867" s="36"/>
      <c r="F867" s="43"/>
      <c r="L867" s="43"/>
      <c r="Q867" s="43"/>
      <c r="V867" s="43"/>
      <c r="AD867" s="43"/>
      <c r="AG867" s="43"/>
      <c r="AL867" s="43"/>
      <c r="AQ867" s="43"/>
      <c r="AV867" s="43"/>
      <c r="BA867" s="43"/>
      <c r="BF867" s="43"/>
      <c r="BK867" s="43"/>
      <c r="BQ867" s="43"/>
      <c r="BV867" s="43"/>
      <c r="CC867" s="43"/>
    </row>
    <row r="868" spans="2:81" ht="15.75" customHeight="1">
      <c r="B868" s="36"/>
      <c r="D868" s="36"/>
      <c r="F868" s="43"/>
      <c r="L868" s="43"/>
      <c r="Q868" s="43"/>
      <c r="V868" s="43"/>
      <c r="AD868" s="43"/>
      <c r="AG868" s="43"/>
      <c r="AL868" s="43"/>
      <c r="AQ868" s="43"/>
      <c r="AV868" s="43"/>
      <c r="BA868" s="43"/>
      <c r="BF868" s="43"/>
      <c r="BK868" s="43"/>
      <c r="BQ868" s="43"/>
      <c r="BV868" s="43"/>
      <c r="CC868" s="43"/>
    </row>
    <row r="869" spans="2:81" ht="15.75" customHeight="1">
      <c r="B869" s="36"/>
      <c r="D869" s="36"/>
      <c r="F869" s="43"/>
      <c r="L869" s="43"/>
      <c r="Q869" s="43"/>
      <c r="V869" s="43"/>
      <c r="AD869" s="43"/>
      <c r="AG869" s="43"/>
      <c r="AL869" s="43"/>
      <c r="AQ869" s="43"/>
      <c r="AV869" s="43"/>
      <c r="BA869" s="43"/>
      <c r="BF869" s="43"/>
      <c r="BK869" s="43"/>
      <c r="BQ869" s="43"/>
      <c r="BV869" s="43"/>
      <c r="CC869" s="43"/>
    </row>
    <row r="870" spans="2:81" ht="15.75" customHeight="1">
      <c r="B870" s="36"/>
      <c r="D870" s="36"/>
      <c r="F870" s="43"/>
      <c r="L870" s="43"/>
      <c r="Q870" s="43"/>
      <c r="V870" s="43"/>
      <c r="AD870" s="43"/>
      <c r="AG870" s="43"/>
      <c r="AL870" s="43"/>
      <c r="AQ870" s="43"/>
      <c r="AV870" s="43"/>
      <c r="BA870" s="43"/>
      <c r="BF870" s="43"/>
      <c r="BK870" s="43"/>
      <c r="BQ870" s="43"/>
      <c r="BV870" s="43"/>
      <c r="CC870" s="43"/>
    </row>
    <row r="871" spans="2:81" ht="15.75" customHeight="1">
      <c r="B871" s="36"/>
      <c r="D871" s="36"/>
      <c r="F871" s="43"/>
      <c r="L871" s="43"/>
      <c r="Q871" s="43"/>
      <c r="V871" s="43"/>
      <c r="AD871" s="43"/>
      <c r="AG871" s="43"/>
      <c r="AL871" s="43"/>
      <c r="AQ871" s="43"/>
      <c r="AV871" s="43"/>
      <c r="BA871" s="43"/>
      <c r="BF871" s="43"/>
      <c r="BK871" s="43"/>
      <c r="BQ871" s="43"/>
      <c r="BV871" s="43"/>
      <c r="CC871" s="43"/>
    </row>
    <row r="872" spans="2:81" ht="15.75" customHeight="1">
      <c r="B872" s="36"/>
      <c r="D872" s="36"/>
      <c r="F872" s="43"/>
      <c r="L872" s="43"/>
      <c r="Q872" s="43"/>
      <c r="V872" s="43"/>
      <c r="AD872" s="43"/>
      <c r="AG872" s="43"/>
      <c r="AL872" s="43"/>
      <c r="AQ872" s="43"/>
      <c r="AV872" s="43"/>
      <c r="BA872" s="43"/>
      <c r="BF872" s="43"/>
      <c r="BK872" s="43"/>
      <c r="BQ872" s="43"/>
      <c r="BV872" s="43"/>
      <c r="CC872" s="43"/>
    </row>
    <row r="873" spans="2:81" ht="15.75" customHeight="1">
      <c r="B873" s="36"/>
      <c r="D873" s="36"/>
      <c r="F873" s="43"/>
      <c r="L873" s="43"/>
      <c r="Q873" s="43"/>
      <c r="V873" s="43"/>
      <c r="AD873" s="43"/>
      <c r="AG873" s="43"/>
      <c r="AL873" s="43"/>
      <c r="AQ873" s="43"/>
      <c r="AV873" s="43"/>
      <c r="BA873" s="43"/>
      <c r="BF873" s="43"/>
      <c r="BK873" s="43"/>
      <c r="BQ873" s="43"/>
      <c r="BV873" s="43"/>
      <c r="CC873" s="43"/>
    </row>
    <row r="874" spans="2:81" ht="15.75" customHeight="1">
      <c r="B874" s="36"/>
      <c r="D874" s="36"/>
      <c r="F874" s="43"/>
      <c r="L874" s="43"/>
      <c r="Q874" s="43"/>
      <c r="V874" s="43"/>
      <c r="AD874" s="43"/>
      <c r="AG874" s="43"/>
      <c r="AL874" s="43"/>
      <c r="AQ874" s="43"/>
      <c r="AV874" s="43"/>
      <c r="BA874" s="43"/>
      <c r="BF874" s="43"/>
      <c r="BK874" s="43"/>
      <c r="BQ874" s="43"/>
      <c r="BV874" s="43"/>
      <c r="CC874" s="43"/>
    </row>
    <row r="875" spans="2:81" ht="15.75" customHeight="1">
      <c r="B875" s="36"/>
      <c r="D875" s="36"/>
      <c r="F875" s="43"/>
      <c r="L875" s="43"/>
      <c r="Q875" s="43"/>
      <c r="V875" s="43"/>
      <c r="AD875" s="43"/>
      <c r="AG875" s="43"/>
      <c r="AL875" s="43"/>
      <c r="AQ875" s="43"/>
      <c r="AV875" s="43"/>
      <c r="BA875" s="43"/>
      <c r="BF875" s="43"/>
      <c r="BK875" s="43"/>
      <c r="BQ875" s="43"/>
      <c r="BV875" s="43"/>
      <c r="CC875" s="43"/>
    </row>
    <row r="876" spans="2:81" ht="15.75" customHeight="1">
      <c r="B876" s="36"/>
      <c r="D876" s="36"/>
      <c r="F876" s="43"/>
      <c r="L876" s="43"/>
      <c r="Q876" s="43"/>
      <c r="V876" s="43"/>
      <c r="AD876" s="43"/>
      <c r="AG876" s="43"/>
      <c r="AL876" s="43"/>
      <c r="AQ876" s="43"/>
      <c r="AV876" s="43"/>
      <c r="BA876" s="43"/>
      <c r="BF876" s="43"/>
      <c r="BK876" s="43"/>
      <c r="BQ876" s="43"/>
      <c r="BV876" s="43"/>
      <c r="CC876" s="43"/>
    </row>
    <row r="877" spans="2:81" ht="15.75" customHeight="1">
      <c r="B877" s="36"/>
      <c r="D877" s="36"/>
      <c r="F877" s="43"/>
      <c r="L877" s="43"/>
      <c r="Q877" s="43"/>
      <c r="V877" s="43"/>
      <c r="AD877" s="43"/>
      <c r="AG877" s="43"/>
      <c r="AL877" s="43"/>
      <c r="AQ877" s="43"/>
      <c r="AV877" s="43"/>
      <c r="BA877" s="43"/>
      <c r="BF877" s="43"/>
      <c r="BK877" s="43"/>
      <c r="BQ877" s="43"/>
      <c r="BV877" s="43"/>
      <c r="CC877" s="43"/>
    </row>
    <row r="878" spans="2:81" ht="15.75" customHeight="1">
      <c r="B878" s="36"/>
      <c r="D878" s="36"/>
      <c r="F878" s="43"/>
      <c r="L878" s="43"/>
      <c r="Q878" s="43"/>
      <c r="V878" s="43"/>
      <c r="AD878" s="43"/>
      <c r="AG878" s="43"/>
      <c r="AL878" s="43"/>
      <c r="AQ878" s="43"/>
      <c r="AV878" s="43"/>
      <c r="BA878" s="43"/>
      <c r="BF878" s="43"/>
      <c r="BK878" s="43"/>
      <c r="BQ878" s="43"/>
      <c r="BV878" s="43"/>
      <c r="CC878" s="43"/>
    </row>
    <row r="879" spans="2:81" ht="15.75" customHeight="1">
      <c r="B879" s="36"/>
      <c r="D879" s="36"/>
      <c r="F879" s="43"/>
      <c r="L879" s="43"/>
      <c r="Q879" s="43"/>
      <c r="V879" s="43"/>
      <c r="AD879" s="43"/>
      <c r="AG879" s="43"/>
      <c r="AL879" s="43"/>
      <c r="AQ879" s="43"/>
      <c r="AV879" s="43"/>
      <c r="BA879" s="43"/>
      <c r="BF879" s="43"/>
      <c r="BK879" s="43"/>
      <c r="BQ879" s="43"/>
      <c r="BV879" s="43"/>
      <c r="CC879" s="43"/>
    </row>
    <row r="880" spans="2:81" ht="15.75" customHeight="1">
      <c r="B880" s="36"/>
      <c r="D880" s="36"/>
      <c r="F880" s="43"/>
      <c r="L880" s="43"/>
      <c r="Q880" s="43"/>
      <c r="V880" s="43"/>
      <c r="AD880" s="43"/>
      <c r="AG880" s="43"/>
      <c r="AL880" s="43"/>
      <c r="AQ880" s="43"/>
      <c r="AV880" s="43"/>
      <c r="BA880" s="43"/>
      <c r="BF880" s="43"/>
      <c r="BK880" s="43"/>
      <c r="BQ880" s="43"/>
      <c r="BV880" s="43"/>
      <c r="CC880" s="43"/>
    </row>
    <row r="881" spans="2:81" ht="15.75" customHeight="1">
      <c r="B881" s="36"/>
      <c r="D881" s="36"/>
      <c r="F881" s="43"/>
      <c r="L881" s="43"/>
      <c r="Q881" s="43"/>
      <c r="V881" s="43"/>
      <c r="AD881" s="43"/>
      <c r="AG881" s="43"/>
      <c r="AL881" s="43"/>
      <c r="AQ881" s="43"/>
      <c r="AV881" s="43"/>
      <c r="BA881" s="43"/>
      <c r="BF881" s="43"/>
      <c r="BK881" s="43"/>
      <c r="BQ881" s="43"/>
      <c r="BV881" s="43"/>
      <c r="CC881" s="43"/>
    </row>
    <row r="882" spans="2:81" ht="15.75" customHeight="1">
      <c r="B882" s="36"/>
      <c r="D882" s="36"/>
      <c r="F882" s="43"/>
      <c r="L882" s="43"/>
      <c r="Q882" s="43"/>
      <c r="V882" s="43"/>
      <c r="AD882" s="43"/>
      <c r="AG882" s="43"/>
      <c r="AL882" s="43"/>
      <c r="AQ882" s="43"/>
      <c r="AV882" s="43"/>
      <c r="BA882" s="43"/>
      <c r="BF882" s="43"/>
      <c r="BK882" s="43"/>
      <c r="BQ882" s="43"/>
      <c r="BV882" s="43"/>
      <c r="CC882" s="43"/>
    </row>
    <row r="883" spans="2:81" ht="15.75" customHeight="1">
      <c r="B883" s="36"/>
      <c r="D883" s="36"/>
      <c r="F883" s="43"/>
      <c r="L883" s="43"/>
      <c r="Q883" s="43"/>
      <c r="V883" s="43"/>
      <c r="AD883" s="43"/>
      <c r="AG883" s="43"/>
      <c r="AL883" s="43"/>
      <c r="AQ883" s="43"/>
      <c r="AV883" s="43"/>
      <c r="BA883" s="43"/>
      <c r="BF883" s="43"/>
      <c r="BK883" s="43"/>
      <c r="BQ883" s="43"/>
      <c r="BV883" s="43"/>
      <c r="CC883" s="43"/>
    </row>
    <row r="884" spans="2:81" ht="15.75" customHeight="1">
      <c r="B884" s="36"/>
      <c r="D884" s="36"/>
      <c r="F884" s="43"/>
      <c r="L884" s="43"/>
      <c r="Q884" s="43"/>
      <c r="V884" s="43"/>
      <c r="AD884" s="43"/>
      <c r="AG884" s="43"/>
      <c r="AL884" s="43"/>
      <c r="AQ884" s="43"/>
      <c r="AV884" s="43"/>
      <c r="BA884" s="43"/>
      <c r="BF884" s="43"/>
      <c r="BK884" s="43"/>
      <c r="BQ884" s="43"/>
      <c r="BV884" s="43"/>
      <c r="CC884" s="43"/>
    </row>
    <row r="885" spans="2:81" ht="15.75" customHeight="1">
      <c r="B885" s="36"/>
      <c r="D885" s="36"/>
      <c r="F885" s="43"/>
      <c r="L885" s="43"/>
      <c r="Q885" s="43"/>
      <c r="V885" s="43"/>
      <c r="AD885" s="43"/>
      <c r="AG885" s="43"/>
      <c r="AL885" s="43"/>
      <c r="AQ885" s="43"/>
      <c r="AV885" s="43"/>
      <c r="BA885" s="43"/>
      <c r="BF885" s="43"/>
      <c r="BK885" s="43"/>
      <c r="BQ885" s="43"/>
      <c r="BV885" s="43"/>
      <c r="CC885" s="43"/>
    </row>
    <row r="886" spans="2:81" ht="15.75" customHeight="1">
      <c r="B886" s="36"/>
      <c r="D886" s="36"/>
      <c r="F886" s="43"/>
      <c r="L886" s="43"/>
      <c r="Q886" s="43"/>
      <c r="V886" s="43"/>
      <c r="AD886" s="43"/>
      <c r="AG886" s="43"/>
      <c r="AL886" s="43"/>
      <c r="AQ886" s="43"/>
      <c r="AV886" s="43"/>
      <c r="BA886" s="43"/>
      <c r="BF886" s="43"/>
      <c r="BK886" s="43"/>
      <c r="BQ886" s="43"/>
      <c r="BV886" s="43"/>
      <c r="CC886" s="43"/>
    </row>
    <row r="887" spans="2:81" ht="15.75" customHeight="1">
      <c r="B887" s="36"/>
      <c r="D887" s="36"/>
      <c r="F887" s="43"/>
      <c r="L887" s="43"/>
      <c r="Q887" s="43"/>
      <c r="V887" s="43"/>
      <c r="AD887" s="43"/>
      <c r="AG887" s="43"/>
      <c r="AL887" s="43"/>
      <c r="AQ887" s="43"/>
      <c r="AV887" s="43"/>
      <c r="BA887" s="43"/>
      <c r="BF887" s="43"/>
      <c r="BK887" s="43"/>
      <c r="BQ887" s="43"/>
      <c r="BV887" s="43"/>
      <c r="CC887" s="43"/>
    </row>
    <row r="888" spans="2:81" ht="15.75" customHeight="1">
      <c r="B888" s="36"/>
      <c r="D888" s="36"/>
      <c r="F888" s="43"/>
      <c r="L888" s="43"/>
      <c r="Q888" s="43"/>
      <c r="V888" s="43"/>
      <c r="AD888" s="43"/>
      <c r="AG888" s="43"/>
      <c r="AL888" s="43"/>
      <c r="AQ888" s="43"/>
      <c r="AV888" s="43"/>
      <c r="BA888" s="43"/>
      <c r="BF888" s="43"/>
      <c r="BK888" s="43"/>
      <c r="BQ888" s="43"/>
      <c r="BV888" s="43"/>
      <c r="CC888" s="43"/>
    </row>
    <row r="889" spans="2:81" ht="15.75" customHeight="1">
      <c r="B889" s="36"/>
      <c r="D889" s="36"/>
      <c r="F889" s="43"/>
      <c r="L889" s="43"/>
      <c r="Q889" s="43"/>
      <c r="V889" s="43"/>
      <c r="AD889" s="43"/>
      <c r="AG889" s="43"/>
      <c r="AL889" s="43"/>
      <c r="AQ889" s="43"/>
      <c r="AV889" s="43"/>
      <c r="BA889" s="43"/>
      <c r="BF889" s="43"/>
      <c r="BK889" s="43"/>
      <c r="BQ889" s="43"/>
      <c r="BV889" s="43"/>
      <c r="CC889" s="43"/>
    </row>
    <row r="890" spans="2:81" ht="15.75" customHeight="1">
      <c r="B890" s="36"/>
      <c r="D890" s="36"/>
      <c r="F890" s="43"/>
      <c r="L890" s="43"/>
      <c r="Q890" s="43"/>
      <c r="V890" s="43"/>
      <c r="AD890" s="43"/>
      <c r="AG890" s="43"/>
      <c r="AL890" s="43"/>
      <c r="AQ890" s="43"/>
      <c r="AV890" s="43"/>
      <c r="BA890" s="43"/>
      <c r="BF890" s="43"/>
      <c r="BK890" s="43"/>
      <c r="BQ890" s="43"/>
      <c r="BV890" s="43"/>
      <c r="CC890" s="43"/>
    </row>
    <row r="891" spans="2:81" ht="15.75" customHeight="1">
      <c r="B891" s="36"/>
      <c r="D891" s="36"/>
      <c r="F891" s="43"/>
      <c r="L891" s="43"/>
      <c r="Q891" s="43"/>
      <c r="V891" s="43"/>
      <c r="AD891" s="43"/>
      <c r="AG891" s="43"/>
      <c r="AL891" s="43"/>
      <c r="AQ891" s="43"/>
      <c r="AV891" s="43"/>
      <c r="BA891" s="43"/>
      <c r="BF891" s="43"/>
      <c r="BK891" s="43"/>
      <c r="BQ891" s="43"/>
      <c r="BV891" s="43"/>
      <c r="CC891" s="43"/>
    </row>
    <row r="892" spans="2:81" ht="15.75" customHeight="1">
      <c r="B892" s="36"/>
      <c r="D892" s="36"/>
      <c r="F892" s="43"/>
      <c r="L892" s="43"/>
      <c r="Q892" s="43"/>
      <c r="V892" s="43"/>
      <c r="AD892" s="43"/>
      <c r="AG892" s="43"/>
      <c r="AL892" s="43"/>
      <c r="AQ892" s="43"/>
      <c r="AV892" s="43"/>
      <c r="BA892" s="43"/>
      <c r="BF892" s="43"/>
      <c r="BK892" s="43"/>
      <c r="BQ892" s="43"/>
      <c r="BV892" s="43"/>
      <c r="CC892" s="43"/>
    </row>
    <row r="893" spans="2:81" ht="15.75" customHeight="1">
      <c r="B893" s="36"/>
      <c r="D893" s="36"/>
      <c r="F893" s="43"/>
      <c r="L893" s="43"/>
      <c r="Q893" s="43"/>
      <c r="V893" s="43"/>
      <c r="AD893" s="43"/>
      <c r="AG893" s="43"/>
      <c r="AL893" s="43"/>
      <c r="AQ893" s="43"/>
      <c r="AV893" s="43"/>
      <c r="BA893" s="43"/>
      <c r="BF893" s="43"/>
      <c r="BK893" s="43"/>
      <c r="BQ893" s="43"/>
      <c r="BV893" s="43"/>
      <c r="CC893" s="43"/>
    </row>
    <row r="894" spans="2:81" ht="15.75" customHeight="1">
      <c r="B894" s="36"/>
      <c r="D894" s="36"/>
      <c r="F894" s="43"/>
      <c r="L894" s="43"/>
      <c r="Q894" s="43"/>
      <c r="V894" s="43"/>
      <c r="AD894" s="43"/>
      <c r="AG894" s="43"/>
      <c r="AL894" s="43"/>
      <c r="AQ894" s="43"/>
      <c r="AV894" s="43"/>
      <c r="BA894" s="43"/>
      <c r="BF894" s="43"/>
      <c r="BK894" s="43"/>
      <c r="BQ894" s="43"/>
      <c r="BV894" s="43"/>
      <c r="CC894" s="43"/>
    </row>
    <row r="895" spans="2:81" ht="15.75" customHeight="1">
      <c r="B895" s="36"/>
      <c r="D895" s="36"/>
      <c r="F895" s="43"/>
      <c r="L895" s="43"/>
      <c r="Q895" s="43"/>
      <c r="V895" s="43"/>
      <c r="AD895" s="43"/>
      <c r="AG895" s="43"/>
      <c r="AL895" s="43"/>
      <c r="AQ895" s="43"/>
      <c r="AV895" s="43"/>
      <c r="BA895" s="43"/>
      <c r="BF895" s="43"/>
      <c r="BK895" s="43"/>
      <c r="BQ895" s="43"/>
      <c r="BV895" s="43"/>
      <c r="CC895" s="43"/>
    </row>
    <row r="896" spans="2:81" ht="15.75" customHeight="1">
      <c r="B896" s="36"/>
      <c r="D896" s="36"/>
      <c r="F896" s="43"/>
      <c r="L896" s="43"/>
      <c r="Q896" s="43"/>
      <c r="V896" s="43"/>
      <c r="AD896" s="43"/>
      <c r="AG896" s="43"/>
      <c r="AL896" s="43"/>
      <c r="AQ896" s="43"/>
      <c r="AV896" s="43"/>
      <c r="BA896" s="43"/>
      <c r="BF896" s="43"/>
      <c r="BK896" s="43"/>
      <c r="BQ896" s="43"/>
      <c r="BV896" s="43"/>
      <c r="CC896" s="43"/>
    </row>
    <row r="897" spans="2:81" ht="15.75" customHeight="1">
      <c r="B897" s="36"/>
      <c r="D897" s="36"/>
      <c r="F897" s="43"/>
      <c r="L897" s="43"/>
      <c r="Q897" s="43"/>
      <c r="V897" s="43"/>
      <c r="AD897" s="43"/>
      <c r="AG897" s="43"/>
      <c r="AL897" s="43"/>
      <c r="AQ897" s="43"/>
      <c r="AV897" s="43"/>
      <c r="BA897" s="43"/>
      <c r="BF897" s="43"/>
      <c r="BK897" s="43"/>
      <c r="BQ897" s="43"/>
      <c r="BV897" s="43"/>
      <c r="CC897" s="43"/>
    </row>
    <row r="898" spans="2:81" ht="15.75" customHeight="1">
      <c r="B898" s="36"/>
      <c r="D898" s="36"/>
      <c r="F898" s="43"/>
      <c r="L898" s="43"/>
      <c r="Q898" s="43"/>
      <c r="V898" s="43"/>
      <c r="AD898" s="43"/>
      <c r="AG898" s="43"/>
      <c r="AL898" s="43"/>
      <c r="AQ898" s="43"/>
      <c r="AV898" s="43"/>
      <c r="BA898" s="43"/>
      <c r="BF898" s="43"/>
      <c r="BK898" s="43"/>
      <c r="BQ898" s="43"/>
      <c r="BV898" s="43"/>
      <c r="CC898" s="43"/>
    </row>
    <row r="899" spans="2:81" ht="15.75" customHeight="1">
      <c r="B899" s="36"/>
      <c r="D899" s="36"/>
      <c r="F899" s="43"/>
      <c r="L899" s="43"/>
      <c r="Q899" s="43"/>
      <c r="V899" s="43"/>
      <c r="AD899" s="43"/>
      <c r="AG899" s="43"/>
      <c r="AL899" s="43"/>
      <c r="AQ899" s="43"/>
      <c r="AV899" s="43"/>
      <c r="BA899" s="43"/>
      <c r="BF899" s="43"/>
      <c r="BK899" s="43"/>
      <c r="BQ899" s="43"/>
      <c r="BV899" s="43"/>
      <c r="CC899" s="43"/>
    </row>
    <row r="900" spans="2:81" ht="15.75" customHeight="1">
      <c r="B900" s="36"/>
      <c r="D900" s="36"/>
      <c r="F900" s="43"/>
      <c r="L900" s="43"/>
      <c r="Q900" s="43"/>
      <c r="V900" s="43"/>
      <c r="AD900" s="43"/>
      <c r="AG900" s="43"/>
      <c r="AL900" s="43"/>
      <c r="AQ900" s="43"/>
      <c r="AV900" s="43"/>
      <c r="BA900" s="43"/>
      <c r="BF900" s="43"/>
      <c r="BK900" s="43"/>
      <c r="BQ900" s="43"/>
      <c r="BV900" s="43"/>
      <c r="CC900" s="43"/>
    </row>
    <row r="901" spans="2:81" ht="15.75" customHeight="1">
      <c r="B901" s="36"/>
      <c r="D901" s="36"/>
      <c r="F901" s="43"/>
      <c r="L901" s="43"/>
      <c r="Q901" s="43"/>
      <c r="V901" s="43"/>
      <c r="AD901" s="43"/>
      <c r="AG901" s="43"/>
      <c r="AL901" s="43"/>
      <c r="AQ901" s="43"/>
      <c r="AV901" s="43"/>
      <c r="BA901" s="43"/>
      <c r="BF901" s="43"/>
      <c r="BK901" s="43"/>
      <c r="BQ901" s="43"/>
      <c r="BV901" s="43"/>
      <c r="CC901" s="43"/>
    </row>
    <row r="902" spans="2:81" ht="15.75" customHeight="1">
      <c r="B902" s="36"/>
      <c r="D902" s="36"/>
      <c r="F902" s="43"/>
      <c r="L902" s="43"/>
      <c r="Q902" s="43"/>
      <c r="V902" s="43"/>
      <c r="AD902" s="43"/>
      <c r="AG902" s="43"/>
      <c r="AL902" s="43"/>
      <c r="AQ902" s="43"/>
      <c r="AV902" s="43"/>
      <c r="BA902" s="43"/>
      <c r="BF902" s="43"/>
      <c r="BK902" s="43"/>
      <c r="BQ902" s="43"/>
      <c r="BV902" s="43"/>
      <c r="CC902" s="43"/>
    </row>
    <row r="903" spans="2:81" ht="15.75" customHeight="1">
      <c r="B903" s="36"/>
      <c r="D903" s="36"/>
      <c r="F903" s="43"/>
      <c r="L903" s="43"/>
      <c r="Q903" s="43"/>
      <c r="V903" s="43"/>
      <c r="AD903" s="43"/>
      <c r="AG903" s="43"/>
      <c r="AL903" s="43"/>
      <c r="AQ903" s="43"/>
      <c r="AV903" s="43"/>
      <c r="BA903" s="43"/>
      <c r="BF903" s="43"/>
      <c r="BK903" s="43"/>
      <c r="BQ903" s="43"/>
      <c r="BV903" s="43"/>
      <c r="CC903" s="43"/>
    </row>
    <row r="904" spans="2:81" ht="15.75" customHeight="1">
      <c r="B904" s="36"/>
      <c r="D904" s="36"/>
      <c r="F904" s="43"/>
      <c r="L904" s="43"/>
      <c r="Q904" s="43"/>
      <c r="V904" s="43"/>
      <c r="AD904" s="43"/>
      <c r="AG904" s="43"/>
      <c r="AL904" s="43"/>
      <c r="AQ904" s="43"/>
      <c r="AV904" s="43"/>
      <c r="BA904" s="43"/>
      <c r="BF904" s="43"/>
      <c r="BK904" s="43"/>
      <c r="BQ904" s="43"/>
      <c r="BV904" s="43"/>
      <c r="CC904" s="43"/>
    </row>
    <row r="905" spans="2:81" ht="15.75" customHeight="1">
      <c r="B905" s="36"/>
      <c r="D905" s="36"/>
      <c r="F905" s="43"/>
      <c r="L905" s="43"/>
      <c r="Q905" s="43"/>
      <c r="V905" s="43"/>
      <c r="AD905" s="43"/>
      <c r="AG905" s="43"/>
      <c r="AL905" s="43"/>
      <c r="AQ905" s="43"/>
      <c r="AV905" s="43"/>
      <c r="BA905" s="43"/>
      <c r="BF905" s="43"/>
      <c r="BK905" s="43"/>
      <c r="BQ905" s="43"/>
      <c r="BV905" s="43"/>
      <c r="CC905" s="43"/>
    </row>
    <row r="906" spans="2:81" ht="15.75" customHeight="1">
      <c r="B906" s="36"/>
      <c r="D906" s="36"/>
      <c r="F906" s="43"/>
      <c r="L906" s="43"/>
      <c r="Q906" s="43"/>
      <c r="V906" s="43"/>
      <c r="AD906" s="43"/>
      <c r="AG906" s="43"/>
      <c r="AL906" s="43"/>
      <c r="AQ906" s="43"/>
      <c r="AV906" s="43"/>
      <c r="BA906" s="43"/>
      <c r="BF906" s="43"/>
      <c r="BK906" s="43"/>
      <c r="BQ906" s="43"/>
      <c r="BV906" s="43"/>
      <c r="CC906" s="43"/>
    </row>
    <row r="907" spans="2:81" ht="15.75" customHeight="1">
      <c r="B907" s="36"/>
      <c r="D907" s="36"/>
      <c r="F907" s="43"/>
      <c r="L907" s="43"/>
      <c r="Q907" s="43"/>
      <c r="V907" s="43"/>
      <c r="AD907" s="43"/>
      <c r="AG907" s="43"/>
      <c r="AL907" s="43"/>
      <c r="AQ907" s="43"/>
      <c r="AV907" s="43"/>
      <c r="BA907" s="43"/>
      <c r="BF907" s="43"/>
      <c r="BK907" s="43"/>
      <c r="BQ907" s="43"/>
      <c r="BV907" s="43"/>
      <c r="CC907" s="43"/>
    </row>
    <row r="908" spans="2:81" ht="15.75" customHeight="1">
      <c r="B908" s="36"/>
      <c r="D908" s="36"/>
      <c r="F908" s="43"/>
      <c r="L908" s="43"/>
      <c r="Q908" s="43"/>
      <c r="V908" s="43"/>
      <c r="AD908" s="43"/>
      <c r="AG908" s="43"/>
      <c r="AL908" s="43"/>
      <c r="AQ908" s="43"/>
      <c r="AV908" s="43"/>
      <c r="BA908" s="43"/>
      <c r="BF908" s="43"/>
      <c r="BK908" s="43"/>
      <c r="BQ908" s="43"/>
      <c r="BV908" s="43"/>
      <c r="CC908" s="43"/>
    </row>
    <row r="909" spans="2:81" ht="15.75" customHeight="1">
      <c r="B909" s="36"/>
      <c r="D909" s="36"/>
      <c r="F909" s="43"/>
      <c r="L909" s="43"/>
      <c r="Q909" s="43"/>
      <c r="V909" s="43"/>
      <c r="AD909" s="43"/>
      <c r="AG909" s="43"/>
      <c r="AL909" s="43"/>
      <c r="AQ909" s="43"/>
      <c r="AV909" s="43"/>
      <c r="BA909" s="43"/>
      <c r="BF909" s="43"/>
      <c r="BK909" s="43"/>
      <c r="BQ909" s="43"/>
      <c r="BV909" s="43"/>
      <c r="CC909" s="43"/>
    </row>
    <row r="910" spans="2:81" ht="15.75" customHeight="1">
      <c r="B910" s="36"/>
      <c r="D910" s="36"/>
      <c r="F910" s="43"/>
      <c r="L910" s="43"/>
      <c r="Q910" s="43"/>
      <c r="V910" s="43"/>
      <c r="AD910" s="43"/>
      <c r="AG910" s="43"/>
      <c r="AL910" s="43"/>
      <c r="AQ910" s="43"/>
      <c r="AV910" s="43"/>
      <c r="BA910" s="43"/>
      <c r="BF910" s="43"/>
      <c r="BK910" s="43"/>
      <c r="BQ910" s="43"/>
      <c r="BV910" s="43"/>
      <c r="CC910" s="43"/>
    </row>
    <row r="911" spans="2:81" ht="15.75" customHeight="1">
      <c r="B911" s="36"/>
      <c r="D911" s="36"/>
      <c r="F911" s="43"/>
      <c r="L911" s="43"/>
      <c r="Q911" s="43"/>
      <c r="V911" s="43"/>
      <c r="AD911" s="43"/>
      <c r="AG911" s="43"/>
      <c r="AL911" s="43"/>
      <c r="AQ911" s="43"/>
      <c r="AV911" s="43"/>
      <c r="BA911" s="43"/>
      <c r="BF911" s="43"/>
      <c r="BK911" s="43"/>
      <c r="BQ911" s="43"/>
      <c r="BV911" s="43"/>
      <c r="CC911" s="43"/>
    </row>
    <row r="912" spans="2:81" ht="15.75" customHeight="1">
      <c r="B912" s="36"/>
      <c r="D912" s="36"/>
      <c r="F912" s="43"/>
      <c r="L912" s="43"/>
      <c r="Q912" s="43"/>
      <c r="V912" s="43"/>
      <c r="AD912" s="43"/>
      <c r="AG912" s="43"/>
      <c r="AL912" s="43"/>
      <c r="AQ912" s="43"/>
      <c r="AV912" s="43"/>
      <c r="BA912" s="43"/>
      <c r="BF912" s="43"/>
      <c r="BK912" s="43"/>
      <c r="BQ912" s="43"/>
      <c r="BV912" s="43"/>
      <c r="CC912" s="43"/>
    </row>
    <row r="913" spans="2:81" ht="15.75" customHeight="1">
      <c r="B913" s="36"/>
      <c r="D913" s="36"/>
      <c r="F913" s="43"/>
      <c r="L913" s="43"/>
      <c r="Q913" s="43"/>
      <c r="V913" s="43"/>
      <c r="AD913" s="43"/>
      <c r="AG913" s="43"/>
      <c r="AL913" s="43"/>
      <c r="AQ913" s="43"/>
      <c r="AV913" s="43"/>
      <c r="BA913" s="43"/>
      <c r="BF913" s="43"/>
      <c r="BK913" s="43"/>
      <c r="BQ913" s="43"/>
      <c r="BV913" s="43"/>
      <c r="CC913" s="43"/>
    </row>
    <row r="914" spans="2:81" ht="15.75" customHeight="1">
      <c r="B914" s="36"/>
      <c r="D914" s="36"/>
      <c r="F914" s="43"/>
      <c r="L914" s="43"/>
      <c r="Q914" s="43"/>
      <c r="V914" s="43"/>
      <c r="AD914" s="43"/>
      <c r="AG914" s="43"/>
      <c r="AL914" s="43"/>
      <c r="AQ914" s="43"/>
      <c r="AV914" s="43"/>
      <c r="BA914" s="43"/>
      <c r="BF914" s="43"/>
      <c r="BK914" s="43"/>
      <c r="BQ914" s="43"/>
      <c r="BV914" s="43"/>
      <c r="CC914" s="43"/>
    </row>
    <row r="915" spans="2:81" ht="15.75" customHeight="1">
      <c r="B915" s="36"/>
      <c r="D915" s="36"/>
      <c r="F915" s="43"/>
      <c r="L915" s="43"/>
      <c r="Q915" s="43"/>
      <c r="V915" s="43"/>
      <c r="AD915" s="43"/>
      <c r="AG915" s="43"/>
      <c r="AL915" s="43"/>
      <c r="AQ915" s="43"/>
      <c r="AV915" s="43"/>
      <c r="BA915" s="43"/>
      <c r="BF915" s="43"/>
      <c r="BK915" s="43"/>
      <c r="BQ915" s="43"/>
      <c r="BV915" s="43"/>
      <c r="CC915" s="43"/>
    </row>
    <row r="916" spans="2:81" ht="15.75" customHeight="1">
      <c r="B916" s="36"/>
      <c r="D916" s="36"/>
      <c r="F916" s="43"/>
      <c r="L916" s="43"/>
      <c r="Q916" s="43"/>
      <c r="V916" s="43"/>
      <c r="AD916" s="43"/>
      <c r="AG916" s="43"/>
      <c r="AL916" s="43"/>
      <c r="AQ916" s="43"/>
      <c r="AV916" s="43"/>
      <c r="BA916" s="43"/>
      <c r="BF916" s="43"/>
      <c r="BK916" s="43"/>
      <c r="BQ916" s="43"/>
      <c r="BV916" s="43"/>
      <c r="CC916" s="43"/>
    </row>
    <row r="917" spans="2:81" ht="15.75" customHeight="1">
      <c r="B917" s="36"/>
      <c r="D917" s="36"/>
      <c r="F917" s="43"/>
      <c r="L917" s="43"/>
      <c r="Q917" s="43"/>
      <c r="V917" s="43"/>
      <c r="AD917" s="43"/>
      <c r="AG917" s="43"/>
      <c r="AL917" s="43"/>
      <c r="AQ917" s="43"/>
      <c r="AV917" s="43"/>
      <c r="BA917" s="43"/>
      <c r="BF917" s="43"/>
      <c r="BK917" s="43"/>
      <c r="BQ917" s="43"/>
      <c r="BV917" s="43"/>
      <c r="CC917" s="43"/>
    </row>
    <row r="918" spans="2:81" ht="15.75" customHeight="1">
      <c r="B918" s="36"/>
      <c r="D918" s="36"/>
      <c r="F918" s="43"/>
      <c r="L918" s="43"/>
      <c r="Q918" s="43"/>
      <c r="V918" s="43"/>
      <c r="AD918" s="43"/>
      <c r="AG918" s="43"/>
      <c r="AL918" s="43"/>
      <c r="AQ918" s="43"/>
      <c r="AV918" s="43"/>
      <c r="BA918" s="43"/>
      <c r="BF918" s="43"/>
      <c r="BK918" s="43"/>
      <c r="BQ918" s="43"/>
      <c r="BV918" s="43"/>
      <c r="CC918" s="43"/>
    </row>
    <row r="919" spans="2:81" ht="15.75" customHeight="1">
      <c r="B919" s="36"/>
      <c r="D919" s="36"/>
      <c r="F919" s="43"/>
      <c r="L919" s="43"/>
      <c r="Q919" s="43"/>
      <c r="V919" s="43"/>
      <c r="AD919" s="43"/>
      <c r="AG919" s="43"/>
      <c r="AL919" s="43"/>
      <c r="AQ919" s="43"/>
      <c r="AV919" s="43"/>
      <c r="BA919" s="43"/>
      <c r="BF919" s="43"/>
      <c r="BK919" s="43"/>
      <c r="BQ919" s="43"/>
      <c r="BV919" s="43"/>
      <c r="CC919" s="43"/>
    </row>
    <row r="920" spans="2:81" ht="15.75" customHeight="1">
      <c r="B920" s="36"/>
      <c r="D920" s="36"/>
      <c r="F920" s="43"/>
      <c r="L920" s="43"/>
      <c r="Q920" s="43"/>
      <c r="V920" s="43"/>
      <c r="AD920" s="43"/>
      <c r="AG920" s="43"/>
      <c r="AL920" s="43"/>
      <c r="AQ920" s="43"/>
      <c r="AV920" s="43"/>
      <c r="BA920" s="43"/>
      <c r="BF920" s="43"/>
      <c r="BK920" s="43"/>
      <c r="BQ920" s="43"/>
      <c r="BV920" s="43"/>
      <c r="CC920" s="43"/>
    </row>
    <row r="921" spans="2:81" ht="15.75" customHeight="1">
      <c r="B921" s="36"/>
      <c r="D921" s="36"/>
      <c r="F921" s="43"/>
      <c r="L921" s="43"/>
      <c r="Q921" s="43"/>
      <c r="V921" s="43"/>
      <c r="AD921" s="43"/>
      <c r="AG921" s="43"/>
      <c r="AL921" s="43"/>
      <c r="AQ921" s="43"/>
      <c r="AV921" s="43"/>
      <c r="BA921" s="43"/>
      <c r="BF921" s="43"/>
      <c r="BK921" s="43"/>
      <c r="BQ921" s="43"/>
      <c r="BV921" s="43"/>
      <c r="CC921" s="43"/>
    </row>
    <row r="922" spans="2:81" ht="15.75" customHeight="1">
      <c r="B922" s="36"/>
      <c r="D922" s="36"/>
      <c r="F922" s="43"/>
      <c r="L922" s="43"/>
      <c r="Q922" s="43"/>
      <c r="V922" s="43"/>
      <c r="AD922" s="43"/>
      <c r="AG922" s="43"/>
      <c r="AL922" s="43"/>
      <c r="AQ922" s="43"/>
      <c r="AV922" s="43"/>
      <c r="BA922" s="43"/>
      <c r="BF922" s="43"/>
      <c r="BK922" s="43"/>
      <c r="BQ922" s="43"/>
      <c r="BV922" s="43"/>
      <c r="CC922" s="43"/>
    </row>
    <row r="923" spans="2:81" ht="15.75" customHeight="1">
      <c r="B923" s="36"/>
      <c r="D923" s="36"/>
      <c r="F923" s="43"/>
      <c r="L923" s="43"/>
      <c r="Q923" s="43"/>
      <c r="V923" s="43"/>
      <c r="AD923" s="43"/>
      <c r="AG923" s="43"/>
      <c r="AL923" s="43"/>
      <c r="AQ923" s="43"/>
      <c r="AV923" s="43"/>
      <c r="BA923" s="43"/>
      <c r="BF923" s="43"/>
      <c r="BK923" s="43"/>
      <c r="BQ923" s="43"/>
      <c r="BV923" s="43"/>
      <c r="CC923" s="43"/>
    </row>
    <row r="924" spans="2:81" ht="15.75" customHeight="1">
      <c r="B924" s="36"/>
      <c r="D924" s="36"/>
      <c r="F924" s="43"/>
      <c r="L924" s="43"/>
      <c r="Q924" s="43"/>
      <c r="V924" s="43"/>
      <c r="AD924" s="43"/>
      <c r="AG924" s="43"/>
      <c r="AL924" s="43"/>
      <c r="AQ924" s="43"/>
      <c r="AV924" s="43"/>
      <c r="BA924" s="43"/>
      <c r="BF924" s="43"/>
      <c r="BK924" s="43"/>
      <c r="BQ924" s="43"/>
      <c r="BV924" s="43"/>
      <c r="CC924" s="43"/>
    </row>
    <row r="925" spans="2:81" ht="15.75" customHeight="1">
      <c r="B925" s="36"/>
      <c r="D925" s="36"/>
      <c r="F925" s="43"/>
      <c r="L925" s="43"/>
      <c r="Q925" s="43"/>
      <c r="V925" s="43"/>
      <c r="AD925" s="43"/>
      <c r="AG925" s="43"/>
      <c r="AL925" s="43"/>
      <c r="AQ925" s="43"/>
      <c r="AV925" s="43"/>
      <c r="BA925" s="43"/>
      <c r="BF925" s="43"/>
      <c r="BK925" s="43"/>
      <c r="BQ925" s="43"/>
      <c r="BV925" s="43"/>
      <c r="CC925" s="43"/>
    </row>
    <row r="926" spans="2:81" ht="15.75" customHeight="1">
      <c r="B926" s="36"/>
      <c r="D926" s="36"/>
      <c r="F926" s="43"/>
      <c r="L926" s="43"/>
      <c r="Q926" s="43"/>
      <c r="V926" s="43"/>
      <c r="AD926" s="43"/>
      <c r="AG926" s="43"/>
      <c r="AL926" s="43"/>
      <c r="AQ926" s="43"/>
      <c r="AV926" s="43"/>
      <c r="BA926" s="43"/>
      <c r="BF926" s="43"/>
      <c r="BK926" s="43"/>
      <c r="BQ926" s="43"/>
      <c r="BV926" s="43"/>
      <c r="CC926" s="43"/>
    </row>
    <row r="927" spans="2:81" ht="15.75" customHeight="1">
      <c r="B927" s="36"/>
      <c r="D927" s="36"/>
      <c r="F927" s="43"/>
      <c r="L927" s="43"/>
      <c r="Q927" s="43"/>
      <c r="V927" s="43"/>
      <c r="AD927" s="43"/>
      <c r="AG927" s="43"/>
      <c r="AL927" s="43"/>
      <c r="AQ927" s="43"/>
      <c r="AV927" s="43"/>
      <c r="BA927" s="43"/>
      <c r="BF927" s="43"/>
      <c r="BK927" s="43"/>
      <c r="BQ927" s="43"/>
      <c r="BV927" s="43"/>
      <c r="CC927" s="43"/>
    </row>
    <row r="928" spans="2:81" ht="15.75" customHeight="1">
      <c r="B928" s="36"/>
      <c r="D928" s="36"/>
      <c r="F928" s="43"/>
      <c r="L928" s="43"/>
      <c r="Q928" s="43"/>
      <c r="V928" s="43"/>
      <c r="AD928" s="43"/>
      <c r="AG928" s="43"/>
      <c r="AL928" s="43"/>
      <c r="AQ928" s="43"/>
      <c r="AV928" s="43"/>
      <c r="BA928" s="43"/>
      <c r="BF928" s="43"/>
      <c r="BK928" s="43"/>
      <c r="BQ928" s="43"/>
      <c r="BV928" s="43"/>
      <c r="CC928" s="43"/>
    </row>
    <row r="929" spans="2:81" ht="15.75" customHeight="1">
      <c r="B929" s="36"/>
      <c r="D929" s="36"/>
      <c r="F929" s="43"/>
      <c r="L929" s="43"/>
      <c r="Q929" s="43"/>
      <c r="V929" s="43"/>
      <c r="AD929" s="43"/>
      <c r="AG929" s="43"/>
      <c r="AL929" s="43"/>
      <c r="AQ929" s="43"/>
      <c r="AV929" s="43"/>
      <c r="BA929" s="43"/>
      <c r="BF929" s="43"/>
      <c r="BK929" s="43"/>
      <c r="BQ929" s="43"/>
      <c r="BV929" s="43"/>
      <c r="CC929" s="43"/>
    </row>
    <row r="930" spans="2:81" ht="15.75" customHeight="1">
      <c r="B930" s="36"/>
      <c r="D930" s="36"/>
      <c r="F930" s="43"/>
      <c r="L930" s="43"/>
      <c r="Q930" s="43"/>
      <c r="V930" s="43"/>
      <c r="AD930" s="43"/>
      <c r="AG930" s="43"/>
      <c r="AL930" s="43"/>
      <c r="AQ930" s="43"/>
      <c r="AV930" s="43"/>
      <c r="BA930" s="43"/>
      <c r="BF930" s="43"/>
      <c r="BK930" s="43"/>
      <c r="BQ930" s="43"/>
      <c r="BV930" s="43"/>
      <c r="CC930" s="43"/>
    </row>
    <row r="931" spans="2:81" ht="15.75" customHeight="1">
      <c r="B931" s="36"/>
      <c r="D931" s="36"/>
      <c r="F931" s="43"/>
      <c r="L931" s="43"/>
      <c r="Q931" s="43"/>
      <c r="V931" s="43"/>
      <c r="AD931" s="43"/>
      <c r="AG931" s="43"/>
      <c r="AL931" s="43"/>
      <c r="AQ931" s="43"/>
      <c r="AV931" s="43"/>
      <c r="BA931" s="43"/>
      <c r="BF931" s="43"/>
      <c r="BK931" s="43"/>
      <c r="BQ931" s="43"/>
      <c r="BV931" s="43"/>
      <c r="CC931" s="43"/>
    </row>
    <row r="932" spans="2:81" ht="15.75" customHeight="1">
      <c r="B932" s="36"/>
      <c r="D932" s="36"/>
      <c r="F932" s="43"/>
      <c r="L932" s="43"/>
      <c r="Q932" s="43"/>
      <c r="V932" s="43"/>
      <c r="AD932" s="43"/>
      <c r="AG932" s="43"/>
      <c r="AL932" s="43"/>
      <c r="AQ932" s="43"/>
      <c r="AV932" s="43"/>
      <c r="BA932" s="43"/>
      <c r="BF932" s="43"/>
      <c r="BK932" s="43"/>
      <c r="BQ932" s="43"/>
      <c r="BV932" s="43"/>
      <c r="CC932" s="43"/>
    </row>
    <row r="933" spans="2:81" ht="15.75" customHeight="1">
      <c r="B933" s="36"/>
      <c r="D933" s="36"/>
      <c r="F933" s="43"/>
      <c r="L933" s="43"/>
      <c r="Q933" s="43"/>
      <c r="V933" s="43"/>
      <c r="AD933" s="43"/>
      <c r="AG933" s="43"/>
      <c r="AL933" s="43"/>
      <c r="AQ933" s="43"/>
      <c r="AV933" s="43"/>
      <c r="BA933" s="43"/>
      <c r="BF933" s="43"/>
      <c r="BK933" s="43"/>
      <c r="BQ933" s="43"/>
      <c r="BV933" s="43"/>
      <c r="CC933" s="43"/>
    </row>
    <row r="934" spans="2:81" ht="15.75" customHeight="1">
      <c r="B934" s="36"/>
      <c r="D934" s="36"/>
      <c r="F934" s="43"/>
      <c r="L934" s="43"/>
      <c r="Q934" s="43"/>
      <c r="V934" s="43"/>
      <c r="AD934" s="43"/>
      <c r="AG934" s="43"/>
      <c r="AL934" s="43"/>
      <c r="AQ934" s="43"/>
      <c r="AV934" s="43"/>
      <c r="BA934" s="43"/>
      <c r="BF934" s="43"/>
      <c r="BK934" s="43"/>
      <c r="BQ934" s="43"/>
      <c r="BV934" s="43"/>
      <c r="CC934" s="43"/>
    </row>
    <row r="935" spans="2:81" ht="15.75" customHeight="1">
      <c r="B935" s="36"/>
      <c r="D935" s="36"/>
      <c r="F935" s="43"/>
      <c r="L935" s="43"/>
      <c r="Q935" s="43"/>
      <c r="V935" s="43"/>
      <c r="AD935" s="43"/>
      <c r="AG935" s="43"/>
      <c r="AL935" s="43"/>
      <c r="AQ935" s="43"/>
      <c r="AV935" s="43"/>
      <c r="BA935" s="43"/>
      <c r="BF935" s="43"/>
      <c r="BK935" s="43"/>
      <c r="BQ935" s="43"/>
      <c r="BV935" s="43"/>
      <c r="CC935" s="43"/>
    </row>
    <row r="936" spans="2:81" ht="15.75" customHeight="1">
      <c r="B936" s="36"/>
      <c r="D936" s="36"/>
      <c r="F936" s="43"/>
      <c r="L936" s="43"/>
      <c r="Q936" s="43"/>
      <c r="V936" s="43"/>
      <c r="AD936" s="43"/>
      <c r="AG936" s="43"/>
      <c r="AL936" s="43"/>
      <c r="AQ936" s="43"/>
      <c r="AV936" s="43"/>
      <c r="BA936" s="43"/>
      <c r="BF936" s="43"/>
      <c r="BK936" s="43"/>
      <c r="BQ936" s="43"/>
      <c r="BV936" s="43"/>
      <c r="CC936" s="43"/>
    </row>
    <row r="937" spans="2:81" ht="15.75" customHeight="1">
      <c r="B937" s="36"/>
      <c r="D937" s="36"/>
      <c r="F937" s="43"/>
      <c r="L937" s="43"/>
      <c r="Q937" s="43"/>
      <c r="V937" s="43"/>
      <c r="AD937" s="43"/>
      <c r="AG937" s="43"/>
      <c r="AL937" s="43"/>
      <c r="AQ937" s="43"/>
      <c r="AV937" s="43"/>
      <c r="BA937" s="43"/>
      <c r="BF937" s="43"/>
      <c r="BK937" s="43"/>
      <c r="BQ937" s="43"/>
      <c r="BV937" s="43"/>
      <c r="CC937" s="43"/>
    </row>
    <row r="938" spans="2:81" ht="15.75" customHeight="1">
      <c r="B938" s="36"/>
      <c r="D938" s="36"/>
      <c r="F938" s="43"/>
      <c r="L938" s="43"/>
      <c r="Q938" s="43"/>
      <c r="V938" s="43"/>
      <c r="AD938" s="43"/>
      <c r="AG938" s="43"/>
      <c r="AL938" s="43"/>
      <c r="AQ938" s="43"/>
      <c r="AV938" s="43"/>
      <c r="BA938" s="43"/>
      <c r="BF938" s="43"/>
      <c r="BK938" s="43"/>
      <c r="BQ938" s="43"/>
      <c r="BV938" s="43"/>
      <c r="CC938" s="43"/>
    </row>
    <row r="939" spans="2:81" ht="15.75" customHeight="1">
      <c r="B939" s="36"/>
      <c r="D939" s="36"/>
      <c r="F939" s="43"/>
      <c r="L939" s="43"/>
      <c r="Q939" s="43"/>
      <c r="V939" s="43"/>
      <c r="AD939" s="43"/>
      <c r="AG939" s="43"/>
      <c r="AL939" s="43"/>
      <c r="AQ939" s="43"/>
      <c r="AV939" s="43"/>
      <c r="BA939" s="43"/>
      <c r="BF939" s="43"/>
      <c r="BK939" s="43"/>
      <c r="BQ939" s="43"/>
      <c r="BV939" s="43"/>
      <c r="CC939" s="43"/>
    </row>
    <row r="940" spans="2:81" ht="15.75" customHeight="1">
      <c r="B940" s="36"/>
      <c r="D940" s="36"/>
      <c r="F940" s="43"/>
      <c r="L940" s="43"/>
      <c r="Q940" s="43"/>
      <c r="V940" s="43"/>
      <c r="AD940" s="43"/>
      <c r="AG940" s="43"/>
      <c r="AL940" s="43"/>
      <c r="AQ940" s="43"/>
      <c r="AV940" s="43"/>
      <c r="BA940" s="43"/>
      <c r="BF940" s="43"/>
      <c r="BK940" s="43"/>
      <c r="BQ940" s="43"/>
      <c r="BV940" s="43"/>
      <c r="CC940" s="43"/>
    </row>
    <row r="941" spans="2:81" ht="15.75" customHeight="1">
      <c r="B941" s="36"/>
      <c r="D941" s="36"/>
      <c r="F941" s="43"/>
      <c r="L941" s="43"/>
      <c r="Q941" s="43"/>
      <c r="V941" s="43"/>
      <c r="AD941" s="43"/>
      <c r="AG941" s="43"/>
      <c r="AL941" s="43"/>
      <c r="AQ941" s="43"/>
      <c r="AV941" s="43"/>
      <c r="BA941" s="43"/>
      <c r="BF941" s="43"/>
      <c r="BK941" s="43"/>
      <c r="BQ941" s="43"/>
      <c r="BV941" s="43"/>
      <c r="CC941" s="43"/>
    </row>
    <row r="942" spans="2:81" ht="15.75" customHeight="1">
      <c r="B942" s="36"/>
      <c r="D942" s="36"/>
      <c r="F942" s="43"/>
      <c r="L942" s="43"/>
      <c r="Q942" s="43"/>
      <c r="V942" s="43"/>
      <c r="AD942" s="43"/>
      <c r="AG942" s="43"/>
      <c r="AL942" s="43"/>
      <c r="AQ942" s="43"/>
      <c r="AV942" s="43"/>
      <c r="BA942" s="43"/>
      <c r="BF942" s="43"/>
      <c r="BK942" s="43"/>
      <c r="BQ942" s="43"/>
      <c r="BV942" s="43"/>
      <c r="CC942" s="43"/>
    </row>
    <row r="943" spans="2:81" ht="15.75" customHeight="1">
      <c r="B943" s="36"/>
      <c r="D943" s="36"/>
      <c r="F943" s="43"/>
      <c r="L943" s="43"/>
      <c r="Q943" s="43"/>
      <c r="V943" s="43"/>
      <c r="AD943" s="43"/>
      <c r="AG943" s="43"/>
      <c r="AL943" s="43"/>
      <c r="AQ943" s="43"/>
      <c r="AV943" s="43"/>
      <c r="BA943" s="43"/>
      <c r="BF943" s="43"/>
      <c r="BK943" s="43"/>
      <c r="BQ943" s="43"/>
      <c r="BV943" s="43"/>
      <c r="CC943" s="43"/>
    </row>
    <row r="944" spans="2:81" ht="15.75" customHeight="1">
      <c r="B944" s="36"/>
      <c r="D944" s="36"/>
      <c r="F944" s="43"/>
      <c r="L944" s="43"/>
      <c r="Q944" s="43"/>
      <c r="V944" s="43"/>
      <c r="AD944" s="43"/>
      <c r="AG944" s="43"/>
      <c r="AL944" s="43"/>
      <c r="AQ944" s="43"/>
      <c r="AV944" s="43"/>
      <c r="BA944" s="43"/>
      <c r="BF944" s="43"/>
      <c r="BK944" s="43"/>
      <c r="BQ944" s="43"/>
      <c r="BV944" s="43"/>
      <c r="CC944" s="43"/>
    </row>
    <row r="945" spans="2:81" ht="15.75" customHeight="1">
      <c r="B945" s="36"/>
      <c r="D945" s="36"/>
      <c r="F945" s="43"/>
      <c r="L945" s="43"/>
      <c r="Q945" s="43"/>
      <c r="V945" s="43"/>
      <c r="AD945" s="43"/>
      <c r="AG945" s="43"/>
      <c r="AL945" s="43"/>
      <c r="AQ945" s="43"/>
      <c r="AV945" s="43"/>
      <c r="BA945" s="43"/>
      <c r="BF945" s="43"/>
      <c r="BK945" s="43"/>
      <c r="BQ945" s="43"/>
      <c r="BV945" s="43"/>
      <c r="CC945" s="43"/>
    </row>
    <row r="946" spans="2:81" ht="15.75" customHeight="1">
      <c r="B946" s="36"/>
      <c r="D946" s="36"/>
      <c r="F946" s="43"/>
      <c r="L946" s="43"/>
      <c r="Q946" s="43"/>
      <c r="V946" s="43"/>
      <c r="AD946" s="43"/>
      <c r="AG946" s="43"/>
      <c r="AL946" s="43"/>
      <c r="AQ946" s="43"/>
      <c r="AV946" s="43"/>
      <c r="BA946" s="43"/>
      <c r="BF946" s="43"/>
      <c r="BK946" s="43"/>
      <c r="BQ946" s="43"/>
      <c r="BV946" s="43"/>
      <c r="CC946" s="43"/>
    </row>
    <row r="947" spans="2:81" ht="15.75" customHeight="1">
      <c r="B947" s="36"/>
      <c r="D947" s="36"/>
      <c r="F947" s="43"/>
      <c r="L947" s="43"/>
      <c r="Q947" s="43"/>
      <c r="V947" s="43"/>
      <c r="AD947" s="43"/>
      <c r="AG947" s="43"/>
      <c r="AL947" s="43"/>
      <c r="AQ947" s="43"/>
      <c r="AV947" s="43"/>
      <c r="BA947" s="43"/>
      <c r="BF947" s="43"/>
      <c r="BK947" s="43"/>
      <c r="BQ947" s="43"/>
      <c r="BV947" s="43"/>
      <c r="CC947" s="43"/>
    </row>
    <row r="948" spans="2:81" ht="15.75" customHeight="1">
      <c r="B948" s="36"/>
      <c r="D948" s="36"/>
      <c r="F948" s="43"/>
      <c r="L948" s="43"/>
      <c r="Q948" s="43"/>
      <c r="V948" s="43"/>
      <c r="AD948" s="43"/>
      <c r="AG948" s="43"/>
      <c r="AL948" s="43"/>
      <c r="AQ948" s="43"/>
      <c r="AV948" s="43"/>
      <c r="BA948" s="43"/>
      <c r="BF948" s="43"/>
      <c r="BK948" s="43"/>
      <c r="BQ948" s="43"/>
      <c r="BV948" s="43"/>
      <c r="CC948" s="43"/>
    </row>
    <row r="949" spans="2:81" ht="15.75" customHeight="1">
      <c r="B949" s="36"/>
      <c r="D949" s="36"/>
      <c r="F949" s="43"/>
      <c r="L949" s="43"/>
      <c r="Q949" s="43"/>
      <c r="V949" s="43"/>
      <c r="AD949" s="43"/>
      <c r="AG949" s="43"/>
      <c r="AL949" s="43"/>
      <c r="AQ949" s="43"/>
      <c r="AV949" s="43"/>
      <c r="BA949" s="43"/>
      <c r="BF949" s="43"/>
      <c r="BK949" s="43"/>
      <c r="BQ949" s="43"/>
      <c r="BV949" s="43"/>
      <c r="CC949" s="43"/>
    </row>
    <row r="950" spans="2:81" ht="15.75" customHeight="1">
      <c r="B950" s="36"/>
      <c r="D950" s="36"/>
      <c r="F950" s="43"/>
      <c r="L950" s="43"/>
      <c r="Q950" s="43"/>
      <c r="V950" s="43"/>
      <c r="AD950" s="43"/>
      <c r="AG950" s="43"/>
      <c r="AL950" s="43"/>
      <c r="AQ950" s="43"/>
      <c r="AV950" s="43"/>
      <c r="BA950" s="43"/>
      <c r="BF950" s="43"/>
      <c r="BK950" s="43"/>
      <c r="BQ950" s="43"/>
      <c r="BV950" s="43"/>
      <c r="CC950" s="43"/>
    </row>
    <row r="951" spans="2:81" ht="15.75" customHeight="1">
      <c r="B951" s="36"/>
      <c r="D951" s="36"/>
      <c r="F951" s="43"/>
      <c r="L951" s="43"/>
      <c r="Q951" s="43"/>
      <c r="V951" s="43"/>
      <c r="AD951" s="43"/>
      <c r="AG951" s="43"/>
      <c r="AL951" s="43"/>
      <c r="AQ951" s="43"/>
      <c r="AV951" s="43"/>
      <c r="BA951" s="43"/>
      <c r="BF951" s="43"/>
      <c r="BK951" s="43"/>
      <c r="BQ951" s="43"/>
      <c r="BV951" s="43"/>
      <c r="CC951" s="43"/>
    </row>
    <row r="952" spans="2:81" ht="15.75" customHeight="1">
      <c r="B952" s="36"/>
      <c r="D952" s="36"/>
      <c r="F952" s="43"/>
      <c r="L952" s="43"/>
      <c r="Q952" s="43"/>
      <c r="V952" s="43"/>
      <c r="AD952" s="43"/>
      <c r="AG952" s="43"/>
      <c r="AL952" s="43"/>
      <c r="AQ952" s="43"/>
      <c r="AV952" s="43"/>
      <c r="BA952" s="43"/>
      <c r="BF952" s="43"/>
      <c r="BK952" s="43"/>
      <c r="BQ952" s="43"/>
      <c r="BV952" s="43"/>
      <c r="CC952" s="43"/>
    </row>
    <row r="953" spans="2:81" ht="15.75" customHeight="1">
      <c r="B953" s="36"/>
      <c r="D953" s="36"/>
      <c r="F953" s="43"/>
      <c r="L953" s="43"/>
      <c r="Q953" s="43"/>
      <c r="V953" s="43"/>
      <c r="AD953" s="43"/>
      <c r="AG953" s="43"/>
      <c r="AL953" s="43"/>
      <c r="AQ953" s="43"/>
      <c r="AV953" s="43"/>
      <c r="BA953" s="43"/>
      <c r="BF953" s="43"/>
      <c r="BK953" s="43"/>
      <c r="BQ953" s="43"/>
      <c r="BV953" s="43"/>
      <c r="CC953" s="43"/>
    </row>
    <row r="954" spans="2:81" ht="15.75" customHeight="1">
      <c r="B954" s="36"/>
      <c r="D954" s="36"/>
      <c r="F954" s="43"/>
      <c r="L954" s="43"/>
      <c r="Q954" s="43"/>
      <c r="V954" s="43"/>
      <c r="AD954" s="43"/>
      <c r="AG954" s="43"/>
      <c r="AL954" s="43"/>
      <c r="AQ954" s="43"/>
      <c r="AV954" s="43"/>
      <c r="BA954" s="43"/>
      <c r="BF954" s="43"/>
      <c r="BK954" s="43"/>
      <c r="BQ954" s="43"/>
      <c r="BV954" s="43"/>
      <c r="CC954" s="43"/>
    </row>
    <row r="955" spans="2:81" ht="15.75" customHeight="1">
      <c r="B955" s="36"/>
      <c r="D955" s="36"/>
      <c r="F955" s="43"/>
      <c r="L955" s="43"/>
      <c r="Q955" s="43"/>
      <c r="V955" s="43"/>
      <c r="AD955" s="43"/>
      <c r="AG955" s="43"/>
      <c r="AL955" s="43"/>
      <c r="AQ955" s="43"/>
      <c r="AV955" s="43"/>
      <c r="BA955" s="43"/>
      <c r="BF955" s="43"/>
      <c r="BK955" s="43"/>
      <c r="BQ955" s="43"/>
      <c r="BV955" s="43"/>
      <c r="CC955" s="43"/>
    </row>
    <row r="956" spans="2:81" ht="15.75" customHeight="1">
      <c r="B956" s="36"/>
      <c r="D956" s="36"/>
      <c r="F956" s="43"/>
      <c r="L956" s="43"/>
      <c r="Q956" s="43"/>
      <c r="V956" s="43"/>
      <c r="AD956" s="43"/>
      <c r="AG956" s="43"/>
      <c r="AL956" s="43"/>
      <c r="AQ956" s="43"/>
      <c r="AV956" s="43"/>
      <c r="BA956" s="43"/>
      <c r="BF956" s="43"/>
      <c r="BK956" s="43"/>
      <c r="BQ956" s="43"/>
      <c r="BV956" s="43"/>
      <c r="CC956" s="43"/>
    </row>
    <row r="957" spans="2:81" ht="15.75" customHeight="1">
      <c r="B957" s="36"/>
      <c r="D957" s="36"/>
      <c r="F957" s="43"/>
      <c r="L957" s="43"/>
      <c r="Q957" s="43"/>
      <c r="V957" s="43"/>
      <c r="AD957" s="43"/>
      <c r="AG957" s="43"/>
      <c r="AL957" s="43"/>
      <c r="AQ957" s="43"/>
      <c r="AV957" s="43"/>
      <c r="BA957" s="43"/>
      <c r="BF957" s="43"/>
      <c r="BK957" s="43"/>
      <c r="BQ957" s="43"/>
      <c r="BV957" s="43"/>
      <c r="CC957" s="43"/>
    </row>
    <row r="958" spans="2:81" ht="15.75" customHeight="1">
      <c r="B958" s="36"/>
      <c r="D958" s="36"/>
      <c r="F958" s="43"/>
      <c r="L958" s="43"/>
      <c r="Q958" s="43"/>
      <c r="V958" s="43"/>
      <c r="AD958" s="43"/>
      <c r="AG958" s="43"/>
      <c r="AL958" s="43"/>
      <c r="AQ958" s="43"/>
      <c r="AV958" s="43"/>
      <c r="BA958" s="43"/>
      <c r="BF958" s="43"/>
      <c r="BK958" s="43"/>
      <c r="BQ958" s="43"/>
      <c r="BV958" s="43"/>
      <c r="CC958" s="43"/>
    </row>
    <row r="959" spans="2:81" ht="15.75" customHeight="1">
      <c r="B959" s="36"/>
      <c r="D959" s="36"/>
      <c r="F959" s="43"/>
      <c r="L959" s="43"/>
      <c r="Q959" s="43"/>
      <c r="V959" s="43"/>
      <c r="AD959" s="43"/>
      <c r="AG959" s="43"/>
      <c r="AL959" s="43"/>
      <c r="AQ959" s="43"/>
      <c r="AV959" s="43"/>
      <c r="BA959" s="43"/>
      <c r="BF959" s="43"/>
      <c r="BK959" s="43"/>
      <c r="BQ959" s="43"/>
      <c r="BV959" s="43"/>
      <c r="CC959" s="43"/>
    </row>
    <row r="960" spans="2:81" ht="15.75" customHeight="1">
      <c r="B960" s="36"/>
      <c r="D960" s="36"/>
      <c r="F960" s="43"/>
      <c r="L960" s="43"/>
      <c r="Q960" s="43"/>
      <c r="V960" s="43"/>
      <c r="AD960" s="43"/>
      <c r="AG960" s="43"/>
      <c r="AL960" s="43"/>
      <c r="AQ960" s="43"/>
      <c r="AV960" s="43"/>
      <c r="BA960" s="43"/>
      <c r="BF960" s="43"/>
      <c r="BK960" s="43"/>
      <c r="BQ960" s="43"/>
      <c r="BV960" s="43"/>
      <c r="CC960" s="43"/>
    </row>
    <row r="961" spans="2:81" ht="15.75" customHeight="1">
      <c r="B961" s="36"/>
      <c r="D961" s="36"/>
      <c r="F961" s="43"/>
      <c r="L961" s="43"/>
      <c r="Q961" s="43"/>
      <c r="V961" s="43"/>
      <c r="AD961" s="43"/>
      <c r="AG961" s="43"/>
      <c r="AL961" s="43"/>
      <c r="AQ961" s="43"/>
      <c r="AV961" s="43"/>
      <c r="BA961" s="43"/>
      <c r="BF961" s="43"/>
      <c r="BK961" s="43"/>
      <c r="BQ961" s="43"/>
      <c r="BV961" s="43"/>
      <c r="CC961" s="43"/>
    </row>
    <row r="962" spans="2:81" ht="15.75" customHeight="1">
      <c r="B962" s="36"/>
      <c r="D962" s="36"/>
      <c r="F962" s="43"/>
      <c r="L962" s="43"/>
      <c r="Q962" s="43"/>
      <c r="V962" s="43"/>
      <c r="AD962" s="43"/>
      <c r="AG962" s="43"/>
      <c r="AL962" s="43"/>
      <c r="AQ962" s="43"/>
      <c r="AV962" s="43"/>
      <c r="BA962" s="43"/>
      <c r="BF962" s="43"/>
      <c r="BK962" s="43"/>
      <c r="BQ962" s="43"/>
      <c r="BV962" s="43"/>
      <c r="CC962" s="43"/>
    </row>
    <row r="963" spans="2:81" ht="15.75" customHeight="1">
      <c r="B963" s="36"/>
      <c r="D963" s="36"/>
      <c r="F963" s="43"/>
      <c r="L963" s="43"/>
      <c r="Q963" s="43"/>
      <c r="V963" s="43"/>
      <c r="AD963" s="43"/>
      <c r="AG963" s="43"/>
      <c r="AL963" s="43"/>
      <c r="AQ963" s="43"/>
      <c r="AV963" s="43"/>
      <c r="BA963" s="43"/>
      <c r="BF963" s="43"/>
      <c r="BK963" s="43"/>
      <c r="BQ963" s="43"/>
      <c r="BV963" s="43"/>
      <c r="CC963" s="43"/>
    </row>
    <row r="964" spans="2:81" ht="15.75" customHeight="1">
      <c r="B964" s="36"/>
      <c r="D964" s="36"/>
      <c r="F964" s="43"/>
      <c r="L964" s="43"/>
      <c r="Q964" s="43"/>
      <c r="V964" s="43"/>
      <c r="AD964" s="43"/>
      <c r="AG964" s="43"/>
      <c r="AL964" s="43"/>
      <c r="AQ964" s="43"/>
      <c r="AV964" s="43"/>
      <c r="BA964" s="43"/>
      <c r="BF964" s="43"/>
      <c r="BK964" s="43"/>
      <c r="BQ964" s="43"/>
      <c r="BV964" s="43"/>
      <c r="CC964" s="43"/>
    </row>
    <row r="965" spans="2:81" ht="15.75" customHeight="1">
      <c r="B965" s="36"/>
      <c r="D965" s="36"/>
      <c r="F965" s="43"/>
      <c r="L965" s="43"/>
      <c r="Q965" s="43"/>
      <c r="V965" s="43"/>
      <c r="AD965" s="43"/>
      <c r="AG965" s="43"/>
      <c r="AL965" s="43"/>
      <c r="AQ965" s="43"/>
      <c r="AV965" s="43"/>
      <c r="BA965" s="43"/>
      <c r="BF965" s="43"/>
      <c r="BK965" s="43"/>
      <c r="BQ965" s="43"/>
      <c r="BV965" s="43"/>
      <c r="CC965" s="43"/>
    </row>
    <row r="966" spans="2:81" ht="15.75" customHeight="1">
      <c r="B966" s="36"/>
      <c r="D966" s="36"/>
      <c r="F966" s="43"/>
      <c r="L966" s="43"/>
      <c r="Q966" s="43"/>
      <c r="V966" s="43"/>
      <c r="AD966" s="43"/>
      <c r="AG966" s="43"/>
      <c r="AL966" s="43"/>
      <c r="AQ966" s="43"/>
      <c r="AV966" s="43"/>
      <c r="BA966" s="43"/>
      <c r="BF966" s="43"/>
      <c r="BK966" s="43"/>
      <c r="BQ966" s="43"/>
      <c r="BV966" s="43"/>
      <c r="CC966" s="43"/>
    </row>
    <row r="967" spans="2:81" ht="15.75" customHeight="1">
      <c r="B967" s="36"/>
      <c r="D967" s="36"/>
      <c r="F967" s="43"/>
      <c r="L967" s="43"/>
      <c r="Q967" s="43"/>
      <c r="V967" s="43"/>
      <c r="AD967" s="43"/>
      <c r="AG967" s="43"/>
      <c r="AL967" s="43"/>
      <c r="AQ967" s="43"/>
      <c r="AV967" s="43"/>
      <c r="BA967" s="43"/>
      <c r="BF967" s="43"/>
      <c r="BK967" s="43"/>
      <c r="BQ967" s="43"/>
      <c r="BV967" s="43"/>
      <c r="CC967" s="43"/>
    </row>
    <row r="968" spans="2:81" ht="15.75" customHeight="1">
      <c r="B968" s="36"/>
      <c r="D968" s="36"/>
      <c r="F968" s="43"/>
      <c r="L968" s="43"/>
      <c r="Q968" s="43"/>
      <c r="V968" s="43"/>
      <c r="AD968" s="43"/>
      <c r="AG968" s="43"/>
      <c r="AL968" s="43"/>
      <c r="AQ968" s="43"/>
      <c r="AV968" s="43"/>
      <c r="BA968" s="43"/>
      <c r="BF968" s="43"/>
      <c r="BK968" s="43"/>
      <c r="BQ968" s="43"/>
      <c r="BV968" s="43"/>
      <c r="CC968" s="43"/>
    </row>
    <row r="969" spans="2:81" ht="15.75" customHeight="1">
      <c r="B969" s="36"/>
      <c r="D969" s="36"/>
      <c r="F969" s="43"/>
      <c r="L969" s="43"/>
      <c r="Q969" s="43"/>
      <c r="V969" s="43"/>
      <c r="AD969" s="43"/>
      <c r="AG969" s="43"/>
      <c r="AL969" s="43"/>
      <c r="AQ969" s="43"/>
      <c r="AV969" s="43"/>
      <c r="BA969" s="43"/>
      <c r="BF969" s="43"/>
      <c r="BK969" s="43"/>
      <c r="BQ969" s="43"/>
      <c r="BV969" s="43"/>
      <c r="CC969" s="43"/>
    </row>
    <row r="970" spans="2:81" ht="15.75" customHeight="1">
      <c r="B970" s="36"/>
      <c r="D970" s="36"/>
      <c r="F970" s="43"/>
      <c r="L970" s="43"/>
      <c r="Q970" s="43"/>
      <c r="V970" s="43"/>
      <c r="AD970" s="43"/>
      <c r="AG970" s="43"/>
      <c r="AL970" s="43"/>
      <c r="AQ970" s="43"/>
      <c r="AV970" s="43"/>
      <c r="BA970" s="43"/>
      <c r="BF970" s="43"/>
      <c r="BK970" s="43"/>
      <c r="BQ970" s="43"/>
      <c r="BV970" s="43"/>
      <c r="CC970" s="43"/>
    </row>
    <row r="971" spans="2:81" ht="15.75" customHeight="1">
      <c r="B971" s="36"/>
      <c r="D971" s="36"/>
      <c r="F971" s="43"/>
      <c r="L971" s="43"/>
      <c r="Q971" s="43"/>
      <c r="V971" s="43"/>
      <c r="AD971" s="43"/>
      <c r="AG971" s="43"/>
      <c r="AL971" s="43"/>
      <c r="AQ971" s="43"/>
      <c r="AV971" s="43"/>
      <c r="BA971" s="43"/>
      <c r="BF971" s="43"/>
      <c r="BK971" s="43"/>
      <c r="BQ971" s="43"/>
      <c r="BV971" s="43"/>
      <c r="CC971" s="43"/>
    </row>
    <row r="972" spans="2:81" ht="15.75" customHeight="1">
      <c r="B972" s="36"/>
      <c r="D972" s="36"/>
      <c r="F972" s="43"/>
      <c r="L972" s="43"/>
      <c r="Q972" s="43"/>
      <c r="V972" s="43"/>
      <c r="AD972" s="43"/>
      <c r="AG972" s="43"/>
      <c r="AL972" s="43"/>
      <c r="AQ972" s="43"/>
      <c r="AV972" s="43"/>
      <c r="BA972" s="43"/>
      <c r="BF972" s="43"/>
      <c r="BK972" s="43"/>
      <c r="BQ972" s="43"/>
      <c r="BV972" s="43"/>
      <c r="CC972" s="43"/>
    </row>
    <row r="973" spans="2:81" ht="15.75" customHeight="1">
      <c r="B973" s="36"/>
      <c r="D973" s="36"/>
      <c r="F973" s="43"/>
      <c r="L973" s="43"/>
      <c r="Q973" s="43"/>
      <c r="V973" s="43"/>
      <c r="AD973" s="43"/>
      <c r="AG973" s="43"/>
      <c r="AL973" s="43"/>
      <c r="AQ973" s="43"/>
      <c r="AV973" s="43"/>
      <c r="BA973" s="43"/>
      <c r="BF973" s="43"/>
      <c r="BK973" s="43"/>
      <c r="BQ973" s="43"/>
      <c r="BV973" s="43"/>
      <c r="CC973" s="43"/>
    </row>
    <row r="974" spans="2:81" ht="15.75" customHeight="1">
      <c r="B974" s="36"/>
      <c r="D974" s="36"/>
      <c r="F974" s="43"/>
      <c r="L974" s="43"/>
      <c r="Q974" s="43"/>
      <c r="V974" s="43"/>
      <c r="AD974" s="43"/>
      <c r="AG974" s="43"/>
      <c r="AL974" s="43"/>
      <c r="AQ974" s="43"/>
      <c r="AV974" s="43"/>
      <c r="BA974" s="43"/>
      <c r="BF974" s="43"/>
      <c r="BK974" s="43"/>
      <c r="BQ974" s="43"/>
      <c r="BV974" s="43"/>
      <c r="CC974" s="43"/>
    </row>
    <row r="975" spans="2:81" ht="15.75" customHeight="1">
      <c r="B975" s="36"/>
      <c r="D975" s="36"/>
      <c r="F975" s="43"/>
      <c r="L975" s="43"/>
      <c r="Q975" s="43"/>
      <c r="V975" s="43"/>
      <c r="AD975" s="43"/>
      <c r="AG975" s="43"/>
      <c r="AL975" s="43"/>
      <c r="AQ975" s="43"/>
      <c r="AV975" s="43"/>
      <c r="BA975" s="43"/>
      <c r="BF975" s="43"/>
      <c r="BK975" s="43"/>
      <c r="BQ975" s="43"/>
      <c r="BV975" s="43"/>
      <c r="CC975" s="43"/>
    </row>
    <row r="976" spans="2:81" ht="15.75" customHeight="1">
      <c r="B976" s="36"/>
      <c r="D976" s="36"/>
      <c r="F976" s="43"/>
      <c r="L976" s="43"/>
      <c r="Q976" s="43"/>
      <c r="V976" s="43"/>
      <c r="AD976" s="43"/>
      <c r="AG976" s="43"/>
      <c r="AL976" s="43"/>
      <c r="AQ976" s="43"/>
      <c r="AV976" s="43"/>
      <c r="BA976" s="43"/>
      <c r="BF976" s="43"/>
      <c r="BK976" s="43"/>
      <c r="BQ976" s="43"/>
      <c r="BV976" s="43"/>
      <c r="CC976" s="43"/>
    </row>
    <row r="977" spans="2:81" ht="15.75" customHeight="1">
      <c r="B977" s="36"/>
      <c r="D977" s="36"/>
      <c r="F977" s="43"/>
      <c r="L977" s="43"/>
      <c r="Q977" s="43"/>
      <c r="V977" s="43"/>
      <c r="AD977" s="43"/>
      <c r="AG977" s="43"/>
      <c r="AL977" s="43"/>
      <c r="AQ977" s="43"/>
      <c r="AV977" s="43"/>
      <c r="BA977" s="43"/>
      <c r="BF977" s="43"/>
      <c r="BK977" s="43"/>
      <c r="BQ977" s="43"/>
      <c r="BV977" s="43"/>
      <c r="CC977" s="43"/>
    </row>
    <row r="978" spans="2:81" ht="15.75" customHeight="1">
      <c r="B978" s="36"/>
      <c r="D978" s="36"/>
      <c r="F978" s="43"/>
      <c r="L978" s="43"/>
      <c r="Q978" s="43"/>
      <c r="V978" s="43"/>
      <c r="AD978" s="43"/>
      <c r="AG978" s="43"/>
      <c r="AL978" s="43"/>
      <c r="AQ978" s="43"/>
      <c r="AV978" s="43"/>
      <c r="BA978" s="43"/>
      <c r="BF978" s="43"/>
      <c r="BK978" s="43"/>
      <c r="BQ978" s="43"/>
      <c r="BV978" s="43"/>
      <c r="CC978" s="43"/>
    </row>
    <row r="979" spans="2:81" ht="15.75" customHeight="1">
      <c r="B979" s="36"/>
      <c r="D979" s="36"/>
      <c r="F979" s="43"/>
      <c r="L979" s="43"/>
      <c r="Q979" s="43"/>
      <c r="V979" s="43"/>
      <c r="AD979" s="43"/>
      <c r="AG979" s="43"/>
      <c r="AL979" s="43"/>
      <c r="AQ979" s="43"/>
      <c r="AV979" s="43"/>
      <c r="BA979" s="43"/>
      <c r="BF979" s="43"/>
      <c r="BK979" s="43"/>
      <c r="BQ979" s="43"/>
      <c r="BV979" s="43"/>
      <c r="CC979" s="43"/>
    </row>
    <row r="980" spans="2:81" ht="15.75" customHeight="1">
      <c r="B980" s="36"/>
      <c r="D980" s="36"/>
      <c r="F980" s="43"/>
      <c r="L980" s="43"/>
      <c r="Q980" s="43"/>
      <c r="V980" s="43"/>
      <c r="AD980" s="43"/>
      <c r="AG980" s="43"/>
      <c r="AL980" s="43"/>
      <c r="AQ980" s="43"/>
      <c r="AV980" s="43"/>
      <c r="BA980" s="43"/>
      <c r="BF980" s="43"/>
      <c r="BK980" s="43"/>
      <c r="BQ980" s="43"/>
      <c r="BV980" s="43"/>
      <c r="CC980" s="43"/>
    </row>
    <row r="981" spans="2:81" ht="15.75" customHeight="1">
      <c r="B981" s="36"/>
      <c r="D981" s="36"/>
      <c r="F981" s="43"/>
      <c r="L981" s="43"/>
      <c r="Q981" s="43"/>
      <c r="V981" s="43"/>
      <c r="AD981" s="43"/>
      <c r="AG981" s="43"/>
      <c r="AL981" s="43"/>
      <c r="AQ981" s="43"/>
      <c r="AV981" s="43"/>
      <c r="BA981" s="43"/>
      <c r="BF981" s="43"/>
      <c r="BK981" s="43"/>
      <c r="BQ981" s="43"/>
      <c r="BV981" s="43"/>
      <c r="CC981" s="43"/>
    </row>
    <row r="982" spans="2:81" ht="15.75" customHeight="1">
      <c r="B982" s="36"/>
      <c r="D982" s="36"/>
      <c r="F982" s="43"/>
      <c r="L982" s="43"/>
      <c r="Q982" s="43"/>
      <c r="V982" s="43"/>
      <c r="AD982" s="43"/>
      <c r="AG982" s="43"/>
      <c r="AL982" s="43"/>
      <c r="AQ982" s="43"/>
      <c r="AV982" s="43"/>
      <c r="BA982" s="43"/>
      <c r="BF982" s="43"/>
      <c r="BK982" s="43"/>
      <c r="BQ982" s="43"/>
      <c r="BV982" s="43"/>
      <c r="CC982" s="43"/>
    </row>
    <row r="983" spans="2:81" ht="15.75" customHeight="1">
      <c r="B983" s="36"/>
      <c r="D983" s="36"/>
      <c r="F983" s="43"/>
      <c r="L983" s="43"/>
      <c r="Q983" s="43"/>
      <c r="V983" s="43"/>
      <c r="AD983" s="43"/>
      <c r="AG983" s="43"/>
      <c r="AL983" s="43"/>
      <c r="AQ983" s="43"/>
      <c r="AV983" s="43"/>
      <c r="BA983" s="43"/>
      <c r="BF983" s="43"/>
      <c r="BK983" s="43"/>
      <c r="BQ983" s="43"/>
      <c r="BV983" s="43"/>
      <c r="CC983" s="43"/>
    </row>
    <row r="984" spans="2:81" ht="15.75" customHeight="1">
      <c r="B984" s="36"/>
      <c r="D984" s="36"/>
      <c r="F984" s="43"/>
      <c r="L984" s="43"/>
      <c r="Q984" s="43"/>
      <c r="V984" s="43"/>
      <c r="AD984" s="43"/>
      <c r="AG984" s="43"/>
      <c r="AL984" s="43"/>
      <c r="AQ984" s="43"/>
      <c r="AV984" s="43"/>
      <c r="BA984" s="43"/>
      <c r="BF984" s="43"/>
      <c r="BK984" s="43"/>
      <c r="BQ984" s="43"/>
      <c r="BV984" s="43"/>
      <c r="CC984" s="43"/>
    </row>
    <row r="985" spans="2:81" ht="15.75" customHeight="1">
      <c r="B985" s="36"/>
      <c r="D985" s="36"/>
      <c r="F985" s="43"/>
      <c r="L985" s="43"/>
      <c r="Q985" s="43"/>
      <c r="V985" s="43"/>
      <c r="AD985" s="43"/>
      <c r="AG985" s="43"/>
      <c r="AL985" s="43"/>
      <c r="AQ985" s="43"/>
      <c r="AV985" s="43"/>
      <c r="BA985" s="43"/>
      <c r="BF985" s="43"/>
      <c r="BK985" s="43"/>
      <c r="BQ985" s="43"/>
      <c r="BV985" s="43"/>
      <c r="CC985" s="43"/>
    </row>
    <row r="986" spans="2:81" ht="15.75" customHeight="1">
      <c r="B986" s="36"/>
      <c r="D986" s="36"/>
      <c r="F986" s="43"/>
      <c r="L986" s="43"/>
      <c r="Q986" s="43"/>
      <c r="V986" s="43"/>
      <c r="AD986" s="43"/>
      <c r="AG986" s="43"/>
      <c r="AL986" s="43"/>
      <c r="AQ986" s="43"/>
      <c r="AV986" s="43"/>
      <c r="BA986" s="43"/>
      <c r="BF986" s="43"/>
      <c r="BK986" s="43"/>
      <c r="BQ986" s="43"/>
      <c r="BV986" s="43"/>
      <c r="CC986" s="43"/>
    </row>
    <row r="987" spans="2:81" ht="15.75" customHeight="1">
      <c r="B987" s="36"/>
      <c r="D987" s="36"/>
      <c r="F987" s="43"/>
      <c r="L987" s="43"/>
      <c r="Q987" s="43"/>
      <c r="V987" s="43"/>
      <c r="AD987" s="43"/>
      <c r="AG987" s="43"/>
      <c r="AL987" s="43"/>
      <c r="AQ987" s="43"/>
      <c r="AV987" s="43"/>
      <c r="BA987" s="43"/>
      <c r="BF987" s="43"/>
      <c r="BK987" s="43"/>
      <c r="BQ987" s="43"/>
      <c r="BV987" s="43"/>
      <c r="CC987" s="43"/>
    </row>
    <row r="988" spans="2:81" ht="15.75" customHeight="1">
      <c r="B988" s="36"/>
      <c r="D988" s="36"/>
      <c r="F988" s="43"/>
      <c r="L988" s="43"/>
      <c r="Q988" s="43"/>
      <c r="V988" s="43"/>
      <c r="AD988" s="43"/>
      <c r="AG988" s="43"/>
      <c r="AL988" s="43"/>
      <c r="AQ988" s="43"/>
      <c r="AV988" s="43"/>
      <c r="BA988" s="43"/>
      <c r="BF988" s="43"/>
      <c r="BK988" s="43"/>
      <c r="BQ988" s="43"/>
      <c r="BV988" s="43"/>
      <c r="CC988" s="43"/>
    </row>
    <row r="989" spans="2:81" ht="15.75" customHeight="1">
      <c r="B989" s="36"/>
      <c r="D989" s="36"/>
      <c r="F989" s="43"/>
      <c r="L989" s="43"/>
      <c r="Q989" s="43"/>
      <c r="V989" s="43"/>
      <c r="AD989" s="43"/>
      <c r="AG989" s="43"/>
      <c r="AL989" s="43"/>
      <c r="AQ989" s="43"/>
      <c r="AV989" s="43"/>
      <c r="BA989" s="43"/>
      <c r="BF989" s="43"/>
      <c r="BK989" s="43"/>
      <c r="BQ989" s="43"/>
      <c r="BV989" s="43"/>
      <c r="CC989" s="43"/>
    </row>
    <row r="990" spans="2:81" ht="15.75" customHeight="1">
      <c r="B990" s="36"/>
      <c r="D990" s="36"/>
      <c r="F990" s="43"/>
      <c r="L990" s="43"/>
      <c r="Q990" s="43"/>
      <c r="V990" s="43"/>
      <c r="AD990" s="43"/>
      <c r="AG990" s="43"/>
      <c r="AL990" s="43"/>
      <c r="AQ990" s="43"/>
      <c r="AV990" s="43"/>
      <c r="BA990" s="43"/>
      <c r="BF990" s="43"/>
      <c r="BK990" s="43"/>
      <c r="BQ990" s="43"/>
      <c r="BV990" s="43"/>
      <c r="CC990" s="43"/>
    </row>
    <row r="991" spans="2:81" ht="15.75" customHeight="1">
      <c r="B991" s="36"/>
      <c r="D991" s="36"/>
      <c r="F991" s="43"/>
      <c r="L991" s="43"/>
      <c r="Q991" s="43"/>
      <c r="V991" s="43"/>
      <c r="AD991" s="43"/>
      <c r="AG991" s="43"/>
      <c r="AL991" s="43"/>
      <c r="AQ991" s="43"/>
      <c r="AV991" s="43"/>
      <c r="BA991" s="43"/>
      <c r="BF991" s="43"/>
      <c r="BK991" s="43"/>
      <c r="BQ991" s="43"/>
      <c r="BV991" s="43"/>
      <c r="CC991" s="43"/>
    </row>
    <row r="992" spans="2:81" ht="15.75" customHeight="1">
      <c r="B992" s="36"/>
      <c r="D992" s="36"/>
      <c r="F992" s="43"/>
      <c r="L992" s="43"/>
      <c r="Q992" s="43"/>
      <c r="V992" s="43"/>
      <c r="AD992" s="43"/>
      <c r="AG992" s="43"/>
      <c r="AL992" s="43"/>
      <c r="AQ992" s="43"/>
      <c r="AV992" s="43"/>
      <c r="BA992" s="43"/>
      <c r="BF992" s="43"/>
      <c r="BK992" s="43"/>
      <c r="BQ992" s="43"/>
      <c r="BV992" s="43"/>
      <c r="CC992" s="43"/>
    </row>
    <row r="993" spans="2:81" ht="15.75" customHeight="1">
      <c r="B993" s="36"/>
      <c r="D993" s="36"/>
      <c r="F993" s="43"/>
      <c r="L993" s="43"/>
      <c r="Q993" s="43"/>
      <c r="V993" s="43"/>
      <c r="AD993" s="43"/>
      <c r="AG993" s="43"/>
      <c r="AL993" s="43"/>
      <c r="AQ993" s="43"/>
      <c r="AV993" s="43"/>
      <c r="BA993" s="43"/>
      <c r="BF993" s="43"/>
      <c r="BK993" s="43"/>
      <c r="BQ993" s="43"/>
      <c r="BV993" s="43"/>
      <c r="CC993" s="43"/>
    </row>
    <row r="994" spans="2:81" ht="15.75" customHeight="1">
      <c r="B994" s="36"/>
      <c r="D994" s="36"/>
      <c r="F994" s="43"/>
      <c r="L994" s="43"/>
      <c r="Q994" s="43"/>
      <c r="V994" s="43"/>
      <c r="AD994" s="43"/>
      <c r="AG994" s="43"/>
      <c r="AL994" s="43"/>
      <c r="AQ994" s="43"/>
      <c r="AV994" s="43"/>
      <c r="BA994" s="43"/>
      <c r="BF994" s="43"/>
      <c r="BK994" s="43"/>
      <c r="BQ994" s="43"/>
      <c r="BV994" s="43"/>
      <c r="CC994" s="43"/>
    </row>
    <row r="995" spans="2:81" ht="15.75" customHeight="1">
      <c r="B995" s="36"/>
      <c r="D995" s="36"/>
      <c r="F995" s="43"/>
      <c r="L995" s="43"/>
      <c r="Q995" s="43"/>
      <c r="V995" s="43"/>
      <c r="AD995" s="43"/>
      <c r="AG995" s="43"/>
      <c r="AL995" s="43"/>
      <c r="AQ995" s="43"/>
      <c r="AV995" s="43"/>
      <c r="BA995" s="43"/>
      <c r="BF995" s="43"/>
      <c r="BK995" s="43"/>
      <c r="BQ995" s="43"/>
      <c r="BV995" s="43"/>
      <c r="CC995" s="43"/>
    </row>
    <row r="996" spans="2:81" ht="15.75" customHeight="1">
      <c r="B996" s="36"/>
      <c r="D996" s="36"/>
      <c r="F996" s="43"/>
      <c r="L996" s="43"/>
      <c r="Q996" s="43"/>
      <c r="V996" s="43"/>
      <c r="AD996" s="43"/>
      <c r="AG996" s="43"/>
      <c r="AL996" s="43"/>
      <c r="AQ996" s="43"/>
      <c r="AV996" s="43"/>
      <c r="BA996" s="43"/>
      <c r="BF996" s="43"/>
      <c r="BK996" s="43"/>
      <c r="BQ996" s="43"/>
      <c r="BV996" s="43"/>
      <c r="CC996" s="43"/>
    </row>
    <row r="997" spans="2:81" ht="15.75" customHeight="1">
      <c r="B997" s="36"/>
      <c r="D997" s="36"/>
      <c r="F997" s="43"/>
      <c r="L997" s="43"/>
      <c r="Q997" s="43"/>
      <c r="V997" s="43"/>
      <c r="AD997" s="43"/>
      <c r="AG997" s="43"/>
      <c r="AL997" s="43"/>
      <c r="AQ997" s="43"/>
      <c r="AV997" s="43"/>
      <c r="BA997" s="43"/>
      <c r="BF997" s="43"/>
      <c r="BK997" s="43"/>
      <c r="BQ997" s="43"/>
      <c r="BV997" s="43"/>
      <c r="CC997" s="43"/>
    </row>
    <row r="998" spans="2:81" ht="15.75" customHeight="1">
      <c r="B998" s="36"/>
      <c r="D998" s="36"/>
      <c r="F998" s="43"/>
      <c r="L998" s="43"/>
      <c r="Q998" s="43"/>
      <c r="V998" s="43"/>
      <c r="AD998" s="43"/>
      <c r="AG998" s="43"/>
      <c r="AL998" s="43"/>
      <c r="AQ998" s="43"/>
      <c r="AV998" s="43"/>
      <c r="BA998" s="43"/>
      <c r="BF998" s="43"/>
      <c r="BK998" s="43"/>
      <c r="BQ998" s="43"/>
      <c r="BV998" s="43"/>
      <c r="CC998" s="43"/>
    </row>
    <row r="999" spans="2:81" ht="15.75" customHeight="1">
      <c r="B999" s="36"/>
      <c r="D999" s="36"/>
      <c r="F999" s="43"/>
      <c r="L999" s="43"/>
      <c r="Q999" s="43"/>
      <c r="V999" s="43"/>
      <c r="AD999" s="43"/>
      <c r="AG999" s="43"/>
      <c r="AL999" s="43"/>
      <c r="AQ999" s="43"/>
      <c r="AV999" s="43"/>
      <c r="BA999" s="43"/>
      <c r="BF999" s="43"/>
      <c r="BK999" s="43"/>
      <c r="BQ999" s="43"/>
      <c r="BV999" s="43"/>
      <c r="CC999" s="43"/>
    </row>
    <row r="1000" spans="2:81" ht="15.75" customHeight="1">
      <c r="B1000" s="36"/>
      <c r="D1000" s="36"/>
      <c r="F1000" s="43"/>
      <c r="L1000" s="43"/>
      <c r="Q1000" s="43"/>
      <c r="V1000" s="43"/>
      <c r="AD1000" s="43"/>
      <c r="AG1000" s="43"/>
      <c r="AL1000" s="43"/>
      <c r="AQ1000" s="43"/>
      <c r="AV1000" s="43"/>
      <c r="BA1000" s="43"/>
      <c r="BF1000" s="43"/>
      <c r="BK1000" s="43"/>
      <c r="BQ1000" s="43"/>
      <c r="BV1000" s="43"/>
      <c r="CC1000" s="43"/>
    </row>
  </sheetData>
  <mergeCells count="10">
    <mergeCell ref="B57:B60"/>
    <mergeCell ref="B61:B62"/>
    <mergeCell ref="B64:B65"/>
    <mergeCell ref="B10:B11"/>
    <mergeCell ref="B16:B18"/>
    <mergeCell ref="B20:B37"/>
    <mergeCell ref="B40:B41"/>
    <mergeCell ref="B42:B47"/>
    <mergeCell ref="B49:B50"/>
    <mergeCell ref="B54:B55"/>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9" customWidth="1"/>
    <col min="4" max="4" width="73.54296875" customWidth="1"/>
    <col min="5" max="26" width="8.7265625" customWidth="1"/>
  </cols>
  <sheetData>
    <row r="1" spans="1:26" ht="7.5" customHeight="1"/>
    <row r="2" spans="1:26" ht="21.75" customHeight="1">
      <c r="A2" s="1"/>
      <c r="B2" s="2" t="s">
        <v>0</v>
      </c>
      <c r="C2" s="3" t="s">
        <v>2387</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2388</v>
      </c>
      <c r="C4" s="5"/>
      <c r="D4" s="5"/>
    </row>
    <row r="5" spans="1:26" ht="14.5">
      <c r="B5" s="8" t="s">
        <v>2389</v>
      </c>
      <c r="C5" s="8" t="s">
        <v>45</v>
      </c>
      <c r="D5" s="8" t="s">
        <v>2388</v>
      </c>
    </row>
    <row r="6" spans="1:26" ht="116.25" customHeight="1">
      <c r="B6" s="10"/>
      <c r="C6" s="10"/>
      <c r="D6" s="10"/>
    </row>
    <row r="7" spans="1:26" ht="102.75" customHeight="1">
      <c r="B7" s="10"/>
      <c r="C7" s="10"/>
      <c r="D7" s="10"/>
    </row>
    <row r="8" spans="1:26" ht="14.5">
      <c r="B8" s="10"/>
      <c r="C8" s="10"/>
      <c r="D8" s="10"/>
    </row>
    <row r="9" spans="1:26" ht="14.5">
      <c r="B9" s="10"/>
      <c r="C9" s="10"/>
      <c r="D9" s="10"/>
    </row>
    <row r="10" spans="1:26" ht="14.5">
      <c r="B10" s="10"/>
      <c r="C10" s="10"/>
      <c r="D10" s="10"/>
    </row>
    <row r="11" spans="1:26" ht="14.5">
      <c r="B11" s="10"/>
      <c r="C11" s="10"/>
      <c r="D11" s="10"/>
    </row>
    <row r="12" spans="1:26" ht="14.5">
      <c r="B12" s="10"/>
      <c r="C12" s="10"/>
      <c r="D12" s="10"/>
    </row>
    <row r="13" spans="1:26" ht="14.5">
      <c r="B13" s="10"/>
      <c r="C13" s="10"/>
      <c r="D13" s="10"/>
    </row>
    <row r="14" spans="1:26" ht="14.5">
      <c r="B14" s="10"/>
      <c r="C14" s="10"/>
      <c r="D14" s="10"/>
    </row>
    <row r="15" spans="1:26" ht="14.5">
      <c r="B15" s="10"/>
      <c r="C15" s="10"/>
      <c r="D15" s="10"/>
    </row>
    <row r="16" spans="1:26" ht="14.5">
      <c r="B16" s="10"/>
      <c r="C16" s="10"/>
      <c r="D16" s="10"/>
    </row>
    <row r="17" spans="2:4" ht="14.5">
      <c r="B17" s="10"/>
      <c r="C17" s="10"/>
      <c r="D17" s="10"/>
    </row>
    <row r="18" spans="2:4" ht="14.5">
      <c r="B18" s="10"/>
      <c r="C18" s="10"/>
      <c r="D18" s="10"/>
    </row>
    <row r="19" spans="2:4" ht="14.5">
      <c r="B19" s="10"/>
      <c r="C19" s="10"/>
      <c r="D19" s="10"/>
    </row>
    <row r="20" spans="2:4" ht="14.5">
      <c r="B20" s="10"/>
      <c r="C20" s="10"/>
      <c r="D20" s="10"/>
    </row>
    <row r="21" spans="2:4" ht="15.75" customHeight="1">
      <c r="B21" s="10"/>
      <c r="C21" s="10"/>
      <c r="D21" s="10"/>
    </row>
    <row r="22" spans="2:4" ht="15.75" customHeight="1">
      <c r="B22" s="10"/>
      <c r="C22" s="10"/>
      <c r="D22" s="10"/>
    </row>
    <row r="23" spans="2:4" ht="15.75" customHeight="1">
      <c r="B23" s="10"/>
      <c r="C23" s="10"/>
      <c r="D23" s="10"/>
    </row>
    <row r="24" spans="2:4" ht="15.75" customHeight="1">
      <c r="B24" s="10"/>
      <c r="C24" s="10"/>
      <c r="D24" s="10"/>
    </row>
    <row r="25" spans="2:4" ht="15.75" customHeight="1">
      <c r="B25" s="10"/>
      <c r="C25" s="10"/>
      <c r="D25" s="10"/>
    </row>
    <row r="26" spans="2:4" ht="15.75" customHeight="1">
      <c r="B26" s="10"/>
      <c r="C26" s="10"/>
      <c r="D26" s="10"/>
    </row>
    <row r="27" spans="2:4" ht="15.75" customHeight="1">
      <c r="B27" s="10"/>
      <c r="C27" s="10"/>
      <c r="D27" s="10"/>
    </row>
    <row r="28" spans="2:4" ht="15.75" customHeight="1">
      <c r="B28" s="10"/>
      <c r="C28" s="10"/>
      <c r="D28" s="10"/>
    </row>
    <row r="29" spans="2:4" ht="15.75" customHeight="1">
      <c r="B29" s="10"/>
      <c r="C29" s="10"/>
      <c r="D29" s="10"/>
    </row>
    <row r="30" spans="2:4" ht="15.75" customHeight="1">
      <c r="B30" s="10"/>
      <c r="C30" s="10"/>
      <c r="D30" s="10"/>
    </row>
    <row r="31" spans="2:4" ht="15.75" customHeight="1">
      <c r="B31" s="10"/>
      <c r="C31" s="10"/>
      <c r="D31" s="10"/>
    </row>
    <row r="32" spans="2:4" ht="15.75" customHeight="1">
      <c r="B32" s="10"/>
      <c r="C32" s="10"/>
      <c r="D32" s="10"/>
    </row>
    <row r="33" spans="2:4" ht="15.75" customHeight="1">
      <c r="B33" s="10"/>
      <c r="C33" s="10"/>
      <c r="D33" s="10"/>
    </row>
    <row r="34" spans="2:4" ht="15.75" customHeight="1">
      <c r="B34" s="10"/>
      <c r="C34" s="10"/>
      <c r="D34" s="10"/>
    </row>
    <row r="35" spans="2:4" ht="15.75" customHeight="1">
      <c r="B35" s="10"/>
      <c r="C35" s="10"/>
      <c r="D35" s="10"/>
    </row>
    <row r="36" spans="2:4" ht="15.75" customHeight="1">
      <c r="B36" s="10"/>
      <c r="C36" s="10"/>
      <c r="D36" s="10"/>
    </row>
    <row r="37" spans="2:4" ht="15.75" customHeight="1">
      <c r="B37" s="10"/>
      <c r="C37" s="10"/>
      <c r="D37" s="10"/>
    </row>
    <row r="38" spans="2:4" ht="15.75" customHeight="1">
      <c r="B38" s="10"/>
      <c r="C38" s="10"/>
      <c r="D38" s="10"/>
    </row>
    <row r="39" spans="2:4" ht="15.75" customHeight="1">
      <c r="B39" s="10"/>
      <c r="C39" s="10"/>
      <c r="D39" s="10"/>
    </row>
    <row r="40" spans="2:4" ht="15.75" customHeight="1">
      <c r="B40" s="10"/>
      <c r="C40" s="10"/>
      <c r="D40" s="10"/>
    </row>
    <row r="41" spans="2:4" ht="15.75" customHeight="1"/>
    <row r="42" spans="2:4" ht="15.75" customHeight="1"/>
    <row r="43" spans="2:4" ht="15.75" customHeight="1"/>
    <row r="44" spans="2:4" ht="15.75" customHeight="1"/>
    <row r="45" spans="2:4" ht="15.75" customHeight="1"/>
    <row r="46" spans="2:4" ht="15.75" customHeight="1"/>
    <row r="47" spans="2:4" ht="15.75" customHeight="1"/>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Utilisateurs</vt:lpstr>
      <vt:lpstr>dénomination_ced</vt:lpstr>
      <vt:lpstr>template_code</vt:lpstr>
      <vt:lpstr>Site N°1</vt:lpstr>
      <vt:lpstr>Site N°2</vt:lpstr>
      <vt:lpstr>Modèle demail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Arthur Pouzargue (Student at CentraleSupelec)</cp:lastModifiedBy>
  <dcterms:created xsi:type="dcterms:W3CDTF">2015-06-05T18:19:34Z</dcterms:created>
  <dcterms:modified xsi:type="dcterms:W3CDTF">2024-11-25T09:08:27Z</dcterms:modified>
</cp:coreProperties>
</file>